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215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lissakotowski/Desktop/Reduced Quartz Calibration/HFSM green 010/"/>
    </mc:Choice>
  </mc:AlternateContent>
  <xr:revisionPtr revIDLastSave="0" documentId="13_ncr:40009_{5BF89699-106D-8643-93E3-7863EC3B61E9}" xr6:coauthVersionLast="47" xr6:coauthVersionMax="47" xr10:uidLastSave="{00000000-0000-0000-0000-000000000000}"/>
  <bookViews>
    <workbookView xWindow="640" yWindow="500" windowWidth="27640" windowHeight="16000" activeTab="2"/>
  </bookViews>
  <sheets>
    <sheet name="green_010_hfsm3_50#1" sheetId="1" r:id="rId1"/>
    <sheet name="curves raw" sheetId="2" r:id="rId2"/>
    <sheet name="curves processed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953" i="3" l="1"/>
  <c r="AI953" i="3" s="1"/>
  <c r="AF953" i="3"/>
  <c r="AG953" i="3"/>
  <c r="AO953" i="3" s="1"/>
  <c r="AJ953" i="3"/>
  <c r="AL953" i="3"/>
  <c r="AM953" i="3"/>
  <c r="AP953" i="3"/>
  <c r="AE954" i="3"/>
  <c r="AF954" i="3"/>
  <c r="AM954" i="3" s="1"/>
  <c r="AG954" i="3"/>
  <c r="AI954" i="3"/>
  <c r="AJ954" i="3"/>
  <c r="AL954" i="3"/>
  <c r="AO954" i="3"/>
  <c r="AP954" i="3"/>
  <c r="AE955" i="3"/>
  <c r="AF955" i="3"/>
  <c r="AG955" i="3"/>
  <c r="AI955" i="3"/>
  <c r="AJ955" i="3"/>
  <c r="AL955" i="3"/>
  <c r="AM955" i="3"/>
  <c r="AO955" i="3"/>
  <c r="AP955" i="3"/>
  <c r="AE956" i="3"/>
  <c r="AF956" i="3"/>
  <c r="AG956" i="3"/>
  <c r="AP956" i="3" s="1"/>
  <c r="AI956" i="3"/>
  <c r="AJ956" i="3"/>
  <c r="AL956" i="3"/>
  <c r="AM956" i="3"/>
  <c r="AO956" i="3"/>
  <c r="AE957" i="3"/>
  <c r="AI957" i="3" s="1"/>
  <c r="AF957" i="3"/>
  <c r="AG957" i="3"/>
  <c r="AO957" i="3" s="1"/>
  <c r="AJ957" i="3"/>
  <c r="AL957" i="3"/>
  <c r="AM957" i="3"/>
  <c r="AP957" i="3"/>
  <c r="AE958" i="3"/>
  <c r="AF958" i="3"/>
  <c r="AM958" i="3" s="1"/>
  <c r="AG958" i="3"/>
  <c r="AI958" i="3"/>
  <c r="AJ958" i="3"/>
  <c r="AL958" i="3"/>
  <c r="AO958" i="3"/>
  <c r="AP958" i="3"/>
  <c r="AE959" i="3"/>
  <c r="AF959" i="3"/>
  <c r="AG959" i="3"/>
  <c r="AI959" i="3"/>
  <c r="AJ959" i="3"/>
  <c r="AL959" i="3"/>
  <c r="AM959" i="3"/>
  <c r="AO959" i="3"/>
  <c r="AP959" i="3"/>
  <c r="AE13" i="3"/>
  <c r="AI13" i="3" s="1"/>
  <c r="AF13" i="3"/>
  <c r="AM13" i="3" s="1"/>
  <c r="AG13" i="3"/>
  <c r="AJ13" i="3"/>
  <c r="AL13" i="3"/>
  <c r="AO13" i="3"/>
  <c r="AP13" i="3"/>
  <c r="AE14" i="3"/>
  <c r="AF14" i="3"/>
  <c r="AG14" i="3"/>
  <c r="AO14" i="3" s="1"/>
  <c r="AI14" i="3"/>
  <c r="AJ14" i="3"/>
  <c r="AL14" i="3"/>
  <c r="AM14" i="3"/>
  <c r="AE15" i="3"/>
  <c r="AF15" i="3"/>
  <c r="AM15" i="3" s="1"/>
  <c r="AG15" i="3"/>
  <c r="AP15" i="3" s="1"/>
  <c r="AI15" i="3"/>
  <c r="AJ15" i="3"/>
  <c r="AL15" i="3"/>
  <c r="AO15" i="3"/>
  <c r="AE16" i="3"/>
  <c r="AI16" i="3" s="1"/>
  <c r="AF16" i="3"/>
  <c r="AG16" i="3"/>
  <c r="AO16" i="3" s="1"/>
  <c r="AJ16" i="3"/>
  <c r="AL16" i="3"/>
  <c r="AM16" i="3"/>
  <c r="AP16" i="3"/>
  <c r="AE17" i="3"/>
  <c r="AF17" i="3"/>
  <c r="AM17" i="3" s="1"/>
  <c r="AG17" i="3"/>
  <c r="AI17" i="3"/>
  <c r="AJ17" i="3"/>
  <c r="AL17" i="3"/>
  <c r="AO17" i="3"/>
  <c r="AP17" i="3"/>
  <c r="AE18" i="3"/>
  <c r="AF18" i="3"/>
  <c r="AG18" i="3"/>
  <c r="AO18" i="3" s="1"/>
  <c r="AI18" i="3"/>
  <c r="AJ18" i="3"/>
  <c r="AL18" i="3"/>
  <c r="AM18" i="3"/>
  <c r="AE19" i="3"/>
  <c r="AF19" i="3"/>
  <c r="AM19" i="3" s="1"/>
  <c r="AG19" i="3"/>
  <c r="AI19" i="3"/>
  <c r="AJ19" i="3"/>
  <c r="AL19" i="3"/>
  <c r="AO19" i="3"/>
  <c r="AP19" i="3"/>
  <c r="AE20" i="3"/>
  <c r="AI20" i="3" s="1"/>
  <c r="AF20" i="3"/>
  <c r="AG20" i="3"/>
  <c r="AJ20" i="3"/>
  <c r="AL20" i="3"/>
  <c r="AM20" i="3"/>
  <c r="AO20" i="3"/>
  <c r="AP20" i="3"/>
  <c r="AE21" i="3"/>
  <c r="AI21" i="3" s="1"/>
  <c r="AF21" i="3"/>
  <c r="AG21" i="3"/>
  <c r="AP21" i="3" s="1"/>
  <c r="AJ21" i="3"/>
  <c r="AL21" i="3"/>
  <c r="AM21" i="3"/>
  <c r="AE22" i="3"/>
  <c r="AI22" i="3" s="1"/>
  <c r="AF22" i="3"/>
  <c r="AM22" i="3" s="1"/>
  <c r="AG22" i="3"/>
  <c r="AJ22" i="3"/>
  <c r="AL22" i="3"/>
  <c r="AO22" i="3"/>
  <c r="AP22" i="3"/>
  <c r="AE23" i="3"/>
  <c r="AI23" i="3" s="1"/>
  <c r="AF23" i="3"/>
  <c r="AG23" i="3"/>
  <c r="AJ23" i="3"/>
  <c r="AL23" i="3"/>
  <c r="AM23" i="3"/>
  <c r="AO23" i="3"/>
  <c r="AP23" i="3"/>
  <c r="AE24" i="3"/>
  <c r="AI24" i="3" s="1"/>
  <c r="AF24" i="3"/>
  <c r="AG24" i="3"/>
  <c r="AJ24" i="3"/>
  <c r="AL24" i="3"/>
  <c r="AM24" i="3"/>
  <c r="AO24" i="3"/>
  <c r="AP24" i="3"/>
  <c r="AE25" i="3"/>
  <c r="AF25" i="3"/>
  <c r="AG25" i="3"/>
  <c r="AP25" i="3" s="1"/>
  <c r="AI25" i="3"/>
  <c r="AJ25" i="3"/>
  <c r="AL25" i="3"/>
  <c r="AM25" i="3"/>
  <c r="AO25" i="3"/>
  <c r="AE26" i="3"/>
  <c r="AI26" i="3" s="1"/>
  <c r="AF26" i="3"/>
  <c r="AG26" i="3"/>
  <c r="AO26" i="3" s="1"/>
  <c r="AJ26" i="3"/>
  <c r="AL26" i="3"/>
  <c r="AM26" i="3"/>
  <c r="AE27" i="3"/>
  <c r="AI27" i="3" s="1"/>
  <c r="AF27" i="3"/>
  <c r="AM27" i="3" s="1"/>
  <c r="AG27" i="3"/>
  <c r="AJ27" i="3"/>
  <c r="AL27" i="3"/>
  <c r="AO27" i="3"/>
  <c r="AP27" i="3"/>
  <c r="AE28" i="3"/>
  <c r="AI28" i="3" s="1"/>
  <c r="AF28" i="3"/>
  <c r="AG28" i="3"/>
  <c r="AJ28" i="3"/>
  <c r="AL28" i="3"/>
  <c r="AM28" i="3"/>
  <c r="AO28" i="3"/>
  <c r="AP28" i="3"/>
  <c r="AE29" i="3"/>
  <c r="AF29" i="3"/>
  <c r="AG29" i="3"/>
  <c r="AP29" i="3" s="1"/>
  <c r="AI29" i="3"/>
  <c r="AJ29" i="3"/>
  <c r="AL29" i="3"/>
  <c r="AM29" i="3"/>
  <c r="AO29" i="3"/>
  <c r="AE30" i="3"/>
  <c r="AI30" i="3" s="1"/>
  <c r="AF30" i="3"/>
  <c r="AG30" i="3"/>
  <c r="AO30" i="3" s="1"/>
  <c r="AJ30" i="3"/>
  <c r="AL30" i="3"/>
  <c r="AM30" i="3"/>
  <c r="AE31" i="3"/>
  <c r="AI31" i="3" s="1"/>
  <c r="AF31" i="3"/>
  <c r="AM31" i="3" s="1"/>
  <c r="AG31" i="3"/>
  <c r="AJ31" i="3"/>
  <c r="AL31" i="3"/>
  <c r="AO31" i="3"/>
  <c r="AP31" i="3"/>
  <c r="AE32" i="3"/>
  <c r="AI32" i="3" s="1"/>
  <c r="AF32" i="3"/>
  <c r="AM32" i="3" s="1"/>
  <c r="AG32" i="3"/>
  <c r="AJ32" i="3"/>
  <c r="AL32" i="3"/>
  <c r="AO32" i="3"/>
  <c r="AP32" i="3"/>
  <c r="AE33" i="3"/>
  <c r="AF33" i="3"/>
  <c r="AG33" i="3"/>
  <c r="AI33" i="3"/>
  <c r="AJ33" i="3"/>
  <c r="AL33" i="3"/>
  <c r="AM33" i="3"/>
  <c r="AO33" i="3"/>
  <c r="AP33" i="3"/>
  <c r="AE34" i="3"/>
  <c r="AF34" i="3"/>
  <c r="AG34" i="3"/>
  <c r="AO34" i="3" s="1"/>
  <c r="AI34" i="3"/>
  <c r="AJ34" i="3"/>
  <c r="AL34" i="3"/>
  <c r="AM34" i="3"/>
  <c r="AE35" i="3"/>
  <c r="AI35" i="3" s="1"/>
  <c r="AF35" i="3"/>
  <c r="AM35" i="3" s="1"/>
  <c r="AG35" i="3"/>
  <c r="AO35" i="3" s="1"/>
  <c r="AJ35" i="3"/>
  <c r="AL35" i="3"/>
  <c r="AE36" i="3"/>
  <c r="AI36" i="3" s="1"/>
  <c r="AF36" i="3"/>
  <c r="AM36" i="3" s="1"/>
  <c r="AG36" i="3"/>
  <c r="AJ36" i="3"/>
  <c r="AL36" i="3"/>
  <c r="AO36" i="3"/>
  <c r="AP36" i="3"/>
  <c r="AE37" i="3"/>
  <c r="AF37" i="3"/>
  <c r="AG37" i="3"/>
  <c r="AI37" i="3"/>
  <c r="AJ37" i="3"/>
  <c r="AL37" i="3"/>
  <c r="AM37" i="3"/>
  <c r="AO37" i="3"/>
  <c r="AP37" i="3"/>
  <c r="AE38" i="3"/>
  <c r="AF38" i="3"/>
  <c r="AG38" i="3"/>
  <c r="AO38" i="3" s="1"/>
  <c r="AI38" i="3"/>
  <c r="AJ38" i="3"/>
  <c r="AL38" i="3"/>
  <c r="AM38" i="3"/>
  <c r="AE39" i="3"/>
  <c r="AI39" i="3" s="1"/>
  <c r="AF39" i="3"/>
  <c r="AM39" i="3" s="1"/>
  <c r="AG39" i="3"/>
  <c r="AO39" i="3" s="1"/>
  <c r="AJ39" i="3"/>
  <c r="AL39" i="3"/>
  <c r="AE40" i="3"/>
  <c r="AI40" i="3" s="1"/>
  <c r="AF40" i="3"/>
  <c r="AM40" i="3" s="1"/>
  <c r="AG40" i="3"/>
  <c r="AJ40" i="3"/>
  <c r="AL40" i="3"/>
  <c r="AO40" i="3"/>
  <c r="AP40" i="3"/>
  <c r="AE41" i="3"/>
  <c r="AF41" i="3"/>
  <c r="AG41" i="3"/>
  <c r="AI41" i="3"/>
  <c r="AJ41" i="3"/>
  <c r="AL41" i="3"/>
  <c r="AM41" i="3"/>
  <c r="AO41" i="3"/>
  <c r="AP41" i="3"/>
  <c r="AE42" i="3"/>
  <c r="AF42" i="3"/>
  <c r="AG42" i="3"/>
  <c r="AO42" i="3" s="1"/>
  <c r="AI42" i="3"/>
  <c r="AJ42" i="3"/>
  <c r="AL42" i="3"/>
  <c r="AM42" i="3"/>
  <c r="AE43" i="3"/>
  <c r="AI43" i="3" s="1"/>
  <c r="AF43" i="3"/>
  <c r="AM43" i="3" s="1"/>
  <c r="AG43" i="3"/>
  <c r="AJ43" i="3"/>
  <c r="AL43" i="3"/>
  <c r="AO43" i="3"/>
  <c r="AP43" i="3"/>
  <c r="AE44" i="3"/>
  <c r="AI44" i="3" s="1"/>
  <c r="AF44" i="3"/>
  <c r="AG44" i="3"/>
  <c r="AJ44" i="3"/>
  <c r="AL44" i="3"/>
  <c r="AM44" i="3"/>
  <c r="AO44" i="3"/>
  <c r="AP44" i="3"/>
  <c r="AE45" i="3"/>
  <c r="AF45" i="3"/>
  <c r="AG45" i="3"/>
  <c r="AI45" i="3"/>
  <c r="AJ45" i="3"/>
  <c r="AL45" i="3"/>
  <c r="AM45" i="3"/>
  <c r="AO45" i="3"/>
  <c r="AP45" i="3"/>
  <c r="AE46" i="3"/>
  <c r="AF46" i="3"/>
  <c r="AG46" i="3"/>
  <c r="AO46" i="3" s="1"/>
  <c r="AI46" i="3"/>
  <c r="AJ46" i="3"/>
  <c r="AL46" i="3"/>
  <c r="AM46" i="3"/>
  <c r="AE47" i="3"/>
  <c r="AF47" i="3"/>
  <c r="AM47" i="3" s="1"/>
  <c r="AG47" i="3"/>
  <c r="AI47" i="3"/>
  <c r="AJ47" i="3"/>
  <c r="AL47" i="3"/>
  <c r="AO47" i="3"/>
  <c r="AP47" i="3"/>
  <c r="AE48" i="3"/>
  <c r="AI48" i="3" s="1"/>
  <c r="AF48" i="3"/>
  <c r="AG48" i="3"/>
  <c r="AO48" i="3" s="1"/>
  <c r="AJ48" i="3"/>
  <c r="AL48" i="3"/>
  <c r="AM48" i="3"/>
  <c r="AP48" i="3"/>
  <c r="AE49" i="3"/>
  <c r="AF49" i="3"/>
  <c r="AM49" i="3" s="1"/>
  <c r="AG49" i="3"/>
  <c r="AI49" i="3"/>
  <c r="AJ49" i="3"/>
  <c r="AL49" i="3"/>
  <c r="AO49" i="3"/>
  <c r="AP49" i="3"/>
  <c r="AE50" i="3"/>
  <c r="AI50" i="3" s="1"/>
  <c r="AF50" i="3"/>
  <c r="AG50" i="3"/>
  <c r="AO50" i="3" s="1"/>
  <c r="AJ50" i="3"/>
  <c r="AL50" i="3"/>
  <c r="AM50" i="3"/>
  <c r="AE51" i="3"/>
  <c r="AF51" i="3"/>
  <c r="AM51" i="3" s="1"/>
  <c r="AG51" i="3"/>
  <c r="AI51" i="3"/>
  <c r="AJ51" i="3"/>
  <c r="AL51" i="3"/>
  <c r="AO51" i="3"/>
  <c r="AP51" i="3"/>
  <c r="AE52" i="3"/>
  <c r="AI52" i="3" s="1"/>
  <c r="AF52" i="3"/>
  <c r="AG52" i="3"/>
  <c r="AO52" i="3" s="1"/>
  <c r="AJ52" i="3"/>
  <c r="AL52" i="3"/>
  <c r="AM52" i="3"/>
  <c r="AP52" i="3"/>
  <c r="AE53" i="3"/>
  <c r="AI53" i="3" s="1"/>
  <c r="AF53" i="3"/>
  <c r="AM53" i="3" s="1"/>
  <c r="AG53" i="3"/>
  <c r="AP53" i="3" s="1"/>
  <c r="AJ53" i="3"/>
  <c r="AL53" i="3"/>
  <c r="AE54" i="3"/>
  <c r="AI54" i="3" s="1"/>
  <c r="AF54" i="3"/>
  <c r="AM54" i="3" s="1"/>
  <c r="AG54" i="3"/>
  <c r="AO54" i="3" s="1"/>
  <c r="AJ54" i="3"/>
  <c r="AL54" i="3"/>
  <c r="AP54" i="3"/>
  <c r="AE55" i="3"/>
  <c r="AF55" i="3"/>
  <c r="AM55" i="3" s="1"/>
  <c r="AG55" i="3"/>
  <c r="AI55" i="3"/>
  <c r="AJ55" i="3"/>
  <c r="AL55" i="3"/>
  <c r="AO55" i="3"/>
  <c r="AP55" i="3"/>
  <c r="AE56" i="3"/>
  <c r="AF56" i="3"/>
  <c r="AG56" i="3"/>
  <c r="AO56" i="3" s="1"/>
  <c r="AI56" i="3"/>
  <c r="AJ56" i="3"/>
  <c r="AL56" i="3"/>
  <c r="AM56" i="3"/>
  <c r="AE57" i="3"/>
  <c r="AF57" i="3"/>
  <c r="AM57" i="3" s="1"/>
  <c r="AG57" i="3"/>
  <c r="AP57" i="3" s="1"/>
  <c r="AI57" i="3"/>
  <c r="AJ57" i="3"/>
  <c r="AL57" i="3"/>
  <c r="AE58" i="3"/>
  <c r="AI58" i="3" s="1"/>
  <c r="AF58" i="3"/>
  <c r="AM58" i="3" s="1"/>
  <c r="AG58" i="3"/>
  <c r="AO58" i="3" s="1"/>
  <c r="AJ58" i="3"/>
  <c r="AL58" i="3"/>
  <c r="AP58" i="3"/>
  <c r="AE59" i="3"/>
  <c r="AF59" i="3"/>
  <c r="AM59" i="3" s="1"/>
  <c r="AG59" i="3"/>
  <c r="AI59" i="3"/>
  <c r="AJ59" i="3"/>
  <c r="AL59" i="3"/>
  <c r="AO59" i="3"/>
  <c r="AP59" i="3"/>
  <c r="AE60" i="3"/>
  <c r="AF60" i="3"/>
  <c r="AG60" i="3"/>
  <c r="AO60" i="3" s="1"/>
  <c r="AI60" i="3"/>
  <c r="AJ60" i="3"/>
  <c r="AL60" i="3"/>
  <c r="AM60" i="3"/>
  <c r="AE61" i="3"/>
  <c r="AF61" i="3"/>
  <c r="AM61" i="3" s="1"/>
  <c r="AG61" i="3"/>
  <c r="AP61" i="3" s="1"/>
  <c r="AI61" i="3"/>
  <c r="AJ61" i="3"/>
  <c r="AL61" i="3"/>
  <c r="AE62" i="3"/>
  <c r="AI62" i="3" s="1"/>
  <c r="AF62" i="3"/>
  <c r="AM62" i="3" s="1"/>
  <c r="AG62" i="3"/>
  <c r="AO62" i="3" s="1"/>
  <c r="AJ62" i="3"/>
  <c r="AL62" i="3"/>
  <c r="AP62" i="3"/>
  <c r="AE63" i="3"/>
  <c r="AF63" i="3"/>
  <c r="AM63" i="3" s="1"/>
  <c r="AG63" i="3"/>
  <c r="AI63" i="3"/>
  <c r="AJ63" i="3"/>
  <c r="AL63" i="3"/>
  <c r="AO63" i="3"/>
  <c r="AP63" i="3"/>
  <c r="AE64" i="3"/>
  <c r="AF64" i="3"/>
  <c r="AG64" i="3"/>
  <c r="AO64" i="3" s="1"/>
  <c r="AI64" i="3"/>
  <c r="AJ64" i="3"/>
  <c r="AL64" i="3"/>
  <c r="AM64" i="3"/>
  <c r="AE65" i="3"/>
  <c r="AF65" i="3"/>
  <c r="AM65" i="3" s="1"/>
  <c r="AG65" i="3"/>
  <c r="AP65" i="3" s="1"/>
  <c r="AI65" i="3"/>
  <c r="AJ65" i="3"/>
  <c r="AL65" i="3"/>
  <c r="AE66" i="3"/>
  <c r="AI66" i="3" s="1"/>
  <c r="AF66" i="3"/>
  <c r="AM66" i="3" s="1"/>
  <c r="AG66" i="3"/>
  <c r="AO66" i="3" s="1"/>
  <c r="AJ66" i="3"/>
  <c r="AL66" i="3"/>
  <c r="AP66" i="3"/>
  <c r="AE67" i="3"/>
  <c r="AF67" i="3"/>
  <c r="AM67" i="3" s="1"/>
  <c r="AG67" i="3"/>
  <c r="AI67" i="3"/>
  <c r="AJ67" i="3"/>
  <c r="AL67" i="3"/>
  <c r="AO67" i="3"/>
  <c r="AP67" i="3"/>
  <c r="AE68" i="3"/>
  <c r="AF68" i="3"/>
  <c r="AG68" i="3"/>
  <c r="AO68" i="3" s="1"/>
  <c r="AI68" i="3"/>
  <c r="AJ68" i="3"/>
  <c r="AL68" i="3"/>
  <c r="AM68" i="3"/>
  <c r="AE69" i="3"/>
  <c r="AF69" i="3"/>
  <c r="AM69" i="3" s="1"/>
  <c r="AG69" i="3"/>
  <c r="AP69" i="3" s="1"/>
  <c r="AI69" i="3"/>
  <c r="AJ69" i="3"/>
  <c r="AL69" i="3"/>
  <c r="AE70" i="3"/>
  <c r="AI70" i="3" s="1"/>
  <c r="AF70" i="3"/>
  <c r="AM70" i="3" s="1"/>
  <c r="AG70" i="3"/>
  <c r="AO70" i="3" s="1"/>
  <c r="AJ70" i="3"/>
  <c r="AL70" i="3"/>
  <c r="AP70" i="3"/>
  <c r="AE71" i="3"/>
  <c r="AF71" i="3"/>
  <c r="AM71" i="3" s="1"/>
  <c r="AG71" i="3"/>
  <c r="AI71" i="3"/>
  <c r="AJ71" i="3"/>
  <c r="AL71" i="3"/>
  <c r="AO71" i="3"/>
  <c r="AP71" i="3"/>
  <c r="AE72" i="3"/>
  <c r="AF72" i="3"/>
  <c r="AG72" i="3"/>
  <c r="AO72" i="3" s="1"/>
  <c r="AI72" i="3"/>
  <c r="AJ72" i="3"/>
  <c r="AL72" i="3"/>
  <c r="AM72" i="3"/>
  <c r="AE73" i="3"/>
  <c r="AF73" i="3"/>
  <c r="AM73" i="3" s="1"/>
  <c r="AG73" i="3"/>
  <c r="AP73" i="3" s="1"/>
  <c r="AI73" i="3"/>
  <c r="AJ73" i="3"/>
  <c r="AL73" i="3"/>
  <c r="AE74" i="3"/>
  <c r="AI74" i="3" s="1"/>
  <c r="AF74" i="3"/>
  <c r="AM74" i="3" s="1"/>
  <c r="AG74" i="3"/>
  <c r="AO74" i="3" s="1"/>
  <c r="AJ74" i="3"/>
  <c r="AL74" i="3"/>
  <c r="AP74" i="3"/>
  <c r="AE75" i="3"/>
  <c r="AF75" i="3"/>
  <c r="AM75" i="3" s="1"/>
  <c r="AG75" i="3"/>
  <c r="AI75" i="3"/>
  <c r="AJ75" i="3"/>
  <c r="AL75" i="3"/>
  <c r="AO75" i="3"/>
  <c r="AP75" i="3"/>
  <c r="AE76" i="3"/>
  <c r="AF76" i="3"/>
  <c r="AG76" i="3"/>
  <c r="AI76" i="3"/>
  <c r="AJ76" i="3"/>
  <c r="AL76" i="3"/>
  <c r="AM76" i="3"/>
  <c r="AO76" i="3"/>
  <c r="AP76" i="3"/>
  <c r="AE77" i="3"/>
  <c r="AF77" i="3"/>
  <c r="AG77" i="3"/>
  <c r="AI77" i="3"/>
  <c r="AJ77" i="3"/>
  <c r="AL77" i="3"/>
  <c r="AM77" i="3"/>
  <c r="AO77" i="3"/>
  <c r="AP77" i="3"/>
  <c r="AE78" i="3"/>
  <c r="AF78" i="3"/>
  <c r="AG78" i="3"/>
  <c r="AP78" i="3" s="1"/>
  <c r="AI78" i="3"/>
  <c r="AJ78" i="3"/>
  <c r="AL78" i="3"/>
  <c r="AM78" i="3"/>
  <c r="AO78" i="3"/>
  <c r="AE79" i="3"/>
  <c r="AI79" i="3" s="1"/>
  <c r="AF79" i="3"/>
  <c r="AG79" i="3"/>
  <c r="AO79" i="3" s="1"/>
  <c r="AJ79" i="3"/>
  <c r="AL79" i="3"/>
  <c r="AM79" i="3"/>
  <c r="AP79" i="3"/>
  <c r="AE80" i="3"/>
  <c r="AF80" i="3"/>
  <c r="AM80" i="3" s="1"/>
  <c r="AG80" i="3"/>
  <c r="AI80" i="3"/>
  <c r="AJ80" i="3"/>
  <c r="AL80" i="3"/>
  <c r="AO80" i="3"/>
  <c r="AP80" i="3"/>
  <c r="AE81" i="3"/>
  <c r="AF81" i="3"/>
  <c r="AG81" i="3"/>
  <c r="AI81" i="3"/>
  <c r="AJ81" i="3"/>
  <c r="AL81" i="3"/>
  <c r="AM81" i="3"/>
  <c r="AO81" i="3"/>
  <c r="AP81" i="3"/>
  <c r="AE82" i="3"/>
  <c r="AF82" i="3"/>
  <c r="AG82" i="3"/>
  <c r="AI82" i="3"/>
  <c r="AJ82" i="3"/>
  <c r="AL82" i="3"/>
  <c r="AM82" i="3"/>
  <c r="AO82" i="3"/>
  <c r="AP82" i="3"/>
  <c r="AE83" i="3"/>
  <c r="AI83" i="3" s="1"/>
  <c r="AF83" i="3"/>
  <c r="AG83" i="3"/>
  <c r="AO83" i="3" s="1"/>
  <c r="AJ83" i="3"/>
  <c r="AL83" i="3"/>
  <c r="AM83" i="3"/>
  <c r="AP83" i="3"/>
  <c r="AE84" i="3"/>
  <c r="AF84" i="3"/>
  <c r="AM84" i="3" s="1"/>
  <c r="AG84" i="3"/>
  <c r="AI84" i="3"/>
  <c r="AJ84" i="3"/>
  <c r="AL84" i="3"/>
  <c r="AO84" i="3"/>
  <c r="AP84" i="3"/>
  <c r="AE85" i="3"/>
  <c r="AF85" i="3"/>
  <c r="AG85" i="3"/>
  <c r="AI85" i="3"/>
  <c r="AJ85" i="3"/>
  <c r="AL85" i="3"/>
  <c r="AM85" i="3"/>
  <c r="AO85" i="3"/>
  <c r="AP85" i="3"/>
  <c r="AE86" i="3"/>
  <c r="AI86" i="3" s="1"/>
  <c r="AF86" i="3"/>
  <c r="AG86" i="3"/>
  <c r="AO86" i="3" s="1"/>
  <c r="AJ86" i="3"/>
  <c r="AL86" i="3"/>
  <c r="AM86" i="3"/>
  <c r="AP86" i="3"/>
  <c r="AE87" i="3"/>
  <c r="AI87" i="3" s="1"/>
  <c r="AF87" i="3"/>
  <c r="AM87" i="3" s="1"/>
  <c r="AG87" i="3"/>
  <c r="AJ87" i="3"/>
  <c r="AL87" i="3"/>
  <c r="AO87" i="3"/>
  <c r="AP87" i="3"/>
  <c r="AE88" i="3"/>
  <c r="AF88" i="3"/>
  <c r="AG88" i="3"/>
  <c r="AI88" i="3"/>
  <c r="AJ88" i="3"/>
  <c r="AL88" i="3"/>
  <c r="AM88" i="3"/>
  <c r="AO88" i="3"/>
  <c r="AP88" i="3"/>
  <c r="AE89" i="3"/>
  <c r="AF89" i="3"/>
  <c r="AG89" i="3"/>
  <c r="AP89" i="3" s="1"/>
  <c r="AI89" i="3"/>
  <c r="AJ89" i="3"/>
  <c r="AL89" i="3"/>
  <c r="AM89" i="3"/>
  <c r="AO89" i="3"/>
  <c r="AE90" i="3"/>
  <c r="AI90" i="3" s="1"/>
  <c r="AF90" i="3"/>
  <c r="AG90" i="3"/>
  <c r="AO90" i="3" s="1"/>
  <c r="AJ90" i="3"/>
  <c r="AL90" i="3"/>
  <c r="AM90" i="3"/>
  <c r="AP90" i="3"/>
  <c r="AE91" i="3"/>
  <c r="AI91" i="3" s="1"/>
  <c r="AF91" i="3"/>
  <c r="AM91" i="3" s="1"/>
  <c r="AG91" i="3"/>
  <c r="AJ91" i="3"/>
  <c r="AL91" i="3"/>
  <c r="AO91" i="3"/>
  <c r="AP91" i="3"/>
  <c r="AE92" i="3"/>
  <c r="AF92" i="3"/>
  <c r="AG92" i="3"/>
  <c r="AI92" i="3"/>
  <c r="AJ92" i="3"/>
  <c r="AL92" i="3"/>
  <c r="AM92" i="3"/>
  <c r="AO92" i="3"/>
  <c r="AP92" i="3"/>
  <c r="AE93" i="3"/>
  <c r="AF93" i="3"/>
  <c r="AG93" i="3"/>
  <c r="AP93" i="3" s="1"/>
  <c r="AI93" i="3"/>
  <c r="AJ93" i="3"/>
  <c r="AL93" i="3"/>
  <c r="AM93" i="3"/>
  <c r="AO93" i="3"/>
  <c r="AE94" i="3"/>
  <c r="AI94" i="3" s="1"/>
  <c r="AF94" i="3"/>
  <c r="AG94" i="3"/>
  <c r="AO94" i="3" s="1"/>
  <c r="AJ94" i="3"/>
  <c r="AL94" i="3"/>
  <c r="AM94" i="3"/>
  <c r="AE95" i="3"/>
  <c r="AI95" i="3" s="1"/>
  <c r="AF95" i="3"/>
  <c r="AM95" i="3" s="1"/>
  <c r="AG95" i="3"/>
  <c r="AJ95" i="3"/>
  <c r="AL95" i="3"/>
  <c r="AO95" i="3"/>
  <c r="AP95" i="3"/>
  <c r="AE96" i="3"/>
  <c r="AF96" i="3"/>
  <c r="AG96" i="3"/>
  <c r="AI96" i="3"/>
  <c r="AJ96" i="3"/>
  <c r="AL96" i="3"/>
  <c r="AM96" i="3"/>
  <c r="AO96" i="3"/>
  <c r="AP96" i="3"/>
  <c r="AE97" i="3"/>
  <c r="AI97" i="3" s="1"/>
  <c r="AF97" i="3"/>
  <c r="AG97" i="3"/>
  <c r="AO97" i="3" s="1"/>
  <c r="AJ97" i="3"/>
  <c r="AL97" i="3"/>
  <c r="AM97" i="3"/>
  <c r="AP97" i="3"/>
  <c r="AE98" i="3"/>
  <c r="AI98" i="3" s="1"/>
  <c r="AF98" i="3"/>
  <c r="AM98" i="3" s="1"/>
  <c r="AG98" i="3"/>
  <c r="AJ98" i="3"/>
  <c r="AL98" i="3"/>
  <c r="AO98" i="3"/>
  <c r="AP98" i="3"/>
  <c r="AE99" i="3"/>
  <c r="AF99" i="3"/>
  <c r="AG99" i="3"/>
  <c r="AI99" i="3"/>
  <c r="AJ99" i="3"/>
  <c r="AL99" i="3"/>
  <c r="AM99" i="3"/>
  <c r="AO99" i="3"/>
  <c r="AP99" i="3"/>
  <c r="AE100" i="3"/>
  <c r="AF100" i="3"/>
  <c r="AG100" i="3"/>
  <c r="AP100" i="3" s="1"/>
  <c r="AI100" i="3"/>
  <c r="AJ100" i="3"/>
  <c r="AL100" i="3"/>
  <c r="AM100" i="3"/>
  <c r="AO100" i="3"/>
  <c r="AE101" i="3"/>
  <c r="AF101" i="3"/>
  <c r="AG101" i="3"/>
  <c r="AP101" i="3" s="1"/>
  <c r="AI101" i="3"/>
  <c r="AJ101" i="3"/>
  <c r="AL101" i="3"/>
  <c r="AM101" i="3"/>
  <c r="AE102" i="3"/>
  <c r="AI102" i="3" s="1"/>
  <c r="AF102" i="3"/>
  <c r="AM102" i="3" s="1"/>
  <c r="AG102" i="3"/>
  <c r="AJ102" i="3"/>
  <c r="AL102" i="3"/>
  <c r="AO102" i="3"/>
  <c r="AP102" i="3"/>
  <c r="AE103" i="3"/>
  <c r="AF103" i="3"/>
  <c r="AG103" i="3"/>
  <c r="AI103" i="3"/>
  <c r="AJ103" i="3"/>
  <c r="AL103" i="3"/>
  <c r="AM103" i="3"/>
  <c r="AO103" i="3"/>
  <c r="AP103" i="3"/>
  <c r="AE104" i="3"/>
  <c r="AF104" i="3"/>
  <c r="AG104" i="3"/>
  <c r="AP104" i="3" s="1"/>
  <c r="AI104" i="3"/>
  <c r="AJ104" i="3"/>
  <c r="AL104" i="3"/>
  <c r="AM104" i="3"/>
  <c r="AO104" i="3"/>
  <c r="AE105" i="3"/>
  <c r="AF105" i="3"/>
  <c r="AG105" i="3"/>
  <c r="AP105" i="3" s="1"/>
  <c r="AI105" i="3"/>
  <c r="AJ105" i="3"/>
  <c r="AL105" i="3"/>
  <c r="AM105" i="3"/>
  <c r="AE106" i="3"/>
  <c r="AI106" i="3" s="1"/>
  <c r="AF106" i="3"/>
  <c r="AM106" i="3" s="1"/>
  <c r="AG106" i="3"/>
  <c r="AJ106" i="3"/>
  <c r="AL106" i="3"/>
  <c r="AO106" i="3"/>
  <c r="AP106" i="3"/>
  <c r="AE107" i="3"/>
  <c r="AI107" i="3" s="1"/>
  <c r="AF107" i="3"/>
  <c r="AG107" i="3"/>
  <c r="AO107" i="3" s="1"/>
  <c r="AJ107" i="3"/>
  <c r="AL107" i="3"/>
  <c r="AM107" i="3"/>
  <c r="AP107" i="3"/>
  <c r="AE108" i="3"/>
  <c r="AF108" i="3"/>
  <c r="AG108" i="3"/>
  <c r="AI108" i="3"/>
  <c r="AJ108" i="3"/>
  <c r="AL108" i="3"/>
  <c r="AM108" i="3"/>
  <c r="AO108" i="3"/>
  <c r="AP108" i="3"/>
  <c r="AE109" i="3"/>
  <c r="AF109" i="3"/>
  <c r="AG109" i="3"/>
  <c r="AP109" i="3" s="1"/>
  <c r="AI109" i="3"/>
  <c r="AJ109" i="3"/>
  <c r="AL109" i="3"/>
  <c r="AM109" i="3"/>
  <c r="AE110" i="3"/>
  <c r="AF110" i="3"/>
  <c r="AM110" i="3" s="1"/>
  <c r="AG110" i="3"/>
  <c r="AI110" i="3"/>
  <c r="AJ110" i="3"/>
  <c r="AL110" i="3"/>
  <c r="AO110" i="3"/>
  <c r="AP110" i="3"/>
  <c r="AE111" i="3"/>
  <c r="AI111" i="3" s="1"/>
  <c r="AF111" i="3"/>
  <c r="AG111" i="3"/>
  <c r="AJ111" i="3"/>
  <c r="AL111" i="3"/>
  <c r="AM111" i="3"/>
  <c r="AO111" i="3"/>
  <c r="AP111" i="3"/>
  <c r="AE112" i="3"/>
  <c r="AF112" i="3"/>
  <c r="AG112" i="3"/>
  <c r="AI112" i="3"/>
  <c r="AJ112" i="3"/>
  <c r="AL112" i="3"/>
  <c r="AM112" i="3"/>
  <c r="AO112" i="3"/>
  <c r="AP112" i="3"/>
  <c r="AE113" i="3"/>
  <c r="AI113" i="3" s="1"/>
  <c r="AF113" i="3"/>
  <c r="AG113" i="3"/>
  <c r="AP113" i="3" s="1"/>
  <c r="AJ113" i="3"/>
  <c r="AL113" i="3"/>
  <c r="AM113" i="3"/>
  <c r="AE114" i="3"/>
  <c r="AI114" i="3" s="1"/>
  <c r="AF114" i="3"/>
  <c r="AM114" i="3" s="1"/>
  <c r="AG114" i="3"/>
  <c r="AJ114" i="3"/>
  <c r="AL114" i="3"/>
  <c r="AO114" i="3"/>
  <c r="AP114" i="3"/>
  <c r="AE115" i="3"/>
  <c r="AI115" i="3" s="1"/>
  <c r="AF115" i="3"/>
  <c r="AG115" i="3"/>
  <c r="AJ115" i="3"/>
  <c r="AL115" i="3"/>
  <c r="AM115" i="3"/>
  <c r="AO115" i="3"/>
  <c r="AP115" i="3"/>
  <c r="AE116" i="3"/>
  <c r="AF116" i="3"/>
  <c r="AG116" i="3"/>
  <c r="AI116" i="3"/>
  <c r="AJ116" i="3"/>
  <c r="AL116" i="3"/>
  <c r="AM116" i="3"/>
  <c r="AO116" i="3"/>
  <c r="AP116" i="3"/>
  <c r="AE117" i="3"/>
  <c r="AF117" i="3"/>
  <c r="AG117" i="3"/>
  <c r="AP117" i="3" s="1"/>
  <c r="AI117" i="3"/>
  <c r="AJ117" i="3"/>
  <c r="AL117" i="3"/>
  <c r="AM117" i="3"/>
  <c r="AE118" i="3"/>
  <c r="AI118" i="3" s="1"/>
  <c r="AF118" i="3"/>
  <c r="AM118" i="3" s="1"/>
  <c r="AG118" i="3"/>
  <c r="AO118" i="3" s="1"/>
  <c r="AJ118" i="3"/>
  <c r="AL118" i="3"/>
  <c r="AP118" i="3"/>
  <c r="AE119" i="3"/>
  <c r="AI119" i="3" s="1"/>
  <c r="AF119" i="3"/>
  <c r="AG119" i="3"/>
  <c r="AJ119" i="3"/>
  <c r="AL119" i="3"/>
  <c r="AM119" i="3"/>
  <c r="AO119" i="3"/>
  <c r="AP119" i="3"/>
  <c r="AE120" i="3"/>
  <c r="AF120" i="3"/>
  <c r="AG120" i="3"/>
  <c r="AI120" i="3"/>
  <c r="AJ120" i="3"/>
  <c r="AL120" i="3"/>
  <c r="AM120" i="3"/>
  <c r="AO120" i="3"/>
  <c r="AP120" i="3"/>
  <c r="AE121" i="3"/>
  <c r="AF121" i="3"/>
  <c r="AG121" i="3"/>
  <c r="AP121" i="3" s="1"/>
  <c r="AI121" i="3"/>
  <c r="AJ121" i="3"/>
  <c r="AL121" i="3"/>
  <c r="AM121" i="3"/>
  <c r="AE122" i="3"/>
  <c r="AI122" i="3" s="1"/>
  <c r="AF122" i="3"/>
  <c r="AM122" i="3" s="1"/>
  <c r="AG122" i="3"/>
  <c r="AO122" i="3" s="1"/>
  <c r="AJ122" i="3"/>
  <c r="AL122" i="3"/>
  <c r="AP122" i="3"/>
  <c r="AE123" i="3"/>
  <c r="AI123" i="3" s="1"/>
  <c r="AF123" i="3"/>
  <c r="AM123" i="3" s="1"/>
  <c r="AG123" i="3"/>
  <c r="AJ123" i="3"/>
  <c r="AL123" i="3"/>
  <c r="AO123" i="3"/>
  <c r="AP123" i="3"/>
  <c r="AE124" i="3"/>
  <c r="AF124" i="3"/>
  <c r="AG124" i="3"/>
  <c r="AP124" i="3" s="1"/>
  <c r="AI124" i="3"/>
  <c r="AJ124" i="3"/>
  <c r="AL124" i="3"/>
  <c r="AM124" i="3"/>
  <c r="AO124" i="3"/>
  <c r="AE125" i="3"/>
  <c r="AF125" i="3"/>
  <c r="AG125" i="3"/>
  <c r="AP125" i="3" s="1"/>
  <c r="AI125" i="3"/>
  <c r="AJ125" i="3"/>
  <c r="AL125" i="3"/>
  <c r="AM125" i="3"/>
  <c r="AE126" i="3"/>
  <c r="AI126" i="3" s="1"/>
  <c r="AF126" i="3"/>
  <c r="AM126" i="3" s="1"/>
  <c r="AG126" i="3"/>
  <c r="AJ126" i="3"/>
  <c r="AL126" i="3"/>
  <c r="AO126" i="3"/>
  <c r="AP126" i="3"/>
  <c r="AE127" i="3"/>
  <c r="AI127" i="3" s="1"/>
  <c r="AF127" i="3"/>
  <c r="AG127" i="3"/>
  <c r="AJ127" i="3"/>
  <c r="AL127" i="3"/>
  <c r="AM127" i="3"/>
  <c r="AO127" i="3"/>
  <c r="AP127" i="3"/>
  <c r="AE128" i="3"/>
  <c r="AF128" i="3"/>
  <c r="AG128" i="3"/>
  <c r="AP128" i="3" s="1"/>
  <c r="AI128" i="3"/>
  <c r="AJ128" i="3"/>
  <c r="AL128" i="3"/>
  <c r="AM128" i="3"/>
  <c r="AO128" i="3"/>
  <c r="AE129" i="3"/>
  <c r="AI129" i="3" s="1"/>
  <c r="AF129" i="3"/>
  <c r="AG129" i="3"/>
  <c r="AP129" i="3" s="1"/>
  <c r="AJ129" i="3"/>
  <c r="AL129" i="3"/>
  <c r="AM129" i="3"/>
  <c r="AE130" i="3"/>
  <c r="AI130" i="3" s="1"/>
  <c r="AF130" i="3"/>
  <c r="AM130" i="3" s="1"/>
  <c r="AG130" i="3"/>
  <c r="AJ130" i="3"/>
  <c r="AL130" i="3"/>
  <c r="AO130" i="3"/>
  <c r="AP130" i="3"/>
  <c r="AE131" i="3"/>
  <c r="AF131" i="3"/>
  <c r="AG131" i="3"/>
  <c r="AI131" i="3"/>
  <c r="AJ131" i="3"/>
  <c r="AL131" i="3"/>
  <c r="AM131" i="3"/>
  <c r="AO131" i="3"/>
  <c r="AP131" i="3"/>
  <c r="AE132" i="3"/>
  <c r="AF132" i="3"/>
  <c r="AG132" i="3"/>
  <c r="AP132" i="3" s="1"/>
  <c r="AI132" i="3"/>
  <c r="AJ132" i="3"/>
  <c r="AL132" i="3"/>
  <c r="AM132" i="3"/>
  <c r="AO132" i="3"/>
  <c r="AE133" i="3"/>
  <c r="AF133" i="3"/>
  <c r="AG133" i="3"/>
  <c r="AP133" i="3" s="1"/>
  <c r="AI133" i="3"/>
  <c r="AJ133" i="3"/>
  <c r="AL133" i="3"/>
  <c r="AM133" i="3"/>
  <c r="AE134" i="3"/>
  <c r="AI134" i="3" s="1"/>
  <c r="AF134" i="3"/>
  <c r="AM134" i="3" s="1"/>
  <c r="AG134" i="3"/>
  <c r="AJ134" i="3"/>
  <c r="AL134" i="3"/>
  <c r="AO134" i="3"/>
  <c r="AP134" i="3"/>
  <c r="AE135" i="3"/>
  <c r="AF135" i="3"/>
  <c r="AG135" i="3"/>
  <c r="AI135" i="3"/>
  <c r="AJ135" i="3"/>
  <c r="AL135" i="3"/>
  <c r="AM135" i="3"/>
  <c r="AO135" i="3"/>
  <c r="AP135" i="3"/>
  <c r="AE136" i="3"/>
  <c r="AF136" i="3"/>
  <c r="AG136" i="3"/>
  <c r="AP136" i="3" s="1"/>
  <c r="AI136" i="3"/>
  <c r="AJ136" i="3"/>
  <c r="AL136" i="3"/>
  <c r="AM136" i="3"/>
  <c r="AO136" i="3"/>
  <c r="AE137" i="3"/>
  <c r="AI137" i="3" s="1"/>
  <c r="AF137" i="3"/>
  <c r="AG137" i="3"/>
  <c r="AP137" i="3" s="1"/>
  <c r="AJ137" i="3"/>
  <c r="AL137" i="3"/>
  <c r="AM137" i="3"/>
  <c r="AE138" i="3"/>
  <c r="AI138" i="3" s="1"/>
  <c r="AF138" i="3"/>
  <c r="AM138" i="3" s="1"/>
  <c r="AG138" i="3"/>
  <c r="AJ138" i="3"/>
  <c r="AL138" i="3"/>
  <c r="AO138" i="3"/>
  <c r="AP138" i="3"/>
  <c r="AE139" i="3"/>
  <c r="AI139" i="3" s="1"/>
  <c r="AF139" i="3"/>
  <c r="AG139" i="3"/>
  <c r="AO139" i="3" s="1"/>
  <c r="AJ139" i="3"/>
  <c r="AL139" i="3"/>
  <c r="AM139" i="3"/>
  <c r="AP139" i="3"/>
  <c r="AE140" i="3"/>
  <c r="AF140" i="3"/>
  <c r="AM140" i="3" s="1"/>
  <c r="AG140" i="3"/>
  <c r="AI140" i="3"/>
  <c r="AJ140" i="3"/>
  <c r="AL140" i="3"/>
  <c r="AO140" i="3"/>
  <c r="AP140" i="3"/>
  <c r="AE141" i="3"/>
  <c r="AF141" i="3"/>
  <c r="AG141" i="3"/>
  <c r="AP141" i="3" s="1"/>
  <c r="AI141" i="3"/>
  <c r="AJ141" i="3"/>
  <c r="AL141" i="3"/>
  <c r="AM141" i="3"/>
  <c r="AE142" i="3"/>
  <c r="AF142" i="3"/>
  <c r="AM142" i="3" s="1"/>
  <c r="AG142" i="3"/>
  <c r="AI142" i="3"/>
  <c r="AJ142" i="3"/>
  <c r="AL142" i="3"/>
  <c r="AO142" i="3"/>
  <c r="AP142" i="3"/>
  <c r="AE143" i="3"/>
  <c r="AI143" i="3" s="1"/>
  <c r="AF143" i="3"/>
  <c r="AG143" i="3"/>
  <c r="AJ143" i="3"/>
  <c r="AL143" i="3"/>
  <c r="AM143" i="3"/>
  <c r="AO143" i="3"/>
  <c r="AP143" i="3"/>
  <c r="AE144" i="3"/>
  <c r="AF144" i="3"/>
  <c r="AG144" i="3"/>
  <c r="AI144" i="3"/>
  <c r="AJ144" i="3"/>
  <c r="AL144" i="3"/>
  <c r="AM144" i="3"/>
  <c r="AO144" i="3"/>
  <c r="AP144" i="3"/>
  <c r="AE145" i="3"/>
  <c r="AF145" i="3"/>
  <c r="AG145" i="3"/>
  <c r="AP145" i="3" s="1"/>
  <c r="AI145" i="3"/>
  <c r="AJ145" i="3"/>
  <c r="AL145" i="3"/>
  <c r="AM145" i="3"/>
  <c r="AE146" i="3"/>
  <c r="AF146" i="3"/>
  <c r="AG146" i="3"/>
  <c r="AI146" i="3"/>
  <c r="AJ146" i="3"/>
  <c r="AL146" i="3"/>
  <c r="AM146" i="3"/>
  <c r="AO146" i="3"/>
  <c r="AP146" i="3"/>
  <c r="AE147" i="3"/>
  <c r="AF147" i="3"/>
  <c r="AG147" i="3"/>
  <c r="AP147" i="3" s="1"/>
  <c r="AI147" i="3"/>
  <c r="AJ147" i="3"/>
  <c r="AL147" i="3"/>
  <c r="AM147" i="3"/>
  <c r="AO147" i="3"/>
  <c r="AE148" i="3"/>
  <c r="AF148" i="3"/>
  <c r="AG148" i="3"/>
  <c r="AO148" i="3" s="1"/>
  <c r="AI148" i="3"/>
  <c r="AJ148" i="3"/>
  <c r="AL148" i="3"/>
  <c r="AM148" i="3"/>
  <c r="AE149" i="3"/>
  <c r="AI149" i="3" s="1"/>
  <c r="AF149" i="3"/>
  <c r="AM149" i="3" s="1"/>
  <c r="AG149" i="3"/>
  <c r="AJ149" i="3"/>
  <c r="AL149" i="3"/>
  <c r="AO149" i="3"/>
  <c r="AP149" i="3"/>
  <c r="AE150" i="3"/>
  <c r="AI150" i="3" s="1"/>
  <c r="AF150" i="3"/>
  <c r="AM150" i="3" s="1"/>
  <c r="AG150" i="3"/>
  <c r="AJ150" i="3"/>
  <c r="AL150" i="3"/>
  <c r="AO150" i="3"/>
  <c r="AP150" i="3"/>
  <c r="AE151" i="3"/>
  <c r="AF151" i="3"/>
  <c r="AG151" i="3"/>
  <c r="AP151" i="3" s="1"/>
  <c r="AI151" i="3"/>
  <c r="AJ151" i="3"/>
  <c r="AL151" i="3"/>
  <c r="AM151" i="3"/>
  <c r="AO151" i="3"/>
  <c r="AE152" i="3"/>
  <c r="AF152" i="3"/>
  <c r="AG152" i="3"/>
  <c r="AO152" i="3" s="1"/>
  <c r="AI152" i="3"/>
  <c r="AJ152" i="3"/>
  <c r="AL152" i="3"/>
  <c r="AM152" i="3"/>
  <c r="AE153" i="3"/>
  <c r="AI153" i="3" s="1"/>
  <c r="AF153" i="3"/>
  <c r="AM153" i="3" s="1"/>
  <c r="AG153" i="3"/>
  <c r="AO153" i="3" s="1"/>
  <c r="AJ153" i="3"/>
  <c r="AL153" i="3"/>
  <c r="AP153" i="3"/>
  <c r="AE154" i="3"/>
  <c r="AI154" i="3" s="1"/>
  <c r="AF154" i="3"/>
  <c r="AM154" i="3" s="1"/>
  <c r="AG154" i="3"/>
  <c r="AJ154" i="3"/>
  <c r="AL154" i="3"/>
  <c r="AO154" i="3"/>
  <c r="AP154" i="3"/>
  <c r="AE155" i="3"/>
  <c r="AF155" i="3"/>
  <c r="AG155" i="3"/>
  <c r="AP155" i="3" s="1"/>
  <c r="AI155" i="3"/>
  <c r="AJ155" i="3"/>
  <c r="AL155" i="3"/>
  <c r="AM155" i="3"/>
  <c r="AO155" i="3"/>
  <c r="AE156" i="3"/>
  <c r="AF156" i="3"/>
  <c r="AG156" i="3"/>
  <c r="AO156" i="3" s="1"/>
  <c r="AI156" i="3"/>
  <c r="AJ156" i="3"/>
  <c r="AL156" i="3"/>
  <c r="AM156" i="3"/>
  <c r="AE157" i="3"/>
  <c r="AI157" i="3" s="1"/>
  <c r="AF157" i="3"/>
  <c r="AM157" i="3" s="1"/>
  <c r="AG157" i="3"/>
  <c r="AO157" i="3" s="1"/>
  <c r="AJ157" i="3"/>
  <c r="AL157" i="3"/>
  <c r="AP157" i="3"/>
  <c r="AE158" i="3"/>
  <c r="AI158" i="3" s="1"/>
  <c r="AF158" i="3"/>
  <c r="AM158" i="3" s="1"/>
  <c r="AG158" i="3"/>
  <c r="AJ158" i="3"/>
  <c r="AL158" i="3"/>
  <c r="AO158" i="3"/>
  <c r="AP158" i="3"/>
  <c r="AE159" i="3"/>
  <c r="AF159" i="3"/>
  <c r="AG159" i="3"/>
  <c r="AP159" i="3" s="1"/>
  <c r="AI159" i="3"/>
  <c r="AJ159" i="3"/>
  <c r="AL159" i="3"/>
  <c r="AM159" i="3"/>
  <c r="AO159" i="3"/>
  <c r="AE160" i="3"/>
  <c r="AF160" i="3"/>
  <c r="AG160" i="3"/>
  <c r="AO160" i="3" s="1"/>
  <c r="AI160" i="3"/>
  <c r="AJ160" i="3"/>
  <c r="AL160" i="3"/>
  <c r="AM160" i="3"/>
  <c r="AE161" i="3"/>
  <c r="AI161" i="3" s="1"/>
  <c r="AF161" i="3"/>
  <c r="AM161" i="3" s="1"/>
  <c r="AG161" i="3"/>
  <c r="AO161" i="3" s="1"/>
  <c r="AJ161" i="3"/>
  <c r="AL161" i="3"/>
  <c r="AP161" i="3"/>
  <c r="AE162" i="3"/>
  <c r="AI162" i="3" s="1"/>
  <c r="AF162" i="3"/>
  <c r="AM162" i="3" s="1"/>
  <c r="AG162" i="3"/>
  <c r="AJ162" i="3"/>
  <c r="AL162" i="3"/>
  <c r="AO162" i="3"/>
  <c r="AP162" i="3"/>
  <c r="AE163" i="3"/>
  <c r="AF163" i="3"/>
  <c r="AG163" i="3"/>
  <c r="AP163" i="3" s="1"/>
  <c r="AI163" i="3"/>
  <c r="AJ163" i="3"/>
  <c r="AL163" i="3"/>
  <c r="AM163" i="3"/>
  <c r="AO163" i="3"/>
  <c r="AE164" i="3"/>
  <c r="AF164" i="3"/>
  <c r="AG164" i="3"/>
  <c r="AO164" i="3" s="1"/>
  <c r="AI164" i="3"/>
  <c r="AJ164" i="3"/>
  <c r="AL164" i="3"/>
  <c r="AM164" i="3"/>
  <c r="AE165" i="3"/>
  <c r="AI165" i="3" s="1"/>
  <c r="AF165" i="3"/>
  <c r="AM165" i="3" s="1"/>
  <c r="AG165" i="3"/>
  <c r="AO165" i="3" s="1"/>
  <c r="AJ165" i="3"/>
  <c r="AL165" i="3"/>
  <c r="AP165" i="3"/>
  <c r="AE166" i="3"/>
  <c r="AI166" i="3" s="1"/>
  <c r="AF166" i="3"/>
  <c r="AM166" i="3" s="1"/>
  <c r="AG166" i="3"/>
  <c r="AJ166" i="3"/>
  <c r="AL166" i="3"/>
  <c r="AO166" i="3"/>
  <c r="AP166" i="3"/>
  <c r="AE167" i="3"/>
  <c r="AF167" i="3"/>
  <c r="AG167" i="3"/>
  <c r="AP167" i="3" s="1"/>
  <c r="AI167" i="3"/>
  <c r="AJ167" i="3"/>
  <c r="AL167" i="3"/>
  <c r="AM167" i="3"/>
  <c r="AO167" i="3"/>
  <c r="AE168" i="3"/>
  <c r="AF168" i="3"/>
  <c r="AG168" i="3"/>
  <c r="AO168" i="3" s="1"/>
  <c r="AI168" i="3"/>
  <c r="AJ168" i="3"/>
  <c r="AL168" i="3"/>
  <c r="AM168" i="3"/>
  <c r="AE169" i="3"/>
  <c r="AI169" i="3" s="1"/>
  <c r="AF169" i="3"/>
  <c r="AM169" i="3" s="1"/>
  <c r="AG169" i="3"/>
  <c r="AO169" i="3" s="1"/>
  <c r="AJ169" i="3"/>
  <c r="AL169" i="3"/>
  <c r="AP169" i="3"/>
  <c r="AE170" i="3"/>
  <c r="AI170" i="3" s="1"/>
  <c r="AF170" i="3"/>
  <c r="AM170" i="3" s="1"/>
  <c r="AG170" i="3"/>
  <c r="AJ170" i="3"/>
  <c r="AL170" i="3"/>
  <c r="AO170" i="3"/>
  <c r="AP170" i="3"/>
  <c r="AE171" i="3"/>
  <c r="AF171" i="3"/>
  <c r="AG171" i="3"/>
  <c r="AP171" i="3" s="1"/>
  <c r="AI171" i="3"/>
  <c r="AJ171" i="3"/>
  <c r="AL171" i="3"/>
  <c r="AM171" i="3"/>
  <c r="AO171" i="3"/>
  <c r="AE172" i="3"/>
  <c r="AI172" i="3" s="1"/>
  <c r="AF172" i="3"/>
  <c r="AG172" i="3"/>
  <c r="AO172" i="3" s="1"/>
  <c r="AJ172" i="3"/>
  <c r="AL172" i="3"/>
  <c r="AM172" i="3"/>
  <c r="AE173" i="3"/>
  <c r="AI173" i="3" s="1"/>
  <c r="AF173" i="3"/>
  <c r="AM173" i="3" s="1"/>
  <c r="AG173" i="3"/>
  <c r="AJ173" i="3"/>
  <c r="AL173" i="3"/>
  <c r="AO173" i="3"/>
  <c r="AP173" i="3"/>
  <c r="AE174" i="3"/>
  <c r="AI174" i="3" s="1"/>
  <c r="AF174" i="3"/>
  <c r="AG174" i="3"/>
  <c r="AJ174" i="3"/>
  <c r="AL174" i="3"/>
  <c r="AM174" i="3"/>
  <c r="AO174" i="3"/>
  <c r="AP174" i="3"/>
  <c r="AE175" i="3"/>
  <c r="AF175" i="3"/>
  <c r="AG175" i="3"/>
  <c r="AP175" i="3" s="1"/>
  <c r="AI175" i="3"/>
  <c r="AJ175" i="3"/>
  <c r="AL175" i="3"/>
  <c r="AM175" i="3"/>
  <c r="AO175" i="3"/>
  <c r="AE176" i="3"/>
  <c r="AF176" i="3"/>
  <c r="AG176" i="3"/>
  <c r="AO176" i="3" s="1"/>
  <c r="AI176" i="3"/>
  <c r="AJ176" i="3"/>
  <c r="AL176" i="3"/>
  <c r="AM176" i="3"/>
  <c r="AE177" i="3"/>
  <c r="AI177" i="3" s="1"/>
  <c r="AF177" i="3"/>
  <c r="AM177" i="3" s="1"/>
  <c r="AG177" i="3"/>
  <c r="AJ177" i="3"/>
  <c r="AL177" i="3"/>
  <c r="AO177" i="3"/>
  <c r="AP177" i="3"/>
  <c r="AE178" i="3"/>
  <c r="AI178" i="3" s="1"/>
  <c r="AF178" i="3"/>
  <c r="AG178" i="3"/>
  <c r="AJ178" i="3"/>
  <c r="AL178" i="3"/>
  <c r="AM178" i="3"/>
  <c r="AO178" i="3"/>
  <c r="AP178" i="3"/>
  <c r="AE179" i="3"/>
  <c r="AF179" i="3"/>
  <c r="AG179" i="3"/>
  <c r="AP179" i="3" s="1"/>
  <c r="AI179" i="3"/>
  <c r="AJ179" i="3"/>
  <c r="AL179" i="3"/>
  <c r="AM179" i="3"/>
  <c r="AO179" i="3"/>
  <c r="AE180" i="3"/>
  <c r="AF180" i="3"/>
  <c r="AG180" i="3"/>
  <c r="AO180" i="3" s="1"/>
  <c r="AI180" i="3"/>
  <c r="AJ180" i="3"/>
  <c r="AL180" i="3"/>
  <c r="AM180" i="3"/>
  <c r="AE181" i="3"/>
  <c r="AI181" i="3" s="1"/>
  <c r="AF181" i="3"/>
  <c r="AM181" i="3" s="1"/>
  <c r="AG181" i="3"/>
  <c r="AJ181" i="3"/>
  <c r="AL181" i="3"/>
  <c r="AO181" i="3"/>
  <c r="AP181" i="3"/>
  <c r="AE182" i="3"/>
  <c r="AI182" i="3" s="1"/>
  <c r="AF182" i="3"/>
  <c r="AG182" i="3"/>
  <c r="AO182" i="3" s="1"/>
  <c r="AJ182" i="3"/>
  <c r="AL182" i="3"/>
  <c r="AM182" i="3"/>
  <c r="AP182" i="3"/>
  <c r="AE183" i="3"/>
  <c r="AF183" i="3"/>
  <c r="AM183" i="3" s="1"/>
  <c r="AG183" i="3"/>
  <c r="AP183" i="3" s="1"/>
  <c r="AI183" i="3"/>
  <c r="AJ183" i="3"/>
  <c r="AL183" i="3"/>
  <c r="AO183" i="3"/>
  <c r="AE184" i="3"/>
  <c r="AI184" i="3" s="1"/>
  <c r="AF184" i="3"/>
  <c r="AG184" i="3"/>
  <c r="AO184" i="3" s="1"/>
  <c r="AJ184" i="3"/>
  <c r="AL184" i="3"/>
  <c r="AM184" i="3"/>
  <c r="AP184" i="3"/>
  <c r="AE185" i="3"/>
  <c r="AF185" i="3"/>
  <c r="AM185" i="3" s="1"/>
  <c r="AG185" i="3"/>
  <c r="AI185" i="3"/>
  <c r="AJ185" i="3"/>
  <c r="AL185" i="3"/>
  <c r="AO185" i="3"/>
  <c r="AP185" i="3"/>
  <c r="AE186" i="3"/>
  <c r="AI186" i="3" s="1"/>
  <c r="AF186" i="3"/>
  <c r="AG186" i="3"/>
  <c r="AO186" i="3" s="1"/>
  <c r="AJ186" i="3"/>
  <c r="AL186" i="3"/>
  <c r="AM186" i="3"/>
  <c r="AP186" i="3"/>
  <c r="AE187" i="3"/>
  <c r="AF187" i="3"/>
  <c r="AM187" i="3" s="1"/>
  <c r="AG187" i="3"/>
  <c r="AP187" i="3" s="1"/>
  <c r="AI187" i="3"/>
  <c r="AJ187" i="3"/>
  <c r="AL187" i="3"/>
  <c r="AO187" i="3"/>
  <c r="AE188" i="3"/>
  <c r="AI188" i="3" s="1"/>
  <c r="AF188" i="3"/>
  <c r="AG188" i="3"/>
  <c r="AO188" i="3" s="1"/>
  <c r="AJ188" i="3"/>
  <c r="AL188" i="3"/>
  <c r="AM188" i="3"/>
  <c r="AP188" i="3"/>
  <c r="AE189" i="3"/>
  <c r="AF189" i="3"/>
  <c r="AM189" i="3" s="1"/>
  <c r="AG189" i="3"/>
  <c r="AI189" i="3"/>
  <c r="AJ189" i="3"/>
  <c r="AL189" i="3"/>
  <c r="AO189" i="3"/>
  <c r="AP189" i="3"/>
  <c r="AE190" i="3"/>
  <c r="AI190" i="3" s="1"/>
  <c r="AF190" i="3"/>
  <c r="AG190" i="3"/>
  <c r="AO190" i="3" s="1"/>
  <c r="AJ190" i="3"/>
  <c r="AL190" i="3"/>
  <c r="AM190" i="3"/>
  <c r="AP190" i="3"/>
  <c r="AE191" i="3"/>
  <c r="AF191" i="3"/>
  <c r="AM191" i="3" s="1"/>
  <c r="AG191" i="3"/>
  <c r="AP191" i="3" s="1"/>
  <c r="AI191" i="3"/>
  <c r="AJ191" i="3"/>
  <c r="AL191" i="3"/>
  <c r="AO191" i="3"/>
  <c r="AE192" i="3"/>
  <c r="AI192" i="3" s="1"/>
  <c r="AF192" i="3"/>
  <c r="AG192" i="3"/>
  <c r="AO192" i="3" s="1"/>
  <c r="AJ192" i="3"/>
  <c r="AL192" i="3"/>
  <c r="AM192" i="3"/>
  <c r="AP192" i="3"/>
  <c r="AE193" i="3"/>
  <c r="AF193" i="3"/>
  <c r="AM193" i="3" s="1"/>
  <c r="AG193" i="3"/>
  <c r="AI193" i="3"/>
  <c r="AJ193" i="3"/>
  <c r="AL193" i="3"/>
  <c r="AO193" i="3"/>
  <c r="AP193" i="3"/>
  <c r="AE194" i="3"/>
  <c r="AI194" i="3" s="1"/>
  <c r="AF194" i="3"/>
  <c r="AG194" i="3"/>
  <c r="AO194" i="3" s="1"/>
  <c r="AJ194" i="3"/>
  <c r="AL194" i="3"/>
  <c r="AM194" i="3"/>
  <c r="AP194" i="3"/>
  <c r="AE195" i="3"/>
  <c r="AF195" i="3"/>
  <c r="AM195" i="3" s="1"/>
  <c r="AG195" i="3"/>
  <c r="AP195" i="3" s="1"/>
  <c r="AI195" i="3"/>
  <c r="AJ195" i="3"/>
  <c r="AL195" i="3"/>
  <c r="AO195" i="3"/>
  <c r="AE196" i="3"/>
  <c r="AI196" i="3" s="1"/>
  <c r="AF196" i="3"/>
  <c r="AG196" i="3"/>
  <c r="AO196" i="3" s="1"/>
  <c r="AJ196" i="3"/>
  <c r="AL196" i="3"/>
  <c r="AM196" i="3"/>
  <c r="AP196" i="3"/>
  <c r="AE197" i="3"/>
  <c r="AF197" i="3"/>
  <c r="AM197" i="3" s="1"/>
  <c r="AG197" i="3"/>
  <c r="AI197" i="3"/>
  <c r="AJ197" i="3"/>
  <c r="AL197" i="3"/>
  <c r="AO197" i="3"/>
  <c r="AP197" i="3"/>
  <c r="AE198" i="3"/>
  <c r="AI198" i="3" s="1"/>
  <c r="AF198" i="3"/>
  <c r="AG198" i="3"/>
  <c r="AO198" i="3" s="1"/>
  <c r="AJ198" i="3"/>
  <c r="AL198" i="3"/>
  <c r="AM198" i="3"/>
  <c r="AP198" i="3"/>
  <c r="AE199" i="3"/>
  <c r="AF199" i="3"/>
  <c r="AM199" i="3" s="1"/>
  <c r="AG199" i="3"/>
  <c r="AP199" i="3" s="1"/>
  <c r="AI199" i="3"/>
  <c r="AJ199" i="3"/>
  <c r="AL199" i="3"/>
  <c r="AO199" i="3"/>
  <c r="AE200" i="3"/>
  <c r="AI200" i="3" s="1"/>
  <c r="AF200" i="3"/>
  <c r="AG200" i="3"/>
  <c r="AO200" i="3" s="1"/>
  <c r="AJ200" i="3"/>
  <c r="AL200" i="3"/>
  <c r="AM200" i="3"/>
  <c r="AP200" i="3"/>
  <c r="AE201" i="3"/>
  <c r="AF201" i="3"/>
  <c r="AM201" i="3" s="1"/>
  <c r="AG201" i="3"/>
  <c r="AI201" i="3"/>
  <c r="AJ201" i="3"/>
  <c r="AL201" i="3"/>
  <c r="AO201" i="3"/>
  <c r="AP201" i="3"/>
  <c r="AE202" i="3"/>
  <c r="AI202" i="3" s="1"/>
  <c r="AF202" i="3"/>
  <c r="AG202" i="3"/>
  <c r="AO202" i="3" s="1"/>
  <c r="AJ202" i="3"/>
  <c r="AL202" i="3"/>
  <c r="AM202" i="3"/>
  <c r="AP202" i="3"/>
  <c r="AE203" i="3"/>
  <c r="AF203" i="3"/>
  <c r="AG203" i="3"/>
  <c r="AI203" i="3"/>
  <c r="AJ203" i="3"/>
  <c r="AL203" i="3"/>
  <c r="AM203" i="3"/>
  <c r="AO203" i="3"/>
  <c r="AP203" i="3"/>
  <c r="AE204" i="3"/>
  <c r="AF204" i="3"/>
  <c r="AG204" i="3"/>
  <c r="AI204" i="3"/>
  <c r="AJ204" i="3"/>
  <c r="AL204" i="3"/>
  <c r="AM204" i="3"/>
  <c r="AO204" i="3"/>
  <c r="AP204" i="3"/>
  <c r="AE205" i="3"/>
  <c r="AF205" i="3"/>
  <c r="AG205" i="3"/>
  <c r="AI205" i="3"/>
  <c r="AJ205" i="3"/>
  <c r="AL205" i="3"/>
  <c r="AM205" i="3"/>
  <c r="AO205" i="3"/>
  <c r="AP205" i="3"/>
  <c r="AE206" i="3"/>
  <c r="AF206" i="3"/>
  <c r="AG206" i="3"/>
  <c r="AI206" i="3"/>
  <c r="AJ206" i="3"/>
  <c r="AL206" i="3"/>
  <c r="AM206" i="3"/>
  <c r="AO206" i="3"/>
  <c r="AP206" i="3"/>
  <c r="AE207" i="3"/>
  <c r="AF207" i="3"/>
  <c r="AG207" i="3"/>
  <c r="AI207" i="3"/>
  <c r="AJ207" i="3"/>
  <c r="AL207" i="3"/>
  <c r="AM207" i="3"/>
  <c r="AO207" i="3"/>
  <c r="AP207" i="3"/>
  <c r="AE208" i="3"/>
  <c r="AF208" i="3"/>
  <c r="AG208" i="3"/>
  <c r="AI208" i="3"/>
  <c r="AJ208" i="3"/>
  <c r="AL208" i="3"/>
  <c r="AM208" i="3"/>
  <c r="AO208" i="3"/>
  <c r="AP208" i="3"/>
  <c r="AE209" i="3"/>
  <c r="AI209" i="3" s="1"/>
  <c r="AF209" i="3"/>
  <c r="AG209" i="3"/>
  <c r="AJ209" i="3"/>
  <c r="AL209" i="3"/>
  <c r="AM209" i="3"/>
  <c r="AO209" i="3"/>
  <c r="AP209" i="3"/>
  <c r="AE210" i="3"/>
  <c r="AF210" i="3"/>
  <c r="AG210" i="3"/>
  <c r="AI210" i="3"/>
  <c r="AJ210" i="3"/>
  <c r="AL210" i="3"/>
  <c r="AM210" i="3"/>
  <c r="AO210" i="3"/>
  <c r="AP210" i="3"/>
  <c r="AE211" i="3"/>
  <c r="AF211" i="3"/>
  <c r="AG211" i="3"/>
  <c r="AI211" i="3"/>
  <c r="AJ211" i="3"/>
  <c r="AL211" i="3"/>
  <c r="AM211" i="3"/>
  <c r="AO211" i="3"/>
  <c r="AP211" i="3"/>
  <c r="AE212" i="3"/>
  <c r="AF212" i="3"/>
  <c r="AG212" i="3"/>
  <c r="AO212" i="3" s="1"/>
  <c r="AI212" i="3"/>
  <c r="AJ212" i="3"/>
  <c r="AL212" i="3"/>
  <c r="AM212" i="3"/>
  <c r="AE213" i="3"/>
  <c r="AI213" i="3" s="1"/>
  <c r="AF213" i="3"/>
  <c r="AM213" i="3" s="1"/>
  <c r="AG213" i="3"/>
  <c r="AO213" i="3" s="1"/>
  <c r="AJ213" i="3"/>
  <c r="AL213" i="3"/>
  <c r="AP213" i="3"/>
  <c r="AE214" i="3"/>
  <c r="AI214" i="3" s="1"/>
  <c r="AF214" i="3"/>
  <c r="AG214" i="3"/>
  <c r="AO214" i="3" s="1"/>
  <c r="AJ214" i="3"/>
  <c r="AL214" i="3"/>
  <c r="AM214" i="3"/>
  <c r="AP214" i="3"/>
  <c r="AE215" i="3"/>
  <c r="AF215" i="3"/>
  <c r="AM215" i="3" s="1"/>
  <c r="AG215" i="3"/>
  <c r="AI215" i="3"/>
  <c r="AJ215" i="3"/>
  <c r="AL215" i="3"/>
  <c r="AO215" i="3"/>
  <c r="AP215" i="3"/>
  <c r="AE216" i="3"/>
  <c r="AI216" i="3" s="1"/>
  <c r="AF216" i="3"/>
  <c r="AG216" i="3"/>
  <c r="AO216" i="3" s="1"/>
  <c r="AJ216" i="3"/>
  <c r="AL216" i="3"/>
  <c r="AM216" i="3"/>
  <c r="AP216" i="3"/>
  <c r="AE217" i="3"/>
  <c r="AF217" i="3"/>
  <c r="AM217" i="3" s="1"/>
  <c r="AG217" i="3"/>
  <c r="AI217" i="3"/>
  <c r="AJ217" i="3"/>
  <c r="AL217" i="3"/>
  <c r="AO217" i="3"/>
  <c r="AP217" i="3"/>
  <c r="AE218" i="3"/>
  <c r="AI218" i="3" s="1"/>
  <c r="AF218" i="3"/>
  <c r="AG218" i="3"/>
  <c r="AO218" i="3" s="1"/>
  <c r="AJ218" i="3"/>
  <c r="AL218" i="3"/>
  <c r="AM218" i="3"/>
  <c r="AP218" i="3"/>
  <c r="AE219" i="3"/>
  <c r="AF219" i="3"/>
  <c r="AM219" i="3" s="1"/>
  <c r="AG219" i="3"/>
  <c r="AI219" i="3"/>
  <c r="AJ219" i="3"/>
  <c r="AL219" i="3"/>
  <c r="AO219" i="3"/>
  <c r="AP219" i="3"/>
  <c r="AE220" i="3"/>
  <c r="AI220" i="3" s="1"/>
  <c r="AF220" i="3"/>
  <c r="AG220" i="3"/>
  <c r="AO220" i="3" s="1"/>
  <c r="AJ220" i="3"/>
  <c r="AL220" i="3"/>
  <c r="AM220" i="3"/>
  <c r="AP220" i="3"/>
  <c r="AE221" i="3"/>
  <c r="AF221" i="3"/>
  <c r="AM221" i="3" s="1"/>
  <c r="AG221" i="3"/>
  <c r="AI221" i="3"/>
  <c r="AJ221" i="3"/>
  <c r="AL221" i="3"/>
  <c r="AO221" i="3"/>
  <c r="AP221" i="3"/>
  <c r="AE222" i="3"/>
  <c r="AI222" i="3" s="1"/>
  <c r="AF222" i="3"/>
  <c r="AG222" i="3"/>
  <c r="AO222" i="3" s="1"/>
  <c r="AJ222" i="3"/>
  <c r="AL222" i="3"/>
  <c r="AM222" i="3"/>
  <c r="AP222" i="3"/>
  <c r="AE223" i="3"/>
  <c r="AF223" i="3"/>
  <c r="AM223" i="3" s="1"/>
  <c r="AG223" i="3"/>
  <c r="AI223" i="3"/>
  <c r="AJ223" i="3"/>
  <c r="AL223" i="3"/>
  <c r="AO223" i="3"/>
  <c r="AP223" i="3"/>
  <c r="AE224" i="3"/>
  <c r="AI224" i="3" s="1"/>
  <c r="AF224" i="3"/>
  <c r="AG224" i="3"/>
  <c r="AO224" i="3" s="1"/>
  <c r="AJ224" i="3"/>
  <c r="AL224" i="3"/>
  <c r="AM224" i="3"/>
  <c r="AP224" i="3"/>
  <c r="AE225" i="3"/>
  <c r="AF225" i="3"/>
  <c r="AM225" i="3" s="1"/>
  <c r="AG225" i="3"/>
  <c r="AI225" i="3"/>
  <c r="AJ225" i="3"/>
  <c r="AL225" i="3"/>
  <c r="AO225" i="3"/>
  <c r="AP225" i="3"/>
  <c r="AE226" i="3"/>
  <c r="AI226" i="3" s="1"/>
  <c r="AF226" i="3"/>
  <c r="AG226" i="3"/>
  <c r="AO226" i="3" s="1"/>
  <c r="AJ226" i="3"/>
  <c r="AL226" i="3"/>
  <c r="AM226" i="3"/>
  <c r="AP226" i="3"/>
  <c r="AE227" i="3"/>
  <c r="AF227" i="3"/>
  <c r="AM227" i="3" s="1"/>
  <c r="AG227" i="3"/>
  <c r="AI227" i="3"/>
  <c r="AJ227" i="3"/>
  <c r="AL227" i="3"/>
  <c r="AO227" i="3"/>
  <c r="AP227" i="3"/>
  <c r="AE228" i="3"/>
  <c r="AI228" i="3" s="1"/>
  <c r="AF228" i="3"/>
  <c r="AG228" i="3"/>
  <c r="AO228" i="3" s="1"/>
  <c r="AJ228" i="3"/>
  <c r="AL228" i="3"/>
  <c r="AM228" i="3"/>
  <c r="AP228" i="3"/>
  <c r="AE229" i="3"/>
  <c r="AF229" i="3"/>
  <c r="AM229" i="3" s="1"/>
  <c r="AG229" i="3"/>
  <c r="AI229" i="3"/>
  <c r="AJ229" i="3"/>
  <c r="AL229" i="3"/>
  <c r="AO229" i="3"/>
  <c r="AP229" i="3"/>
  <c r="AE230" i="3"/>
  <c r="AI230" i="3" s="1"/>
  <c r="AF230" i="3"/>
  <c r="AG230" i="3"/>
  <c r="AO230" i="3" s="1"/>
  <c r="AJ230" i="3"/>
  <c r="AL230" i="3"/>
  <c r="AM230" i="3"/>
  <c r="AP230" i="3"/>
  <c r="AE231" i="3"/>
  <c r="AF231" i="3"/>
  <c r="AM231" i="3" s="1"/>
  <c r="AG231" i="3"/>
  <c r="AI231" i="3"/>
  <c r="AJ231" i="3"/>
  <c r="AL231" i="3"/>
  <c r="AO231" i="3"/>
  <c r="AP231" i="3"/>
  <c r="AE232" i="3"/>
  <c r="AI232" i="3" s="1"/>
  <c r="AF232" i="3"/>
  <c r="AG232" i="3"/>
  <c r="AO232" i="3" s="1"/>
  <c r="AJ232" i="3"/>
  <c r="AL232" i="3"/>
  <c r="AM232" i="3"/>
  <c r="AP232" i="3"/>
  <c r="AE233" i="3"/>
  <c r="AF233" i="3"/>
  <c r="AM233" i="3" s="1"/>
  <c r="AG233" i="3"/>
  <c r="AI233" i="3"/>
  <c r="AJ233" i="3"/>
  <c r="AL233" i="3"/>
  <c r="AO233" i="3"/>
  <c r="AP233" i="3"/>
  <c r="AE234" i="3"/>
  <c r="AI234" i="3" s="1"/>
  <c r="AF234" i="3"/>
  <c r="AG234" i="3"/>
  <c r="AO234" i="3" s="1"/>
  <c r="AJ234" i="3"/>
  <c r="AL234" i="3"/>
  <c r="AM234" i="3"/>
  <c r="AP234" i="3"/>
  <c r="AE235" i="3"/>
  <c r="AF235" i="3"/>
  <c r="AG235" i="3"/>
  <c r="AP235" i="3" s="1"/>
  <c r="AI235" i="3"/>
  <c r="AJ235" i="3"/>
  <c r="AL235" i="3"/>
  <c r="AM235" i="3"/>
  <c r="AO235" i="3"/>
  <c r="AE236" i="3"/>
  <c r="AI236" i="3" s="1"/>
  <c r="AF236" i="3"/>
  <c r="AG236" i="3"/>
  <c r="AO236" i="3" s="1"/>
  <c r="AJ236" i="3"/>
  <c r="AL236" i="3"/>
  <c r="AM236" i="3"/>
  <c r="AP236" i="3"/>
  <c r="AE237" i="3"/>
  <c r="AI237" i="3" s="1"/>
  <c r="AF237" i="3"/>
  <c r="AM237" i="3" s="1"/>
  <c r="AG237" i="3"/>
  <c r="AJ237" i="3"/>
  <c r="AL237" i="3"/>
  <c r="AO237" i="3"/>
  <c r="AP237" i="3"/>
  <c r="AE238" i="3"/>
  <c r="AF238" i="3"/>
  <c r="AG238" i="3"/>
  <c r="AI238" i="3"/>
  <c r="AJ238" i="3"/>
  <c r="AL238" i="3"/>
  <c r="AM238" i="3"/>
  <c r="AO238" i="3"/>
  <c r="AP238" i="3"/>
  <c r="AE239" i="3"/>
  <c r="AF239" i="3"/>
  <c r="AG239" i="3"/>
  <c r="AP239" i="3" s="1"/>
  <c r="AI239" i="3"/>
  <c r="AJ239" i="3"/>
  <c r="AL239" i="3"/>
  <c r="AM239" i="3"/>
  <c r="AE240" i="3"/>
  <c r="AI240" i="3" s="1"/>
  <c r="AF240" i="3"/>
  <c r="AM240" i="3" s="1"/>
  <c r="AG240" i="3"/>
  <c r="AO240" i="3" s="1"/>
  <c r="AJ240" i="3"/>
  <c r="AL240" i="3"/>
  <c r="AP240" i="3"/>
  <c r="AE241" i="3"/>
  <c r="AI241" i="3" s="1"/>
  <c r="AF241" i="3"/>
  <c r="AM241" i="3" s="1"/>
  <c r="AG241" i="3"/>
  <c r="AJ241" i="3"/>
  <c r="AL241" i="3"/>
  <c r="AO241" i="3"/>
  <c r="AP241" i="3"/>
  <c r="AE242" i="3"/>
  <c r="AF242" i="3"/>
  <c r="AG242" i="3"/>
  <c r="AI242" i="3"/>
  <c r="AJ242" i="3"/>
  <c r="AL242" i="3"/>
  <c r="AM242" i="3"/>
  <c r="AO242" i="3"/>
  <c r="AP242" i="3"/>
  <c r="AE243" i="3"/>
  <c r="AF243" i="3"/>
  <c r="AG243" i="3"/>
  <c r="AP243" i="3" s="1"/>
  <c r="AI243" i="3"/>
  <c r="AJ243" i="3"/>
  <c r="AL243" i="3"/>
  <c r="AM243" i="3"/>
  <c r="AE244" i="3"/>
  <c r="AI244" i="3" s="1"/>
  <c r="AF244" i="3"/>
  <c r="AM244" i="3" s="1"/>
  <c r="AG244" i="3"/>
  <c r="AO244" i="3" s="1"/>
  <c r="AJ244" i="3"/>
  <c r="AL244" i="3"/>
  <c r="AP244" i="3"/>
  <c r="AE245" i="3"/>
  <c r="AI245" i="3" s="1"/>
  <c r="AF245" i="3"/>
  <c r="AM245" i="3" s="1"/>
  <c r="AG245" i="3"/>
  <c r="AJ245" i="3"/>
  <c r="AL245" i="3"/>
  <c r="AO245" i="3"/>
  <c r="AP245" i="3"/>
  <c r="AE246" i="3"/>
  <c r="AI246" i="3" s="1"/>
  <c r="AF246" i="3"/>
  <c r="AG246" i="3"/>
  <c r="AO246" i="3" s="1"/>
  <c r="AJ246" i="3"/>
  <c r="AL246" i="3"/>
  <c r="AM246" i="3"/>
  <c r="AP246" i="3"/>
  <c r="AE247" i="3"/>
  <c r="AF247" i="3"/>
  <c r="AM247" i="3" s="1"/>
  <c r="AG247" i="3"/>
  <c r="AI247" i="3"/>
  <c r="AJ247" i="3"/>
  <c r="AL247" i="3"/>
  <c r="AO247" i="3"/>
  <c r="AP247" i="3"/>
  <c r="AE248" i="3"/>
  <c r="AI248" i="3" s="1"/>
  <c r="AF248" i="3"/>
  <c r="AG248" i="3"/>
  <c r="AO248" i="3" s="1"/>
  <c r="AJ248" i="3"/>
  <c r="AL248" i="3"/>
  <c r="AM248" i="3"/>
  <c r="AP248" i="3"/>
  <c r="AE249" i="3"/>
  <c r="AF249" i="3"/>
  <c r="AM249" i="3" s="1"/>
  <c r="AG249" i="3"/>
  <c r="AI249" i="3"/>
  <c r="AJ249" i="3"/>
  <c r="AL249" i="3"/>
  <c r="AO249" i="3"/>
  <c r="AP249" i="3"/>
  <c r="AE250" i="3"/>
  <c r="AI250" i="3" s="1"/>
  <c r="AF250" i="3"/>
  <c r="AG250" i="3"/>
  <c r="AO250" i="3" s="1"/>
  <c r="AJ250" i="3"/>
  <c r="AL250" i="3"/>
  <c r="AM250" i="3"/>
  <c r="AP250" i="3"/>
  <c r="AE251" i="3"/>
  <c r="AF251" i="3"/>
  <c r="AM251" i="3" s="1"/>
  <c r="AG251" i="3"/>
  <c r="AI251" i="3"/>
  <c r="AJ251" i="3"/>
  <c r="AL251" i="3"/>
  <c r="AO251" i="3"/>
  <c r="AP251" i="3"/>
  <c r="AE252" i="3"/>
  <c r="AI252" i="3" s="1"/>
  <c r="AF252" i="3"/>
  <c r="AG252" i="3"/>
  <c r="AO252" i="3" s="1"/>
  <c r="AJ252" i="3"/>
  <c r="AL252" i="3"/>
  <c r="AM252" i="3"/>
  <c r="AP252" i="3"/>
  <c r="AE253" i="3"/>
  <c r="AF253" i="3"/>
  <c r="AM253" i="3" s="1"/>
  <c r="AG253" i="3"/>
  <c r="AI253" i="3"/>
  <c r="AJ253" i="3"/>
  <c r="AL253" i="3"/>
  <c r="AO253" i="3"/>
  <c r="AP253" i="3"/>
  <c r="AE254" i="3"/>
  <c r="AI254" i="3" s="1"/>
  <c r="AF254" i="3"/>
  <c r="AG254" i="3"/>
  <c r="AO254" i="3" s="1"/>
  <c r="AJ254" i="3"/>
  <c r="AL254" i="3"/>
  <c r="AM254" i="3"/>
  <c r="AP254" i="3"/>
  <c r="AE255" i="3"/>
  <c r="AF255" i="3"/>
  <c r="AM255" i="3" s="1"/>
  <c r="AG255" i="3"/>
  <c r="AI255" i="3"/>
  <c r="AJ255" i="3"/>
  <c r="AL255" i="3"/>
  <c r="AO255" i="3"/>
  <c r="AP255" i="3"/>
  <c r="AE256" i="3"/>
  <c r="AI256" i="3" s="1"/>
  <c r="AF256" i="3"/>
  <c r="AG256" i="3"/>
  <c r="AO256" i="3" s="1"/>
  <c r="AJ256" i="3"/>
  <c r="AL256" i="3"/>
  <c r="AM256" i="3"/>
  <c r="AP256" i="3"/>
  <c r="AE257" i="3"/>
  <c r="AF257" i="3"/>
  <c r="AM257" i="3" s="1"/>
  <c r="AG257" i="3"/>
  <c r="AI257" i="3"/>
  <c r="AJ257" i="3"/>
  <c r="AL257" i="3"/>
  <c r="AO257" i="3"/>
  <c r="AP257" i="3"/>
  <c r="AE258" i="3"/>
  <c r="AI258" i="3" s="1"/>
  <c r="AF258" i="3"/>
  <c r="AG258" i="3"/>
  <c r="AO258" i="3" s="1"/>
  <c r="AJ258" i="3"/>
  <c r="AL258" i="3"/>
  <c r="AM258" i="3"/>
  <c r="AP258" i="3"/>
  <c r="AE259" i="3"/>
  <c r="AF259" i="3"/>
  <c r="AM259" i="3" s="1"/>
  <c r="AG259" i="3"/>
  <c r="AI259" i="3"/>
  <c r="AJ259" i="3"/>
  <c r="AL259" i="3"/>
  <c r="AO259" i="3"/>
  <c r="AP259" i="3"/>
  <c r="AE260" i="3"/>
  <c r="AI260" i="3" s="1"/>
  <c r="AF260" i="3"/>
  <c r="AG260" i="3"/>
  <c r="AO260" i="3" s="1"/>
  <c r="AJ260" i="3"/>
  <c r="AL260" i="3"/>
  <c r="AM260" i="3"/>
  <c r="AP260" i="3"/>
  <c r="AE261" i="3"/>
  <c r="AF261" i="3"/>
  <c r="AM261" i="3" s="1"/>
  <c r="AG261" i="3"/>
  <c r="AI261" i="3"/>
  <c r="AJ261" i="3"/>
  <c r="AL261" i="3"/>
  <c r="AO261" i="3"/>
  <c r="AP261" i="3"/>
  <c r="AE262" i="3"/>
  <c r="AI262" i="3" s="1"/>
  <c r="AF262" i="3"/>
  <c r="AG262" i="3"/>
  <c r="AO262" i="3" s="1"/>
  <c r="AJ262" i="3"/>
  <c r="AL262" i="3"/>
  <c r="AM262" i="3"/>
  <c r="AP262" i="3"/>
  <c r="AE263" i="3"/>
  <c r="AF263" i="3"/>
  <c r="AM263" i="3" s="1"/>
  <c r="AG263" i="3"/>
  <c r="AI263" i="3"/>
  <c r="AJ263" i="3"/>
  <c r="AL263" i="3"/>
  <c r="AO263" i="3"/>
  <c r="AP263" i="3"/>
  <c r="AE264" i="3"/>
  <c r="AI264" i="3" s="1"/>
  <c r="AF264" i="3"/>
  <c r="AG264" i="3"/>
  <c r="AO264" i="3" s="1"/>
  <c r="AJ264" i="3"/>
  <c r="AL264" i="3"/>
  <c r="AM264" i="3"/>
  <c r="AP264" i="3"/>
  <c r="AE265" i="3"/>
  <c r="AF265" i="3"/>
  <c r="AM265" i="3" s="1"/>
  <c r="AG265" i="3"/>
  <c r="AI265" i="3"/>
  <c r="AJ265" i="3"/>
  <c r="AL265" i="3"/>
  <c r="AO265" i="3"/>
  <c r="AP265" i="3"/>
  <c r="AE266" i="3"/>
  <c r="AI266" i="3" s="1"/>
  <c r="AF266" i="3"/>
  <c r="AG266" i="3"/>
  <c r="AO266" i="3" s="1"/>
  <c r="AJ266" i="3"/>
  <c r="AL266" i="3"/>
  <c r="AM266" i="3"/>
  <c r="AP266" i="3"/>
  <c r="AE267" i="3"/>
  <c r="AF267" i="3"/>
  <c r="AM267" i="3" s="1"/>
  <c r="AG267" i="3"/>
  <c r="AI267" i="3"/>
  <c r="AJ267" i="3"/>
  <c r="AL267" i="3"/>
  <c r="AO267" i="3"/>
  <c r="AP267" i="3"/>
  <c r="AE268" i="3"/>
  <c r="AI268" i="3" s="1"/>
  <c r="AF268" i="3"/>
  <c r="AG268" i="3"/>
  <c r="AJ268" i="3"/>
  <c r="AL268" i="3"/>
  <c r="AM268" i="3"/>
  <c r="AO268" i="3"/>
  <c r="AP268" i="3"/>
  <c r="AE269" i="3"/>
  <c r="AF269" i="3"/>
  <c r="AG269" i="3"/>
  <c r="AI269" i="3"/>
  <c r="AJ269" i="3"/>
  <c r="AL269" i="3"/>
  <c r="AM269" i="3"/>
  <c r="AO269" i="3"/>
  <c r="AP269" i="3"/>
  <c r="AE270" i="3"/>
  <c r="AF270" i="3"/>
  <c r="AG270" i="3"/>
  <c r="AI270" i="3"/>
  <c r="AJ270" i="3"/>
  <c r="AL270" i="3"/>
  <c r="AM270" i="3"/>
  <c r="AO270" i="3"/>
  <c r="AP270" i="3"/>
  <c r="AE271" i="3"/>
  <c r="AF271" i="3"/>
  <c r="AG271" i="3"/>
  <c r="AI271" i="3"/>
  <c r="AJ271" i="3"/>
  <c r="AL271" i="3"/>
  <c r="AM271" i="3"/>
  <c r="AO271" i="3"/>
  <c r="AP271" i="3"/>
  <c r="AE272" i="3"/>
  <c r="AI272" i="3" s="1"/>
  <c r="AF272" i="3"/>
  <c r="AG272" i="3"/>
  <c r="AO272" i="3" s="1"/>
  <c r="AJ272" i="3"/>
  <c r="AL272" i="3"/>
  <c r="AM272" i="3"/>
  <c r="AP272" i="3"/>
  <c r="AE273" i="3"/>
  <c r="AF273" i="3"/>
  <c r="AM273" i="3" s="1"/>
  <c r="AG273" i="3"/>
  <c r="AI273" i="3"/>
  <c r="AJ273" i="3"/>
  <c r="AL273" i="3"/>
  <c r="AO273" i="3"/>
  <c r="AP273" i="3"/>
  <c r="AE274" i="3"/>
  <c r="AF274" i="3"/>
  <c r="AG274" i="3"/>
  <c r="AI274" i="3"/>
  <c r="AJ274" i="3"/>
  <c r="AL274" i="3"/>
  <c r="AM274" i="3"/>
  <c r="AO274" i="3"/>
  <c r="AP274" i="3"/>
  <c r="AE275" i="3"/>
  <c r="AF275" i="3"/>
  <c r="AG275" i="3"/>
  <c r="AP275" i="3" s="1"/>
  <c r="AI275" i="3"/>
  <c r="AJ275" i="3"/>
  <c r="AL275" i="3"/>
  <c r="AM275" i="3"/>
  <c r="AO275" i="3"/>
  <c r="AE276" i="3"/>
  <c r="AI276" i="3" s="1"/>
  <c r="AF276" i="3"/>
  <c r="AG276" i="3"/>
  <c r="AO276" i="3" s="1"/>
  <c r="AJ276" i="3"/>
  <c r="AL276" i="3"/>
  <c r="AM276" i="3"/>
  <c r="AP276" i="3"/>
  <c r="AE277" i="3"/>
  <c r="AI277" i="3" s="1"/>
  <c r="AF277" i="3"/>
  <c r="AM277" i="3" s="1"/>
  <c r="AG277" i="3"/>
  <c r="AO277" i="3" s="1"/>
  <c r="AJ277" i="3"/>
  <c r="AL277" i="3"/>
  <c r="AP277" i="3"/>
  <c r="AE278" i="3"/>
  <c r="AF278" i="3"/>
  <c r="AM278" i="3" s="1"/>
  <c r="AG278" i="3"/>
  <c r="AI278" i="3"/>
  <c r="AJ278" i="3"/>
  <c r="AL278" i="3"/>
  <c r="AO278" i="3"/>
  <c r="AP278" i="3"/>
  <c r="AE279" i="3"/>
  <c r="AF279" i="3"/>
  <c r="AG279" i="3"/>
  <c r="AP279" i="3" s="1"/>
  <c r="AI279" i="3"/>
  <c r="AJ279" i="3"/>
  <c r="AL279" i="3"/>
  <c r="AM279" i="3"/>
  <c r="AO279" i="3"/>
  <c r="AE280" i="3"/>
  <c r="AF280" i="3"/>
  <c r="AG280" i="3"/>
  <c r="AO280" i="3" s="1"/>
  <c r="AI280" i="3"/>
  <c r="AJ280" i="3"/>
  <c r="AL280" i="3"/>
  <c r="AM280" i="3"/>
  <c r="AE281" i="3"/>
  <c r="AI281" i="3" s="1"/>
  <c r="AF281" i="3"/>
  <c r="AM281" i="3" s="1"/>
  <c r="AG281" i="3"/>
  <c r="AO281" i="3" s="1"/>
  <c r="AJ281" i="3"/>
  <c r="AL281" i="3"/>
  <c r="AP281" i="3"/>
  <c r="AE282" i="3"/>
  <c r="AF282" i="3"/>
  <c r="AM282" i="3" s="1"/>
  <c r="AG282" i="3"/>
  <c r="AI282" i="3"/>
  <c r="AJ282" i="3"/>
  <c r="AL282" i="3"/>
  <c r="AO282" i="3"/>
  <c r="AP282" i="3"/>
  <c r="AE283" i="3"/>
  <c r="AF283" i="3"/>
  <c r="AG283" i="3"/>
  <c r="AP283" i="3" s="1"/>
  <c r="AI283" i="3"/>
  <c r="AJ283" i="3"/>
  <c r="AL283" i="3"/>
  <c r="AM283" i="3"/>
  <c r="AO283" i="3"/>
  <c r="AE284" i="3"/>
  <c r="AF284" i="3"/>
  <c r="AG284" i="3"/>
  <c r="AO284" i="3" s="1"/>
  <c r="AI284" i="3"/>
  <c r="AJ284" i="3"/>
  <c r="AL284" i="3"/>
  <c r="AM284" i="3"/>
  <c r="AE285" i="3"/>
  <c r="AI285" i="3" s="1"/>
  <c r="AF285" i="3"/>
  <c r="AM285" i="3" s="1"/>
  <c r="AG285" i="3"/>
  <c r="AO285" i="3" s="1"/>
  <c r="AJ285" i="3"/>
  <c r="AL285" i="3"/>
  <c r="AP285" i="3"/>
  <c r="AE286" i="3"/>
  <c r="AF286" i="3"/>
  <c r="AM286" i="3" s="1"/>
  <c r="AG286" i="3"/>
  <c r="AI286" i="3"/>
  <c r="AJ286" i="3"/>
  <c r="AL286" i="3"/>
  <c r="AO286" i="3"/>
  <c r="AP286" i="3"/>
  <c r="AE287" i="3"/>
  <c r="AF287" i="3"/>
  <c r="AG287" i="3"/>
  <c r="AP287" i="3" s="1"/>
  <c r="AI287" i="3"/>
  <c r="AJ287" i="3"/>
  <c r="AL287" i="3"/>
  <c r="AM287" i="3"/>
  <c r="AO287" i="3"/>
  <c r="AE288" i="3"/>
  <c r="AI288" i="3" s="1"/>
  <c r="AF288" i="3"/>
  <c r="AG288" i="3"/>
  <c r="AO288" i="3" s="1"/>
  <c r="AJ288" i="3"/>
  <c r="AL288" i="3"/>
  <c r="AM288" i="3"/>
  <c r="AP288" i="3"/>
  <c r="AE289" i="3"/>
  <c r="AI289" i="3" s="1"/>
  <c r="AF289" i="3"/>
  <c r="AM289" i="3" s="1"/>
  <c r="AG289" i="3"/>
  <c r="AJ289" i="3"/>
  <c r="AL289" i="3"/>
  <c r="AO289" i="3"/>
  <c r="AP289" i="3"/>
  <c r="AE290" i="3"/>
  <c r="AF290" i="3"/>
  <c r="AG290" i="3"/>
  <c r="AI290" i="3"/>
  <c r="AJ290" i="3"/>
  <c r="AL290" i="3"/>
  <c r="AM290" i="3"/>
  <c r="AO290" i="3"/>
  <c r="AP290" i="3"/>
  <c r="AE291" i="3"/>
  <c r="AF291" i="3"/>
  <c r="AG291" i="3"/>
  <c r="AP291" i="3" s="1"/>
  <c r="AI291" i="3"/>
  <c r="AJ291" i="3"/>
  <c r="AL291" i="3"/>
  <c r="AM291" i="3"/>
  <c r="AO291" i="3"/>
  <c r="AE292" i="3"/>
  <c r="AI292" i="3" s="1"/>
  <c r="AF292" i="3"/>
  <c r="AG292" i="3"/>
  <c r="AO292" i="3" s="1"/>
  <c r="AJ292" i="3"/>
  <c r="AL292" i="3"/>
  <c r="AM292" i="3"/>
  <c r="AE293" i="3"/>
  <c r="AI293" i="3" s="1"/>
  <c r="AF293" i="3"/>
  <c r="AM293" i="3" s="1"/>
  <c r="AG293" i="3"/>
  <c r="AJ293" i="3"/>
  <c r="AL293" i="3"/>
  <c r="AO293" i="3"/>
  <c r="AP293" i="3"/>
  <c r="AE294" i="3"/>
  <c r="AI294" i="3" s="1"/>
  <c r="AF294" i="3"/>
  <c r="AG294" i="3"/>
  <c r="AJ294" i="3"/>
  <c r="AL294" i="3"/>
  <c r="AM294" i="3"/>
  <c r="AO294" i="3"/>
  <c r="AP294" i="3"/>
  <c r="AE295" i="3"/>
  <c r="AF295" i="3"/>
  <c r="AG295" i="3"/>
  <c r="AP295" i="3" s="1"/>
  <c r="AI295" i="3"/>
  <c r="AJ295" i="3"/>
  <c r="AL295" i="3"/>
  <c r="AM295" i="3"/>
  <c r="AO295" i="3"/>
  <c r="AE296" i="3"/>
  <c r="AI296" i="3" s="1"/>
  <c r="AF296" i="3"/>
  <c r="AG296" i="3"/>
  <c r="AO296" i="3" s="1"/>
  <c r="AJ296" i="3"/>
  <c r="AL296" i="3"/>
  <c r="AM296" i="3"/>
  <c r="AE297" i="3"/>
  <c r="AI297" i="3" s="1"/>
  <c r="AF297" i="3"/>
  <c r="AM297" i="3" s="1"/>
  <c r="AG297" i="3"/>
  <c r="AJ297" i="3"/>
  <c r="AL297" i="3"/>
  <c r="AO297" i="3"/>
  <c r="AP297" i="3"/>
  <c r="AE298" i="3"/>
  <c r="AI298" i="3" s="1"/>
  <c r="AF298" i="3"/>
  <c r="AG298" i="3"/>
  <c r="AJ298" i="3"/>
  <c r="AL298" i="3"/>
  <c r="AM298" i="3"/>
  <c r="AO298" i="3"/>
  <c r="AP298" i="3"/>
  <c r="AE299" i="3"/>
  <c r="AF299" i="3"/>
  <c r="AG299" i="3"/>
  <c r="AO299" i="3" s="1"/>
  <c r="AI299" i="3"/>
  <c r="AJ299" i="3"/>
  <c r="AL299" i="3"/>
  <c r="AM299" i="3"/>
  <c r="AP299" i="3"/>
  <c r="AE300" i="3"/>
  <c r="AI300" i="3" s="1"/>
  <c r="AF300" i="3"/>
  <c r="AM300" i="3" s="1"/>
  <c r="AG300" i="3"/>
  <c r="AJ300" i="3"/>
  <c r="AL300" i="3"/>
  <c r="AO300" i="3"/>
  <c r="AP300" i="3"/>
  <c r="AE301" i="3"/>
  <c r="AF301" i="3"/>
  <c r="AG301" i="3"/>
  <c r="AI301" i="3"/>
  <c r="AJ301" i="3"/>
  <c r="AL301" i="3"/>
  <c r="AM301" i="3"/>
  <c r="AO301" i="3"/>
  <c r="AP301" i="3"/>
  <c r="AE302" i="3"/>
  <c r="AF302" i="3"/>
  <c r="AG302" i="3"/>
  <c r="AP302" i="3" s="1"/>
  <c r="AI302" i="3"/>
  <c r="AJ302" i="3"/>
  <c r="AL302" i="3"/>
  <c r="AM302" i="3"/>
  <c r="AO302" i="3"/>
  <c r="AE303" i="3"/>
  <c r="AI303" i="3" s="1"/>
  <c r="AF303" i="3"/>
  <c r="AG303" i="3"/>
  <c r="AP303" i="3" s="1"/>
  <c r="AJ303" i="3"/>
  <c r="AL303" i="3"/>
  <c r="AM303" i="3"/>
  <c r="AE304" i="3"/>
  <c r="AI304" i="3" s="1"/>
  <c r="AF304" i="3"/>
  <c r="AM304" i="3" s="1"/>
  <c r="AG304" i="3"/>
  <c r="AJ304" i="3"/>
  <c r="AL304" i="3"/>
  <c r="AO304" i="3"/>
  <c r="AP304" i="3"/>
  <c r="AE305" i="3"/>
  <c r="AI305" i="3" s="1"/>
  <c r="AF305" i="3"/>
  <c r="AG305" i="3"/>
  <c r="AJ305" i="3"/>
  <c r="AL305" i="3"/>
  <c r="AM305" i="3"/>
  <c r="AO305" i="3"/>
  <c r="AP305" i="3"/>
  <c r="AE306" i="3"/>
  <c r="AF306" i="3"/>
  <c r="AG306" i="3"/>
  <c r="AP306" i="3" s="1"/>
  <c r="AI306" i="3"/>
  <c r="AJ306" i="3"/>
  <c r="AL306" i="3"/>
  <c r="AM306" i="3"/>
  <c r="AO306" i="3"/>
  <c r="AE307" i="3"/>
  <c r="AI307" i="3" s="1"/>
  <c r="AF307" i="3"/>
  <c r="AG307" i="3"/>
  <c r="AP307" i="3" s="1"/>
  <c r="AJ307" i="3"/>
  <c r="AL307" i="3"/>
  <c r="AM307" i="3"/>
  <c r="AE308" i="3"/>
  <c r="AI308" i="3" s="1"/>
  <c r="AF308" i="3"/>
  <c r="AM308" i="3" s="1"/>
  <c r="AG308" i="3"/>
  <c r="AJ308" i="3"/>
  <c r="AL308" i="3"/>
  <c r="AO308" i="3"/>
  <c r="AP308" i="3"/>
  <c r="AE309" i="3"/>
  <c r="AI309" i="3" s="1"/>
  <c r="AF309" i="3"/>
  <c r="AG309" i="3"/>
  <c r="AO309" i="3" s="1"/>
  <c r="AJ309" i="3"/>
  <c r="AL309" i="3"/>
  <c r="AM309" i="3"/>
  <c r="AP309" i="3"/>
  <c r="AE310" i="3"/>
  <c r="AF310" i="3"/>
  <c r="AM310" i="3" s="1"/>
  <c r="AG310" i="3"/>
  <c r="AI310" i="3"/>
  <c r="AJ310" i="3"/>
  <c r="AL310" i="3"/>
  <c r="AO310" i="3"/>
  <c r="AP310" i="3"/>
  <c r="AE311" i="3"/>
  <c r="AI311" i="3" s="1"/>
  <c r="AF311" i="3"/>
  <c r="AG311" i="3"/>
  <c r="AO311" i="3" s="1"/>
  <c r="AJ311" i="3"/>
  <c r="AL311" i="3"/>
  <c r="AM311" i="3"/>
  <c r="AP311" i="3"/>
  <c r="AE312" i="3"/>
  <c r="AF312" i="3"/>
  <c r="AM312" i="3" s="1"/>
  <c r="AG312" i="3"/>
  <c r="AP312" i="3" s="1"/>
  <c r="AI312" i="3"/>
  <c r="AJ312" i="3"/>
  <c r="AL312" i="3"/>
  <c r="AO312" i="3"/>
  <c r="AE313" i="3"/>
  <c r="AI313" i="3" s="1"/>
  <c r="AF313" i="3"/>
  <c r="AG313" i="3"/>
  <c r="AO313" i="3" s="1"/>
  <c r="AJ313" i="3"/>
  <c r="AL313" i="3"/>
  <c r="AM313" i="3"/>
  <c r="AP313" i="3"/>
  <c r="AE314" i="3"/>
  <c r="AF314" i="3"/>
  <c r="AM314" i="3" s="1"/>
  <c r="AG314" i="3"/>
  <c r="AI314" i="3"/>
  <c r="AJ314" i="3"/>
  <c r="AL314" i="3"/>
  <c r="AO314" i="3"/>
  <c r="AP314" i="3"/>
  <c r="AE315" i="3"/>
  <c r="AI315" i="3" s="1"/>
  <c r="AF315" i="3"/>
  <c r="AG315" i="3"/>
  <c r="AO315" i="3" s="1"/>
  <c r="AJ315" i="3"/>
  <c r="AL315" i="3"/>
  <c r="AM315" i="3"/>
  <c r="AP315" i="3"/>
  <c r="AE316" i="3"/>
  <c r="AF316" i="3"/>
  <c r="AM316" i="3" s="1"/>
  <c r="AG316" i="3"/>
  <c r="AP316" i="3" s="1"/>
  <c r="AI316" i="3"/>
  <c r="AJ316" i="3"/>
  <c r="AL316" i="3"/>
  <c r="AO316" i="3"/>
  <c r="AE317" i="3"/>
  <c r="AI317" i="3" s="1"/>
  <c r="AF317" i="3"/>
  <c r="AG317" i="3"/>
  <c r="AO317" i="3" s="1"/>
  <c r="AJ317" i="3"/>
  <c r="AL317" i="3"/>
  <c r="AM317" i="3"/>
  <c r="AP317" i="3"/>
  <c r="AE318" i="3"/>
  <c r="AF318" i="3"/>
  <c r="AM318" i="3" s="1"/>
  <c r="AG318" i="3"/>
  <c r="AI318" i="3"/>
  <c r="AJ318" i="3"/>
  <c r="AL318" i="3"/>
  <c r="AO318" i="3"/>
  <c r="AP318" i="3"/>
  <c r="AE319" i="3"/>
  <c r="AI319" i="3" s="1"/>
  <c r="AF319" i="3"/>
  <c r="AG319" i="3"/>
  <c r="AO319" i="3" s="1"/>
  <c r="AJ319" i="3"/>
  <c r="AL319" i="3"/>
  <c r="AM319" i="3"/>
  <c r="AP319" i="3"/>
  <c r="AE320" i="3"/>
  <c r="AF320" i="3"/>
  <c r="AM320" i="3" s="1"/>
  <c r="AG320" i="3"/>
  <c r="AP320" i="3" s="1"/>
  <c r="AI320" i="3"/>
  <c r="AJ320" i="3"/>
  <c r="AL320" i="3"/>
  <c r="AO320" i="3"/>
  <c r="AE321" i="3"/>
  <c r="AI321" i="3" s="1"/>
  <c r="AF321" i="3"/>
  <c r="AG321" i="3"/>
  <c r="AO321" i="3" s="1"/>
  <c r="AJ321" i="3"/>
  <c r="AL321" i="3"/>
  <c r="AM321" i="3"/>
  <c r="AP321" i="3"/>
  <c r="AE322" i="3"/>
  <c r="AF322" i="3"/>
  <c r="AM322" i="3" s="1"/>
  <c r="AG322" i="3"/>
  <c r="AI322" i="3"/>
  <c r="AJ322" i="3"/>
  <c r="AL322" i="3"/>
  <c r="AO322" i="3"/>
  <c r="AP322" i="3"/>
  <c r="AE323" i="3"/>
  <c r="AI323" i="3" s="1"/>
  <c r="AF323" i="3"/>
  <c r="AG323" i="3"/>
  <c r="AO323" i="3" s="1"/>
  <c r="AJ323" i="3"/>
  <c r="AL323" i="3"/>
  <c r="AM323" i="3"/>
  <c r="AP323" i="3"/>
  <c r="AE324" i="3"/>
  <c r="AF324" i="3"/>
  <c r="AM324" i="3" s="1"/>
  <c r="AG324" i="3"/>
  <c r="AI324" i="3"/>
  <c r="AJ324" i="3"/>
  <c r="AL324" i="3"/>
  <c r="AO324" i="3"/>
  <c r="AP324" i="3"/>
  <c r="AE325" i="3"/>
  <c r="AI325" i="3" s="1"/>
  <c r="AF325" i="3"/>
  <c r="AG325" i="3"/>
  <c r="AO325" i="3" s="1"/>
  <c r="AJ325" i="3"/>
  <c r="AL325" i="3"/>
  <c r="AM325" i="3"/>
  <c r="AP325" i="3"/>
  <c r="AE326" i="3"/>
  <c r="AF326" i="3"/>
  <c r="AM326" i="3" s="1"/>
  <c r="AG326" i="3"/>
  <c r="AI326" i="3"/>
  <c r="AJ326" i="3"/>
  <c r="AL326" i="3"/>
  <c r="AO326" i="3"/>
  <c r="AP326" i="3"/>
  <c r="AE327" i="3"/>
  <c r="AI327" i="3" s="1"/>
  <c r="AF327" i="3"/>
  <c r="AG327" i="3"/>
  <c r="AO327" i="3" s="1"/>
  <c r="AJ327" i="3"/>
  <c r="AL327" i="3"/>
  <c r="AM327" i="3"/>
  <c r="AP327" i="3"/>
  <c r="AE328" i="3"/>
  <c r="AF328" i="3"/>
  <c r="AM328" i="3" s="1"/>
  <c r="AG328" i="3"/>
  <c r="AI328" i="3"/>
  <c r="AJ328" i="3"/>
  <c r="AL328" i="3"/>
  <c r="AO328" i="3"/>
  <c r="AP328" i="3"/>
  <c r="AE329" i="3"/>
  <c r="AI329" i="3" s="1"/>
  <c r="AF329" i="3"/>
  <c r="AG329" i="3"/>
  <c r="AJ329" i="3"/>
  <c r="AL329" i="3"/>
  <c r="AM329" i="3"/>
  <c r="AO329" i="3"/>
  <c r="AP329" i="3"/>
  <c r="AE330" i="3"/>
  <c r="AF330" i="3"/>
  <c r="AM330" i="3" s="1"/>
  <c r="AG330" i="3"/>
  <c r="AI330" i="3"/>
  <c r="AJ330" i="3"/>
  <c r="AL330" i="3"/>
  <c r="AO330" i="3"/>
  <c r="AP330" i="3"/>
  <c r="AE331" i="3"/>
  <c r="AI331" i="3" s="1"/>
  <c r="AF331" i="3"/>
  <c r="AG331" i="3"/>
  <c r="AO331" i="3" s="1"/>
  <c r="AJ331" i="3"/>
  <c r="AL331" i="3"/>
  <c r="AM331" i="3"/>
  <c r="AP331" i="3"/>
  <c r="AE332" i="3"/>
  <c r="AF332" i="3"/>
  <c r="AM332" i="3" s="1"/>
  <c r="AG332" i="3"/>
  <c r="AI332" i="3"/>
  <c r="AJ332" i="3"/>
  <c r="AL332" i="3"/>
  <c r="AO332" i="3"/>
  <c r="AP332" i="3"/>
  <c r="AE333" i="3"/>
  <c r="AI333" i="3" s="1"/>
  <c r="AF333" i="3"/>
  <c r="AG333" i="3"/>
  <c r="AO333" i="3" s="1"/>
  <c r="AJ333" i="3"/>
  <c r="AL333" i="3"/>
  <c r="AM333" i="3"/>
  <c r="AP333" i="3"/>
  <c r="AE334" i="3"/>
  <c r="AF334" i="3"/>
  <c r="AM334" i="3" s="1"/>
  <c r="AG334" i="3"/>
  <c r="AI334" i="3"/>
  <c r="AJ334" i="3"/>
  <c r="AL334" i="3"/>
  <c r="AO334" i="3"/>
  <c r="AP334" i="3"/>
  <c r="AE335" i="3"/>
  <c r="AI335" i="3" s="1"/>
  <c r="AF335" i="3"/>
  <c r="AG335" i="3"/>
  <c r="AP335" i="3" s="1"/>
  <c r="AJ335" i="3"/>
  <c r="AL335" i="3"/>
  <c r="AM335" i="3"/>
  <c r="AE336" i="3"/>
  <c r="AF336" i="3"/>
  <c r="AM336" i="3" s="1"/>
  <c r="AG336" i="3"/>
  <c r="AI336" i="3"/>
  <c r="AJ336" i="3"/>
  <c r="AL336" i="3"/>
  <c r="AO336" i="3"/>
  <c r="AP336" i="3"/>
  <c r="AE337" i="3"/>
  <c r="AI337" i="3" s="1"/>
  <c r="AF337" i="3"/>
  <c r="AG337" i="3"/>
  <c r="AO337" i="3" s="1"/>
  <c r="AJ337" i="3"/>
  <c r="AL337" i="3"/>
  <c r="AM337" i="3"/>
  <c r="AP337" i="3"/>
  <c r="AE338" i="3"/>
  <c r="AF338" i="3"/>
  <c r="AM338" i="3" s="1"/>
  <c r="AG338" i="3"/>
  <c r="AI338" i="3"/>
  <c r="AJ338" i="3"/>
  <c r="AL338" i="3"/>
  <c r="AO338" i="3"/>
  <c r="AP338" i="3"/>
  <c r="AE339" i="3"/>
  <c r="AI339" i="3" s="1"/>
  <c r="AF339" i="3"/>
  <c r="AG339" i="3"/>
  <c r="AO339" i="3" s="1"/>
  <c r="AJ339" i="3"/>
  <c r="AL339" i="3"/>
  <c r="AM339" i="3"/>
  <c r="AP339" i="3"/>
  <c r="AE340" i="3"/>
  <c r="AF340" i="3"/>
  <c r="AM340" i="3" s="1"/>
  <c r="AG340" i="3"/>
  <c r="AI340" i="3"/>
  <c r="AJ340" i="3"/>
  <c r="AL340" i="3"/>
  <c r="AO340" i="3"/>
  <c r="AP340" i="3"/>
  <c r="AE341" i="3"/>
  <c r="AI341" i="3" s="1"/>
  <c r="AF341" i="3"/>
  <c r="AG341" i="3"/>
  <c r="AO341" i="3" s="1"/>
  <c r="AJ341" i="3"/>
  <c r="AL341" i="3"/>
  <c r="AM341" i="3"/>
  <c r="AP341" i="3"/>
  <c r="AE342" i="3"/>
  <c r="AF342" i="3"/>
  <c r="AM342" i="3" s="1"/>
  <c r="AG342" i="3"/>
  <c r="AI342" i="3"/>
  <c r="AJ342" i="3"/>
  <c r="AL342" i="3"/>
  <c r="AO342" i="3"/>
  <c r="AP342" i="3"/>
  <c r="AE343" i="3"/>
  <c r="AI343" i="3" s="1"/>
  <c r="AF343" i="3"/>
  <c r="AG343" i="3"/>
  <c r="AO343" i="3" s="1"/>
  <c r="AJ343" i="3"/>
  <c r="AL343" i="3"/>
  <c r="AM343" i="3"/>
  <c r="AP343" i="3"/>
  <c r="AE344" i="3"/>
  <c r="AF344" i="3"/>
  <c r="AM344" i="3" s="1"/>
  <c r="AG344" i="3"/>
  <c r="AI344" i="3"/>
  <c r="AJ344" i="3"/>
  <c r="AL344" i="3"/>
  <c r="AO344" i="3"/>
  <c r="AP344" i="3"/>
  <c r="AE345" i="3"/>
  <c r="AI345" i="3" s="1"/>
  <c r="AF345" i="3"/>
  <c r="AG345" i="3"/>
  <c r="AO345" i="3" s="1"/>
  <c r="AJ345" i="3"/>
  <c r="AL345" i="3"/>
  <c r="AM345" i="3"/>
  <c r="AP345" i="3"/>
  <c r="AE346" i="3"/>
  <c r="AF346" i="3"/>
  <c r="AM346" i="3" s="1"/>
  <c r="AG346" i="3"/>
  <c r="AI346" i="3"/>
  <c r="AJ346" i="3"/>
  <c r="AL346" i="3"/>
  <c r="AO346" i="3"/>
  <c r="AP346" i="3"/>
  <c r="AE347" i="3"/>
  <c r="AF347" i="3"/>
  <c r="AG347" i="3"/>
  <c r="AP347" i="3" s="1"/>
  <c r="AI347" i="3"/>
  <c r="AJ347" i="3"/>
  <c r="AL347" i="3"/>
  <c r="AM347" i="3"/>
  <c r="AO347" i="3"/>
  <c r="AE348" i="3"/>
  <c r="AI348" i="3" s="1"/>
  <c r="AF348" i="3"/>
  <c r="AG348" i="3"/>
  <c r="AO348" i="3" s="1"/>
  <c r="AJ348" i="3"/>
  <c r="AL348" i="3"/>
  <c r="AM348" i="3"/>
  <c r="AE349" i="3"/>
  <c r="AI349" i="3" s="1"/>
  <c r="AF349" i="3"/>
  <c r="AG349" i="3"/>
  <c r="AO349" i="3" s="1"/>
  <c r="AJ349" i="3"/>
  <c r="AL349" i="3"/>
  <c r="AM349" i="3"/>
  <c r="AP349" i="3"/>
  <c r="AE350" i="3"/>
  <c r="AF350" i="3"/>
  <c r="AG350" i="3"/>
  <c r="AP350" i="3" s="1"/>
  <c r="AI350" i="3"/>
  <c r="AJ350" i="3"/>
  <c r="AL350" i="3"/>
  <c r="AM350" i="3"/>
  <c r="AO350" i="3"/>
  <c r="AE351" i="3"/>
  <c r="AI351" i="3" s="1"/>
  <c r="AF351" i="3"/>
  <c r="AG351" i="3"/>
  <c r="AP351" i="3" s="1"/>
  <c r="AJ351" i="3"/>
  <c r="AL351" i="3"/>
  <c r="AM351" i="3"/>
  <c r="AE352" i="3"/>
  <c r="AI352" i="3" s="1"/>
  <c r="AF352" i="3"/>
  <c r="AM352" i="3" s="1"/>
  <c r="AG352" i="3"/>
  <c r="AJ352" i="3"/>
  <c r="AL352" i="3"/>
  <c r="AO352" i="3"/>
  <c r="AP352" i="3"/>
  <c r="AE353" i="3"/>
  <c r="AI353" i="3" s="1"/>
  <c r="AF353" i="3"/>
  <c r="AG353" i="3"/>
  <c r="AJ353" i="3"/>
  <c r="AL353" i="3"/>
  <c r="AM353" i="3"/>
  <c r="AO353" i="3"/>
  <c r="AP353" i="3"/>
  <c r="AE354" i="3"/>
  <c r="AF354" i="3"/>
  <c r="AG354" i="3"/>
  <c r="AP354" i="3" s="1"/>
  <c r="AI354" i="3"/>
  <c r="AJ354" i="3"/>
  <c r="AL354" i="3"/>
  <c r="AM354" i="3"/>
  <c r="AO354" i="3"/>
  <c r="AE355" i="3"/>
  <c r="AI355" i="3" s="1"/>
  <c r="AF355" i="3"/>
  <c r="AG355" i="3"/>
  <c r="AP355" i="3" s="1"/>
  <c r="AJ355" i="3"/>
  <c r="AL355" i="3"/>
  <c r="AM355" i="3"/>
  <c r="AE356" i="3"/>
  <c r="AI356" i="3" s="1"/>
  <c r="AF356" i="3"/>
  <c r="AM356" i="3" s="1"/>
  <c r="AG356" i="3"/>
  <c r="AJ356" i="3"/>
  <c r="AL356" i="3"/>
  <c r="AO356" i="3"/>
  <c r="AP356" i="3"/>
  <c r="AE357" i="3"/>
  <c r="AI357" i="3" s="1"/>
  <c r="AF357" i="3"/>
  <c r="AG357" i="3"/>
  <c r="AJ357" i="3"/>
  <c r="AL357" i="3"/>
  <c r="AM357" i="3"/>
  <c r="AO357" i="3"/>
  <c r="AP357" i="3"/>
  <c r="AE358" i="3"/>
  <c r="AF358" i="3"/>
  <c r="AG358" i="3"/>
  <c r="AP358" i="3" s="1"/>
  <c r="AI358" i="3"/>
  <c r="AJ358" i="3"/>
  <c r="AL358" i="3"/>
  <c r="AM358" i="3"/>
  <c r="AO358" i="3"/>
  <c r="AE359" i="3"/>
  <c r="AF359" i="3"/>
  <c r="AG359" i="3"/>
  <c r="AP359" i="3" s="1"/>
  <c r="AI359" i="3"/>
  <c r="AJ359" i="3"/>
  <c r="AL359" i="3"/>
  <c r="AM359" i="3"/>
  <c r="AE360" i="3"/>
  <c r="AF360" i="3"/>
  <c r="AM360" i="3" s="1"/>
  <c r="AG360" i="3"/>
  <c r="AI360" i="3"/>
  <c r="AJ360" i="3"/>
  <c r="AL360" i="3"/>
  <c r="AO360" i="3"/>
  <c r="AP360" i="3"/>
  <c r="AE361" i="3"/>
  <c r="AI361" i="3" s="1"/>
  <c r="AF361" i="3"/>
  <c r="AG361" i="3"/>
  <c r="AO361" i="3" s="1"/>
  <c r="AJ361" i="3"/>
  <c r="AL361" i="3"/>
  <c r="AM361" i="3"/>
  <c r="AP361" i="3"/>
  <c r="AE362" i="3"/>
  <c r="AF362" i="3"/>
  <c r="AM362" i="3" s="1"/>
  <c r="AG362" i="3"/>
  <c r="AI362" i="3"/>
  <c r="AJ362" i="3"/>
  <c r="AL362" i="3"/>
  <c r="AO362" i="3"/>
  <c r="AP362" i="3"/>
  <c r="AE363" i="3"/>
  <c r="AI363" i="3" s="1"/>
  <c r="AF363" i="3"/>
  <c r="AG363" i="3"/>
  <c r="AP363" i="3" s="1"/>
  <c r="AJ363" i="3"/>
  <c r="AL363" i="3"/>
  <c r="AM363" i="3"/>
  <c r="AE364" i="3"/>
  <c r="AF364" i="3"/>
  <c r="AM364" i="3" s="1"/>
  <c r="AG364" i="3"/>
  <c r="AI364" i="3"/>
  <c r="AJ364" i="3"/>
  <c r="AL364" i="3"/>
  <c r="AO364" i="3"/>
  <c r="AP364" i="3"/>
  <c r="AE365" i="3"/>
  <c r="AI365" i="3" s="1"/>
  <c r="AF365" i="3"/>
  <c r="AG365" i="3"/>
  <c r="AO365" i="3" s="1"/>
  <c r="AJ365" i="3"/>
  <c r="AL365" i="3"/>
  <c r="AM365" i="3"/>
  <c r="AP365" i="3"/>
  <c r="AE366" i="3"/>
  <c r="AF366" i="3"/>
  <c r="AM366" i="3" s="1"/>
  <c r="AG366" i="3"/>
  <c r="AI366" i="3"/>
  <c r="AJ366" i="3"/>
  <c r="AL366" i="3"/>
  <c r="AO366" i="3"/>
  <c r="AP366" i="3"/>
  <c r="AE367" i="3"/>
  <c r="AI367" i="3" s="1"/>
  <c r="AF367" i="3"/>
  <c r="AG367" i="3"/>
  <c r="AP367" i="3" s="1"/>
  <c r="AJ367" i="3"/>
  <c r="AL367" i="3"/>
  <c r="AM367" i="3"/>
  <c r="AE368" i="3"/>
  <c r="AF368" i="3"/>
  <c r="AM368" i="3" s="1"/>
  <c r="AG368" i="3"/>
  <c r="AI368" i="3"/>
  <c r="AJ368" i="3"/>
  <c r="AL368" i="3"/>
  <c r="AO368" i="3"/>
  <c r="AP368" i="3"/>
  <c r="AE369" i="3"/>
  <c r="AI369" i="3" s="1"/>
  <c r="AF369" i="3"/>
  <c r="AG369" i="3"/>
  <c r="AO369" i="3" s="1"/>
  <c r="AJ369" i="3"/>
  <c r="AL369" i="3"/>
  <c r="AM369" i="3"/>
  <c r="AP369" i="3"/>
  <c r="AE370" i="3"/>
  <c r="AF370" i="3"/>
  <c r="AM370" i="3" s="1"/>
  <c r="AG370" i="3"/>
  <c r="AI370" i="3"/>
  <c r="AJ370" i="3"/>
  <c r="AL370" i="3"/>
  <c r="AO370" i="3"/>
  <c r="AP370" i="3"/>
  <c r="AE371" i="3"/>
  <c r="AI371" i="3" s="1"/>
  <c r="AF371" i="3"/>
  <c r="AG371" i="3"/>
  <c r="AP371" i="3" s="1"/>
  <c r="AJ371" i="3"/>
  <c r="AL371" i="3"/>
  <c r="AM371" i="3"/>
  <c r="AE372" i="3"/>
  <c r="AF372" i="3"/>
  <c r="AM372" i="3" s="1"/>
  <c r="AG372" i="3"/>
  <c r="AI372" i="3"/>
  <c r="AJ372" i="3"/>
  <c r="AL372" i="3"/>
  <c r="AO372" i="3"/>
  <c r="AP372" i="3"/>
  <c r="AE373" i="3"/>
  <c r="AI373" i="3" s="1"/>
  <c r="AF373" i="3"/>
  <c r="AG373" i="3"/>
  <c r="AO373" i="3" s="1"/>
  <c r="AJ373" i="3"/>
  <c r="AL373" i="3"/>
  <c r="AM373" i="3"/>
  <c r="AP373" i="3"/>
  <c r="AE374" i="3"/>
  <c r="AF374" i="3"/>
  <c r="AM374" i="3" s="1"/>
  <c r="AG374" i="3"/>
  <c r="AI374" i="3"/>
  <c r="AJ374" i="3"/>
  <c r="AL374" i="3"/>
  <c r="AO374" i="3"/>
  <c r="AP374" i="3"/>
  <c r="AE375" i="3"/>
  <c r="AI375" i="3" s="1"/>
  <c r="AF375" i="3"/>
  <c r="AG375" i="3"/>
  <c r="AP375" i="3" s="1"/>
  <c r="AJ375" i="3"/>
  <c r="AL375" i="3"/>
  <c r="AM375" i="3"/>
  <c r="AE376" i="3"/>
  <c r="AF376" i="3"/>
  <c r="AM376" i="3" s="1"/>
  <c r="AG376" i="3"/>
  <c r="AI376" i="3"/>
  <c r="AJ376" i="3"/>
  <c r="AL376" i="3"/>
  <c r="AO376" i="3"/>
  <c r="AP376" i="3"/>
  <c r="AE377" i="3"/>
  <c r="AI377" i="3" s="1"/>
  <c r="AF377" i="3"/>
  <c r="AG377" i="3"/>
  <c r="AO377" i="3" s="1"/>
  <c r="AJ377" i="3"/>
  <c r="AL377" i="3"/>
  <c r="AM377" i="3"/>
  <c r="AP377" i="3"/>
  <c r="AE378" i="3"/>
  <c r="AF378" i="3"/>
  <c r="AM378" i="3" s="1"/>
  <c r="AG378" i="3"/>
  <c r="AI378" i="3"/>
  <c r="AJ378" i="3"/>
  <c r="AL378" i="3"/>
  <c r="AO378" i="3"/>
  <c r="AP378" i="3"/>
  <c r="AE379" i="3"/>
  <c r="AI379" i="3" s="1"/>
  <c r="AF379" i="3"/>
  <c r="AG379" i="3"/>
  <c r="AP379" i="3" s="1"/>
  <c r="AJ379" i="3"/>
  <c r="AL379" i="3"/>
  <c r="AM379" i="3"/>
  <c r="AE380" i="3"/>
  <c r="AF380" i="3"/>
  <c r="AM380" i="3" s="1"/>
  <c r="AG380" i="3"/>
  <c r="AI380" i="3"/>
  <c r="AJ380" i="3"/>
  <c r="AL380" i="3"/>
  <c r="AO380" i="3"/>
  <c r="AP380" i="3"/>
  <c r="AE381" i="3"/>
  <c r="AI381" i="3" s="1"/>
  <c r="AF381" i="3"/>
  <c r="AG381" i="3"/>
  <c r="AO381" i="3" s="1"/>
  <c r="AJ381" i="3"/>
  <c r="AL381" i="3"/>
  <c r="AM381" i="3"/>
  <c r="AP381" i="3"/>
  <c r="AE382" i="3"/>
  <c r="AF382" i="3"/>
  <c r="AM382" i="3" s="1"/>
  <c r="AG382" i="3"/>
  <c r="AI382" i="3"/>
  <c r="AJ382" i="3"/>
  <c r="AL382" i="3"/>
  <c r="AO382" i="3"/>
  <c r="AP382" i="3"/>
  <c r="AE383" i="3"/>
  <c r="AI383" i="3" s="1"/>
  <c r="AF383" i="3"/>
  <c r="AG383" i="3"/>
  <c r="AO383" i="3" s="1"/>
  <c r="AJ383" i="3"/>
  <c r="AL383" i="3"/>
  <c r="AM383" i="3"/>
  <c r="AP383" i="3"/>
  <c r="AE384" i="3"/>
  <c r="AF384" i="3"/>
  <c r="AM384" i="3" s="1"/>
  <c r="AG384" i="3"/>
  <c r="AP384" i="3" s="1"/>
  <c r="AI384" i="3"/>
  <c r="AJ384" i="3"/>
  <c r="AL384" i="3"/>
  <c r="AO384" i="3"/>
  <c r="AE385" i="3"/>
  <c r="AI385" i="3" s="1"/>
  <c r="AF385" i="3"/>
  <c r="AG385" i="3"/>
  <c r="AO385" i="3" s="1"/>
  <c r="AJ385" i="3"/>
  <c r="AL385" i="3"/>
  <c r="AM385" i="3"/>
  <c r="AP385" i="3"/>
  <c r="AE386" i="3"/>
  <c r="AF386" i="3"/>
  <c r="AM386" i="3" s="1"/>
  <c r="AG386" i="3"/>
  <c r="AI386" i="3"/>
  <c r="AJ386" i="3"/>
  <c r="AL386" i="3"/>
  <c r="AO386" i="3"/>
  <c r="AP386" i="3"/>
  <c r="AE387" i="3"/>
  <c r="AI387" i="3" s="1"/>
  <c r="AF387" i="3"/>
  <c r="AG387" i="3"/>
  <c r="AO387" i="3" s="1"/>
  <c r="AJ387" i="3"/>
  <c r="AL387" i="3"/>
  <c r="AM387" i="3"/>
  <c r="AP387" i="3"/>
  <c r="AE388" i="3"/>
  <c r="AF388" i="3"/>
  <c r="AM388" i="3" s="1"/>
  <c r="AG388" i="3"/>
  <c r="AI388" i="3"/>
  <c r="AJ388" i="3"/>
  <c r="AL388" i="3"/>
  <c r="AO388" i="3"/>
  <c r="AP388" i="3"/>
  <c r="AE389" i="3"/>
  <c r="AI389" i="3" s="1"/>
  <c r="AF389" i="3"/>
  <c r="AG389" i="3"/>
  <c r="AO389" i="3" s="1"/>
  <c r="AJ389" i="3"/>
  <c r="AL389" i="3"/>
  <c r="AM389" i="3"/>
  <c r="AP389" i="3"/>
  <c r="AE390" i="3"/>
  <c r="AF390" i="3"/>
  <c r="AM390" i="3" s="1"/>
  <c r="AG390" i="3"/>
  <c r="AI390" i="3"/>
  <c r="AJ390" i="3"/>
  <c r="AL390" i="3"/>
  <c r="AO390" i="3"/>
  <c r="AP390" i="3"/>
  <c r="AE391" i="3"/>
  <c r="AI391" i="3" s="1"/>
  <c r="AF391" i="3"/>
  <c r="AG391" i="3"/>
  <c r="AO391" i="3" s="1"/>
  <c r="AJ391" i="3"/>
  <c r="AL391" i="3"/>
  <c r="AM391" i="3"/>
  <c r="AP391" i="3"/>
  <c r="AE392" i="3"/>
  <c r="AF392" i="3"/>
  <c r="AM392" i="3" s="1"/>
  <c r="AG392" i="3"/>
  <c r="AI392" i="3"/>
  <c r="AJ392" i="3"/>
  <c r="AL392" i="3"/>
  <c r="AO392" i="3"/>
  <c r="AP392" i="3"/>
  <c r="AE393" i="3"/>
  <c r="AI393" i="3" s="1"/>
  <c r="AF393" i="3"/>
  <c r="AG393" i="3"/>
  <c r="AO393" i="3" s="1"/>
  <c r="AJ393" i="3"/>
  <c r="AL393" i="3"/>
  <c r="AM393" i="3"/>
  <c r="AP393" i="3"/>
  <c r="AE394" i="3"/>
  <c r="AF394" i="3"/>
  <c r="AM394" i="3" s="1"/>
  <c r="AG394" i="3"/>
  <c r="AI394" i="3"/>
  <c r="AJ394" i="3"/>
  <c r="AL394" i="3"/>
  <c r="AO394" i="3"/>
  <c r="AP394" i="3"/>
  <c r="AE395" i="3"/>
  <c r="AI395" i="3" s="1"/>
  <c r="AF395" i="3"/>
  <c r="AG395" i="3"/>
  <c r="AO395" i="3" s="1"/>
  <c r="AJ395" i="3"/>
  <c r="AL395" i="3"/>
  <c r="AM395" i="3"/>
  <c r="AP395" i="3"/>
  <c r="AE396" i="3"/>
  <c r="AF396" i="3"/>
  <c r="AM396" i="3" s="1"/>
  <c r="AG396" i="3"/>
  <c r="AI396" i="3"/>
  <c r="AJ396" i="3"/>
  <c r="AL396" i="3"/>
  <c r="AO396" i="3"/>
  <c r="AP396" i="3"/>
  <c r="AE397" i="3"/>
  <c r="AI397" i="3" s="1"/>
  <c r="AF397" i="3"/>
  <c r="AG397" i="3"/>
  <c r="AO397" i="3" s="1"/>
  <c r="AJ397" i="3"/>
  <c r="AL397" i="3"/>
  <c r="AM397" i="3"/>
  <c r="AP397" i="3"/>
  <c r="AE398" i="3"/>
  <c r="AF398" i="3"/>
  <c r="AM398" i="3" s="1"/>
  <c r="AG398" i="3"/>
  <c r="AI398" i="3"/>
  <c r="AJ398" i="3"/>
  <c r="AL398" i="3"/>
  <c r="AO398" i="3"/>
  <c r="AP398" i="3"/>
  <c r="AE399" i="3"/>
  <c r="AI399" i="3" s="1"/>
  <c r="AF399" i="3"/>
  <c r="AG399" i="3"/>
  <c r="AO399" i="3" s="1"/>
  <c r="AJ399" i="3"/>
  <c r="AL399" i="3"/>
  <c r="AM399" i="3"/>
  <c r="AP399" i="3"/>
  <c r="AE400" i="3"/>
  <c r="AF400" i="3"/>
  <c r="AM400" i="3" s="1"/>
  <c r="AG400" i="3"/>
  <c r="AI400" i="3"/>
  <c r="AJ400" i="3"/>
  <c r="AL400" i="3"/>
  <c r="AO400" i="3"/>
  <c r="AP400" i="3"/>
  <c r="AE401" i="3"/>
  <c r="AI401" i="3" s="1"/>
  <c r="AF401" i="3"/>
  <c r="AG401" i="3"/>
  <c r="AO401" i="3" s="1"/>
  <c r="AJ401" i="3"/>
  <c r="AL401" i="3"/>
  <c r="AM401" i="3"/>
  <c r="AP401" i="3"/>
  <c r="AE402" i="3"/>
  <c r="AI402" i="3" s="1"/>
  <c r="AF402" i="3"/>
  <c r="AM402" i="3" s="1"/>
  <c r="AG402" i="3"/>
  <c r="AO402" i="3" s="1"/>
  <c r="AJ402" i="3"/>
  <c r="AL402" i="3"/>
  <c r="AP402" i="3"/>
  <c r="AE403" i="3"/>
  <c r="AI403" i="3" s="1"/>
  <c r="AF403" i="3"/>
  <c r="AG403" i="3"/>
  <c r="AJ403" i="3"/>
  <c r="AL403" i="3"/>
  <c r="AM403" i="3"/>
  <c r="AO403" i="3"/>
  <c r="AP403" i="3"/>
  <c r="AE404" i="3"/>
  <c r="AF404" i="3"/>
  <c r="AG404" i="3"/>
  <c r="AI404" i="3"/>
  <c r="AJ404" i="3"/>
  <c r="AL404" i="3"/>
  <c r="AM404" i="3"/>
  <c r="AO404" i="3"/>
  <c r="AP404" i="3"/>
  <c r="AE405" i="3"/>
  <c r="AF405" i="3"/>
  <c r="AG405" i="3"/>
  <c r="AO405" i="3" s="1"/>
  <c r="AI405" i="3"/>
  <c r="AJ405" i="3"/>
  <c r="AL405" i="3"/>
  <c r="AM405" i="3"/>
  <c r="AP405" i="3"/>
  <c r="AE406" i="3"/>
  <c r="AF406" i="3"/>
  <c r="AM406" i="3" s="1"/>
  <c r="AG406" i="3"/>
  <c r="AI406" i="3"/>
  <c r="AJ406" i="3"/>
  <c r="AL406" i="3"/>
  <c r="AO406" i="3"/>
  <c r="AP406" i="3"/>
  <c r="AE407" i="3"/>
  <c r="AI407" i="3" s="1"/>
  <c r="AF407" i="3"/>
  <c r="AG407" i="3"/>
  <c r="AO407" i="3" s="1"/>
  <c r="AJ407" i="3"/>
  <c r="AL407" i="3"/>
  <c r="AM407" i="3"/>
  <c r="AP407" i="3"/>
  <c r="AE408" i="3"/>
  <c r="AF408" i="3"/>
  <c r="AM408" i="3" s="1"/>
  <c r="AG408" i="3"/>
  <c r="AI408" i="3"/>
  <c r="AJ408" i="3"/>
  <c r="AL408" i="3"/>
  <c r="AO408" i="3"/>
  <c r="AP408" i="3"/>
  <c r="AE409" i="3"/>
  <c r="AI409" i="3" s="1"/>
  <c r="AF409" i="3"/>
  <c r="AG409" i="3"/>
  <c r="AO409" i="3" s="1"/>
  <c r="AJ409" i="3"/>
  <c r="AL409" i="3"/>
  <c r="AM409" i="3"/>
  <c r="AP409" i="3"/>
  <c r="AE410" i="3"/>
  <c r="AF410" i="3"/>
  <c r="AM410" i="3" s="1"/>
  <c r="AG410" i="3"/>
  <c r="AI410" i="3"/>
  <c r="AJ410" i="3"/>
  <c r="AL410" i="3"/>
  <c r="AO410" i="3"/>
  <c r="AP410" i="3"/>
  <c r="AE411" i="3"/>
  <c r="AI411" i="3" s="1"/>
  <c r="AF411" i="3"/>
  <c r="AG411" i="3"/>
  <c r="AO411" i="3" s="1"/>
  <c r="AJ411" i="3"/>
  <c r="AL411" i="3"/>
  <c r="AM411" i="3"/>
  <c r="AP411" i="3"/>
  <c r="AE412" i="3"/>
  <c r="AF412" i="3"/>
  <c r="AM412" i="3" s="1"/>
  <c r="AG412" i="3"/>
  <c r="AI412" i="3"/>
  <c r="AJ412" i="3"/>
  <c r="AL412" i="3"/>
  <c r="AO412" i="3"/>
  <c r="AP412" i="3"/>
  <c r="AE413" i="3"/>
  <c r="AF413" i="3"/>
  <c r="AM413" i="3" s="1"/>
  <c r="AG413" i="3"/>
  <c r="AP413" i="3" s="1"/>
  <c r="AI413" i="3"/>
  <c r="AJ413" i="3"/>
  <c r="AL413" i="3"/>
  <c r="AO413" i="3"/>
  <c r="AE414" i="3"/>
  <c r="AI414" i="3" s="1"/>
  <c r="AF414" i="3"/>
  <c r="AG414" i="3"/>
  <c r="AO414" i="3" s="1"/>
  <c r="AJ414" i="3"/>
  <c r="AL414" i="3"/>
  <c r="AM414" i="3"/>
  <c r="AP414" i="3"/>
  <c r="AE415" i="3"/>
  <c r="AF415" i="3"/>
  <c r="AM415" i="3" s="1"/>
  <c r="AG415" i="3"/>
  <c r="AI415" i="3"/>
  <c r="AJ415" i="3"/>
  <c r="AL415" i="3"/>
  <c r="AO415" i="3"/>
  <c r="AP415" i="3"/>
  <c r="AE416" i="3"/>
  <c r="AF416" i="3"/>
  <c r="AG416" i="3"/>
  <c r="AO416" i="3" s="1"/>
  <c r="AI416" i="3"/>
  <c r="AJ416" i="3"/>
  <c r="AL416" i="3"/>
  <c r="AM416" i="3"/>
  <c r="AE417" i="3"/>
  <c r="AF417" i="3"/>
  <c r="AM417" i="3" s="1"/>
  <c r="AG417" i="3"/>
  <c r="AP417" i="3" s="1"/>
  <c r="AI417" i="3"/>
  <c r="AJ417" i="3"/>
  <c r="AL417" i="3"/>
  <c r="AO417" i="3"/>
  <c r="AE418" i="3"/>
  <c r="AI418" i="3" s="1"/>
  <c r="AF418" i="3"/>
  <c r="AG418" i="3"/>
  <c r="AO418" i="3" s="1"/>
  <c r="AJ418" i="3"/>
  <c r="AL418" i="3"/>
  <c r="AM418" i="3"/>
  <c r="AP418" i="3"/>
  <c r="AE419" i="3"/>
  <c r="AF419" i="3"/>
  <c r="AM419" i="3" s="1"/>
  <c r="AG419" i="3"/>
  <c r="AI419" i="3"/>
  <c r="AJ419" i="3"/>
  <c r="AL419" i="3"/>
  <c r="AO419" i="3"/>
  <c r="AP419" i="3"/>
  <c r="AE420" i="3"/>
  <c r="AF420" i="3"/>
  <c r="AG420" i="3"/>
  <c r="AO420" i="3" s="1"/>
  <c r="AI420" i="3"/>
  <c r="AJ420" i="3"/>
  <c r="AL420" i="3"/>
  <c r="AM420" i="3"/>
  <c r="AE421" i="3"/>
  <c r="AF421" i="3"/>
  <c r="AM421" i="3" s="1"/>
  <c r="AG421" i="3"/>
  <c r="AP421" i="3" s="1"/>
  <c r="AI421" i="3"/>
  <c r="AJ421" i="3"/>
  <c r="AL421" i="3"/>
  <c r="AO421" i="3"/>
  <c r="AE422" i="3"/>
  <c r="AI422" i="3" s="1"/>
  <c r="AF422" i="3"/>
  <c r="AG422" i="3"/>
  <c r="AO422" i="3" s="1"/>
  <c r="AJ422" i="3"/>
  <c r="AL422" i="3"/>
  <c r="AM422" i="3"/>
  <c r="AP422" i="3"/>
  <c r="AE423" i="3"/>
  <c r="AF423" i="3"/>
  <c r="AM423" i="3" s="1"/>
  <c r="AG423" i="3"/>
  <c r="AI423" i="3"/>
  <c r="AJ423" i="3"/>
  <c r="AL423" i="3"/>
  <c r="AO423" i="3"/>
  <c r="AP423" i="3"/>
  <c r="AE424" i="3"/>
  <c r="AI424" i="3" s="1"/>
  <c r="AF424" i="3"/>
  <c r="AG424" i="3"/>
  <c r="AO424" i="3" s="1"/>
  <c r="AJ424" i="3"/>
  <c r="AL424" i="3"/>
  <c r="AM424" i="3"/>
  <c r="AE425" i="3"/>
  <c r="AI425" i="3" s="1"/>
  <c r="AF425" i="3"/>
  <c r="AM425" i="3" s="1"/>
  <c r="AG425" i="3"/>
  <c r="AJ425" i="3"/>
  <c r="AL425" i="3"/>
  <c r="AO425" i="3"/>
  <c r="AP425" i="3"/>
  <c r="AE426" i="3"/>
  <c r="AI426" i="3" s="1"/>
  <c r="AF426" i="3"/>
  <c r="AG426" i="3"/>
  <c r="AJ426" i="3"/>
  <c r="AL426" i="3"/>
  <c r="AM426" i="3"/>
  <c r="AO426" i="3"/>
  <c r="AP426" i="3"/>
  <c r="AE427" i="3"/>
  <c r="AF427" i="3"/>
  <c r="AG427" i="3"/>
  <c r="AP427" i="3" s="1"/>
  <c r="AI427" i="3"/>
  <c r="AJ427" i="3"/>
  <c r="AL427" i="3"/>
  <c r="AM427" i="3"/>
  <c r="AO427" i="3"/>
  <c r="AE428" i="3"/>
  <c r="AF428" i="3"/>
  <c r="AG428" i="3"/>
  <c r="AO428" i="3" s="1"/>
  <c r="AI428" i="3"/>
  <c r="AJ428" i="3"/>
  <c r="AL428" i="3"/>
  <c r="AM428" i="3"/>
  <c r="AE429" i="3"/>
  <c r="AI429" i="3" s="1"/>
  <c r="AF429" i="3"/>
  <c r="AM429" i="3" s="1"/>
  <c r="AG429" i="3"/>
  <c r="AJ429" i="3"/>
  <c r="AL429" i="3"/>
  <c r="AO429" i="3"/>
  <c r="AP429" i="3"/>
  <c r="AE430" i="3"/>
  <c r="AI430" i="3" s="1"/>
  <c r="AF430" i="3"/>
  <c r="AG430" i="3"/>
  <c r="AJ430" i="3"/>
  <c r="AL430" i="3"/>
  <c r="AM430" i="3"/>
  <c r="AO430" i="3"/>
  <c r="AP430" i="3"/>
  <c r="AE431" i="3"/>
  <c r="AF431" i="3"/>
  <c r="AG431" i="3"/>
  <c r="AP431" i="3" s="1"/>
  <c r="AI431" i="3"/>
  <c r="AJ431" i="3"/>
  <c r="AL431" i="3"/>
  <c r="AM431" i="3"/>
  <c r="AO431" i="3"/>
  <c r="AE432" i="3"/>
  <c r="AF432" i="3"/>
  <c r="AG432" i="3"/>
  <c r="AO432" i="3" s="1"/>
  <c r="AI432" i="3"/>
  <c r="AJ432" i="3"/>
  <c r="AL432" i="3"/>
  <c r="AM432" i="3"/>
  <c r="AE433" i="3"/>
  <c r="AI433" i="3" s="1"/>
  <c r="AF433" i="3"/>
  <c r="AM433" i="3" s="1"/>
  <c r="AG433" i="3"/>
  <c r="AJ433" i="3"/>
  <c r="AL433" i="3"/>
  <c r="AO433" i="3"/>
  <c r="AP433" i="3"/>
  <c r="AE434" i="3"/>
  <c r="AI434" i="3" s="1"/>
  <c r="AF434" i="3"/>
  <c r="AM434" i="3" s="1"/>
  <c r="AG434" i="3"/>
  <c r="AO434" i="3" s="1"/>
  <c r="AJ434" i="3"/>
  <c r="AL434" i="3"/>
  <c r="AP434" i="3"/>
  <c r="AE435" i="3"/>
  <c r="AI435" i="3" s="1"/>
  <c r="AF435" i="3"/>
  <c r="AG435" i="3"/>
  <c r="AJ435" i="3"/>
  <c r="AL435" i="3"/>
  <c r="AM435" i="3"/>
  <c r="AO435" i="3"/>
  <c r="AP435" i="3"/>
  <c r="AE436" i="3"/>
  <c r="AF436" i="3"/>
  <c r="AG436" i="3"/>
  <c r="AI436" i="3"/>
  <c r="AJ436" i="3"/>
  <c r="AL436" i="3"/>
  <c r="AM436" i="3"/>
  <c r="AO436" i="3"/>
  <c r="AP436" i="3"/>
  <c r="AE437" i="3"/>
  <c r="AF437" i="3"/>
  <c r="AG437" i="3"/>
  <c r="AO437" i="3" s="1"/>
  <c r="AI437" i="3"/>
  <c r="AJ437" i="3"/>
  <c r="AL437" i="3"/>
  <c r="AM437" i="3"/>
  <c r="AE438" i="3"/>
  <c r="AI438" i="3" s="1"/>
  <c r="AF438" i="3"/>
  <c r="AM438" i="3" s="1"/>
  <c r="AG438" i="3"/>
  <c r="AO438" i="3" s="1"/>
  <c r="AJ438" i="3"/>
  <c r="AL438" i="3"/>
  <c r="AE439" i="3"/>
  <c r="AI439" i="3" s="1"/>
  <c r="AF439" i="3"/>
  <c r="AM439" i="3" s="1"/>
  <c r="AG439" i="3"/>
  <c r="AJ439" i="3"/>
  <c r="AL439" i="3"/>
  <c r="AO439" i="3"/>
  <c r="AP439" i="3"/>
  <c r="AE440" i="3"/>
  <c r="AF440" i="3"/>
  <c r="AG440" i="3"/>
  <c r="AI440" i="3"/>
  <c r="AJ440" i="3"/>
  <c r="AL440" i="3"/>
  <c r="AM440" i="3"/>
  <c r="AO440" i="3"/>
  <c r="AP440" i="3"/>
  <c r="AE441" i="3"/>
  <c r="AF441" i="3"/>
  <c r="AG441" i="3"/>
  <c r="AO441" i="3" s="1"/>
  <c r="AI441" i="3"/>
  <c r="AJ441" i="3"/>
  <c r="AL441" i="3"/>
  <c r="AM441" i="3"/>
  <c r="AE442" i="3"/>
  <c r="AI442" i="3" s="1"/>
  <c r="AF442" i="3"/>
  <c r="AM442" i="3" s="1"/>
  <c r="AG442" i="3"/>
  <c r="AO442" i="3" s="1"/>
  <c r="AJ442" i="3"/>
  <c r="AL442" i="3"/>
  <c r="AE443" i="3"/>
  <c r="AI443" i="3" s="1"/>
  <c r="AF443" i="3"/>
  <c r="AM443" i="3" s="1"/>
  <c r="AG443" i="3"/>
  <c r="AJ443" i="3"/>
  <c r="AL443" i="3"/>
  <c r="AO443" i="3"/>
  <c r="AP443" i="3"/>
  <c r="AE444" i="3"/>
  <c r="AF444" i="3"/>
  <c r="AG444" i="3"/>
  <c r="AI444" i="3"/>
  <c r="AJ444" i="3"/>
  <c r="AL444" i="3"/>
  <c r="AM444" i="3"/>
  <c r="AO444" i="3"/>
  <c r="AP444" i="3"/>
  <c r="AE445" i="3"/>
  <c r="AF445" i="3"/>
  <c r="AG445" i="3"/>
  <c r="AO445" i="3" s="1"/>
  <c r="AI445" i="3"/>
  <c r="AJ445" i="3"/>
  <c r="AL445" i="3"/>
  <c r="AM445" i="3"/>
  <c r="AE446" i="3"/>
  <c r="AI446" i="3" s="1"/>
  <c r="AF446" i="3"/>
  <c r="AM446" i="3" s="1"/>
  <c r="AG446" i="3"/>
  <c r="AJ446" i="3"/>
  <c r="AL446" i="3"/>
  <c r="AO446" i="3"/>
  <c r="AP446" i="3"/>
  <c r="AE447" i="3"/>
  <c r="AF447" i="3"/>
  <c r="AG447" i="3"/>
  <c r="AI447" i="3"/>
  <c r="AJ447" i="3"/>
  <c r="AL447" i="3"/>
  <c r="AM447" i="3"/>
  <c r="AO447" i="3"/>
  <c r="AP447" i="3"/>
  <c r="AE448" i="3"/>
  <c r="AF448" i="3"/>
  <c r="AG448" i="3"/>
  <c r="AI448" i="3"/>
  <c r="AJ448" i="3"/>
  <c r="AL448" i="3"/>
  <c r="AM448" i="3"/>
  <c r="AE449" i="3"/>
  <c r="AI449" i="3" s="1"/>
  <c r="AF449" i="3"/>
  <c r="AM449" i="3" s="1"/>
  <c r="AG449" i="3"/>
  <c r="AO449" i="3" s="1"/>
  <c r="AJ449" i="3"/>
  <c r="AE450" i="3"/>
  <c r="AI450" i="3" s="1"/>
  <c r="AF450" i="3"/>
  <c r="AM450" i="3" s="1"/>
  <c r="AG450" i="3"/>
  <c r="AL450" i="3"/>
  <c r="AO450" i="3"/>
  <c r="AP450" i="3"/>
  <c r="AE451" i="3"/>
  <c r="AF451" i="3"/>
  <c r="AG451" i="3"/>
  <c r="AI451" i="3"/>
  <c r="AJ451" i="3"/>
  <c r="AL451" i="3"/>
  <c r="AM451" i="3"/>
  <c r="AO451" i="3"/>
  <c r="AP451" i="3"/>
  <c r="AE452" i="3"/>
  <c r="AF452" i="3"/>
  <c r="AG452" i="3"/>
  <c r="AI452" i="3"/>
  <c r="AJ452" i="3"/>
  <c r="AL452" i="3"/>
  <c r="AM452" i="3"/>
  <c r="AE453" i="3"/>
  <c r="AI453" i="3" s="1"/>
  <c r="AF453" i="3"/>
  <c r="AM453" i="3" s="1"/>
  <c r="AG453" i="3"/>
  <c r="AO453" i="3" s="1"/>
  <c r="AJ453" i="3"/>
  <c r="AE454" i="3"/>
  <c r="AI454" i="3" s="1"/>
  <c r="AF454" i="3"/>
  <c r="AM454" i="3" s="1"/>
  <c r="AG454" i="3"/>
  <c r="AL454" i="3"/>
  <c r="AO454" i="3"/>
  <c r="AP454" i="3"/>
  <c r="AE455" i="3"/>
  <c r="AF455" i="3"/>
  <c r="AG455" i="3"/>
  <c r="AI455" i="3"/>
  <c r="AJ455" i="3"/>
  <c r="AL455" i="3"/>
  <c r="AM455" i="3"/>
  <c r="AO455" i="3"/>
  <c r="AP455" i="3"/>
  <c r="AE456" i="3"/>
  <c r="AF456" i="3"/>
  <c r="AG456" i="3"/>
  <c r="AI456" i="3"/>
  <c r="AJ456" i="3"/>
  <c r="AL456" i="3"/>
  <c r="AM456" i="3"/>
  <c r="AE457" i="3"/>
  <c r="AF457" i="3"/>
  <c r="AM457" i="3" s="1"/>
  <c r="AG457" i="3"/>
  <c r="AO457" i="3" s="1"/>
  <c r="AI457" i="3"/>
  <c r="AJ457" i="3"/>
  <c r="AL457" i="3"/>
  <c r="AE458" i="3"/>
  <c r="AI458" i="3" s="1"/>
  <c r="AF458" i="3"/>
  <c r="AM458" i="3" s="1"/>
  <c r="AG458" i="3"/>
  <c r="AJ458" i="3"/>
  <c r="AL458" i="3"/>
  <c r="AO458" i="3"/>
  <c r="AP458" i="3"/>
  <c r="AE459" i="3"/>
  <c r="AF459" i="3"/>
  <c r="AG459" i="3"/>
  <c r="AI459" i="3"/>
  <c r="AJ459" i="3"/>
  <c r="AL459" i="3"/>
  <c r="AM459" i="3"/>
  <c r="AO459" i="3"/>
  <c r="AP459" i="3"/>
  <c r="AE460" i="3"/>
  <c r="AF460" i="3"/>
  <c r="AG460" i="3"/>
  <c r="AI460" i="3"/>
  <c r="AJ460" i="3"/>
  <c r="AL460" i="3"/>
  <c r="AM460" i="3"/>
  <c r="AE461" i="3"/>
  <c r="AF461" i="3"/>
  <c r="AM461" i="3" s="1"/>
  <c r="AG461" i="3"/>
  <c r="AO461" i="3" s="1"/>
  <c r="AI461" i="3"/>
  <c r="AJ461" i="3"/>
  <c r="AL461" i="3"/>
  <c r="AE462" i="3"/>
  <c r="AI462" i="3" s="1"/>
  <c r="AF462" i="3"/>
  <c r="AM462" i="3" s="1"/>
  <c r="AG462" i="3"/>
  <c r="AL462" i="3"/>
  <c r="AO462" i="3"/>
  <c r="AP462" i="3"/>
  <c r="AE463" i="3"/>
  <c r="AF463" i="3"/>
  <c r="AG463" i="3"/>
  <c r="AI463" i="3"/>
  <c r="AJ463" i="3"/>
  <c r="AL463" i="3"/>
  <c r="AM463" i="3"/>
  <c r="AO463" i="3"/>
  <c r="AP463" i="3"/>
  <c r="AE464" i="3"/>
  <c r="AF464" i="3"/>
  <c r="AG464" i="3"/>
  <c r="AI464" i="3"/>
  <c r="AJ464" i="3"/>
  <c r="AL464" i="3"/>
  <c r="AM464" i="3"/>
  <c r="AE465" i="3"/>
  <c r="AF465" i="3"/>
  <c r="AM465" i="3" s="1"/>
  <c r="AG465" i="3"/>
  <c r="AO465" i="3" s="1"/>
  <c r="AI465" i="3"/>
  <c r="AJ465" i="3"/>
  <c r="AL465" i="3"/>
  <c r="AE466" i="3"/>
  <c r="AI466" i="3" s="1"/>
  <c r="AF466" i="3"/>
  <c r="AM466" i="3" s="1"/>
  <c r="AG466" i="3"/>
  <c r="AO466" i="3" s="1"/>
  <c r="AJ466" i="3"/>
  <c r="AL466" i="3"/>
  <c r="AP466" i="3"/>
  <c r="AE467" i="3"/>
  <c r="AF467" i="3"/>
  <c r="AM467" i="3" s="1"/>
  <c r="AG467" i="3"/>
  <c r="AI467" i="3"/>
  <c r="AJ467" i="3"/>
  <c r="AL467" i="3"/>
  <c r="AO467" i="3"/>
  <c r="AP467" i="3"/>
  <c r="AE468" i="3"/>
  <c r="AF468" i="3"/>
  <c r="AG468" i="3"/>
  <c r="AI468" i="3"/>
  <c r="AJ468" i="3"/>
  <c r="AL468" i="3"/>
  <c r="AM468" i="3"/>
  <c r="AE469" i="3"/>
  <c r="AF469" i="3"/>
  <c r="AM469" i="3" s="1"/>
  <c r="AG469" i="3"/>
  <c r="AO469" i="3" s="1"/>
  <c r="AI469" i="3"/>
  <c r="AJ469" i="3"/>
  <c r="AL469" i="3"/>
  <c r="AE470" i="3"/>
  <c r="AI470" i="3" s="1"/>
  <c r="AF470" i="3"/>
  <c r="AM470" i="3" s="1"/>
  <c r="AG470" i="3"/>
  <c r="AL470" i="3"/>
  <c r="AO470" i="3"/>
  <c r="AP470" i="3"/>
  <c r="AE471" i="3"/>
  <c r="AF471" i="3"/>
  <c r="AG471" i="3"/>
  <c r="AI471" i="3"/>
  <c r="AJ471" i="3"/>
  <c r="AL471" i="3"/>
  <c r="AM471" i="3"/>
  <c r="AO471" i="3"/>
  <c r="AP471" i="3"/>
  <c r="AE472" i="3"/>
  <c r="AF472" i="3"/>
  <c r="AG472" i="3"/>
  <c r="AI472" i="3"/>
  <c r="AJ472" i="3"/>
  <c r="AL472" i="3"/>
  <c r="AM472" i="3"/>
  <c r="AE473" i="3"/>
  <c r="AI473" i="3" s="1"/>
  <c r="AF473" i="3"/>
  <c r="AM473" i="3" s="1"/>
  <c r="AG473" i="3"/>
  <c r="AO473" i="3" s="1"/>
  <c r="AJ473" i="3"/>
  <c r="AE474" i="3"/>
  <c r="AI474" i="3" s="1"/>
  <c r="AF474" i="3"/>
  <c r="AM474" i="3" s="1"/>
  <c r="AG474" i="3"/>
  <c r="AL474" i="3"/>
  <c r="AO474" i="3"/>
  <c r="AP474" i="3"/>
  <c r="AE475" i="3"/>
  <c r="AF475" i="3"/>
  <c r="AG475" i="3"/>
  <c r="AI475" i="3"/>
  <c r="AJ475" i="3"/>
  <c r="AL475" i="3"/>
  <c r="AM475" i="3"/>
  <c r="AO475" i="3"/>
  <c r="AP475" i="3"/>
  <c r="AE476" i="3"/>
  <c r="AF476" i="3"/>
  <c r="AG476" i="3"/>
  <c r="AP476" i="3" s="1"/>
  <c r="AI476" i="3"/>
  <c r="AJ476" i="3"/>
  <c r="AL476" i="3"/>
  <c r="AM476" i="3"/>
  <c r="AE477" i="3"/>
  <c r="AF477" i="3"/>
  <c r="AG477" i="3"/>
  <c r="AI477" i="3"/>
  <c r="AJ477" i="3"/>
  <c r="AL477" i="3"/>
  <c r="AM477" i="3"/>
  <c r="AE478" i="3"/>
  <c r="AI478" i="3" s="1"/>
  <c r="AF478" i="3"/>
  <c r="AM478" i="3" s="1"/>
  <c r="AG478" i="3"/>
  <c r="AJ478" i="3"/>
  <c r="AO478" i="3"/>
  <c r="AP478" i="3"/>
  <c r="AE479" i="3"/>
  <c r="AI479" i="3" s="1"/>
  <c r="AF479" i="3"/>
  <c r="AG479" i="3"/>
  <c r="AJ479" i="3"/>
  <c r="AL479" i="3"/>
  <c r="AM479" i="3"/>
  <c r="AO479" i="3"/>
  <c r="AP479" i="3"/>
  <c r="AE480" i="3"/>
  <c r="AF480" i="3"/>
  <c r="AG480" i="3"/>
  <c r="AP480" i="3" s="1"/>
  <c r="AI480" i="3"/>
  <c r="AJ480" i="3"/>
  <c r="AL480" i="3"/>
  <c r="AM480" i="3"/>
  <c r="AO480" i="3"/>
  <c r="AE481" i="3"/>
  <c r="AF481" i="3"/>
  <c r="AM481" i="3" s="1"/>
  <c r="AG481" i="3"/>
  <c r="AI481" i="3"/>
  <c r="AJ481" i="3"/>
  <c r="AL481" i="3"/>
  <c r="AE482" i="3"/>
  <c r="AI482" i="3" s="1"/>
  <c r="AF482" i="3"/>
  <c r="AM482" i="3" s="1"/>
  <c r="AG482" i="3"/>
  <c r="AL482" i="3"/>
  <c r="AO482" i="3"/>
  <c r="AP482" i="3"/>
  <c r="AE483" i="3"/>
  <c r="AF483" i="3"/>
  <c r="AG483" i="3"/>
  <c r="AI483" i="3"/>
  <c r="AJ483" i="3"/>
  <c r="AL483" i="3"/>
  <c r="AM483" i="3"/>
  <c r="AO483" i="3"/>
  <c r="AP483" i="3"/>
  <c r="AE484" i="3"/>
  <c r="AF484" i="3"/>
  <c r="AG484" i="3"/>
  <c r="AP484" i="3" s="1"/>
  <c r="AI484" i="3"/>
  <c r="AJ484" i="3"/>
  <c r="AL484" i="3"/>
  <c r="AM484" i="3"/>
  <c r="AE485" i="3"/>
  <c r="AF485" i="3"/>
  <c r="AG485" i="3"/>
  <c r="AI485" i="3"/>
  <c r="AJ485" i="3"/>
  <c r="AL485" i="3"/>
  <c r="AM485" i="3"/>
  <c r="AE486" i="3"/>
  <c r="AI486" i="3" s="1"/>
  <c r="AF486" i="3"/>
  <c r="AM486" i="3" s="1"/>
  <c r="AG486" i="3"/>
  <c r="AJ486" i="3"/>
  <c r="AO486" i="3"/>
  <c r="AP486" i="3"/>
  <c r="AE487" i="3"/>
  <c r="AI487" i="3" s="1"/>
  <c r="AF487" i="3"/>
  <c r="AM487" i="3" s="1"/>
  <c r="AG487" i="3"/>
  <c r="AJ487" i="3"/>
  <c r="AL487" i="3"/>
  <c r="AO487" i="3"/>
  <c r="AP487" i="3"/>
  <c r="AE488" i="3"/>
  <c r="AF488" i="3"/>
  <c r="AG488" i="3"/>
  <c r="AP488" i="3" s="1"/>
  <c r="AI488" i="3"/>
  <c r="AJ488" i="3"/>
  <c r="AL488" i="3"/>
  <c r="AM488" i="3"/>
  <c r="AE489" i="3"/>
  <c r="AF489" i="3"/>
  <c r="AG489" i="3"/>
  <c r="AI489" i="3"/>
  <c r="AJ489" i="3"/>
  <c r="AL489" i="3"/>
  <c r="AM489" i="3"/>
  <c r="AE490" i="3"/>
  <c r="AI490" i="3" s="1"/>
  <c r="AF490" i="3"/>
  <c r="AM490" i="3" s="1"/>
  <c r="AG490" i="3"/>
  <c r="AJ490" i="3"/>
  <c r="AO490" i="3"/>
  <c r="AP490" i="3"/>
  <c r="AE491" i="3"/>
  <c r="AI491" i="3" s="1"/>
  <c r="AF491" i="3"/>
  <c r="AG491" i="3"/>
  <c r="AJ491" i="3"/>
  <c r="AL491" i="3"/>
  <c r="AM491" i="3"/>
  <c r="AO491" i="3"/>
  <c r="AP491" i="3"/>
  <c r="AE492" i="3"/>
  <c r="AF492" i="3"/>
  <c r="AG492" i="3"/>
  <c r="AP492" i="3" s="1"/>
  <c r="AI492" i="3"/>
  <c r="AJ492" i="3"/>
  <c r="AL492" i="3"/>
  <c r="AM492" i="3"/>
  <c r="AO492" i="3"/>
  <c r="AE493" i="3"/>
  <c r="AF493" i="3"/>
  <c r="AM493" i="3" s="1"/>
  <c r="AG493" i="3"/>
  <c r="AI493" i="3"/>
  <c r="AJ493" i="3"/>
  <c r="AL493" i="3"/>
  <c r="AE494" i="3"/>
  <c r="AI494" i="3" s="1"/>
  <c r="AF494" i="3"/>
  <c r="AM494" i="3" s="1"/>
  <c r="AG494" i="3"/>
  <c r="AL494" i="3"/>
  <c r="AO494" i="3"/>
  <c r="AP494" i="3"/>
  <c r="AE495" i="3"/>
  <c r="AF495" i="3"/>
  <c r="AG495" i="3"/>
  <c r="AI495" i="3"/>
  <c r="AJ495" i="3"/>
  <c r="AL495" i="3"/>
  <c r="AM495" i="3"/>
  <c r="AO495" i="3"/>
  <c r="AP495" i="3"/>
  <c r="AE496" i="3"/>
  <c r="AF496" i="3"/>
  <c r="AG496" i="3"/>
  <c r="AP496" i="3" s="1"/>
  <c r="AI496" i="3"/>
  <c r="AJ496" i="3"/>
  <c r="AL496" i="3"/>
  <c r="AM496" i="3"/>
  <c r="AE497" i="3"/>
  <c r="AI497" i="3" s="1"/>
  <c r="AF497" i="3"/>
  <c r="AG497" i="3"/>
  <c r="AJ497" i="3"/>
  <c r="AL497" i="3"/>
  <c r="AM497" i="3"/>
  <c r="AE498" i="3"/>
  <c r="AI498" i="3" s="1"/>
  <c r="AF498" i="3"/>
  <c r="AM498" i="3" s="1"/>
  <c r="AG498" i="3"/>
  <c r="AL498" i="3"/>
  <c r="AO498" i="3"/>
  <c r="AP498" i="3"/>
  <c r="AE499" i="3"/>
  <c r="AF499" i="3"/>
  <c r="AG499" i="3"/>
  <c r="AI499" i="3"/>
  <c r="AJ499" i="3"/>
  <c r="AL499" i="3"/>
  <c r="AM499" i="3"/>
  <c r="AO499" i="3"/>
  <c r="AP499" i="3"/>
  <c r="AE500" i="3"/>
  <c r="AF500" i="3"/>
  <c r="AG500" i="3"/>
  <c r="AP500" i="3" s="1"/>
  <c r="AI500" i="3"/>
  <c r="AJ500" i="3"/>
  <c r="AL500" i="3"/>
  <c r="AM500" i="3"/>
  <c r="AE501" i="3"/>
  <c r="AF501" i="3"/>
  <c r="AG501" i="3"/>
  <c r="AI501" i="3"/>
  <c r="AJ501" i="3"/>
  <c r="AL501" i="3"/>
  <c r="AM501" i="3"/>
  <c r="AE502" i="3"/>
  <c r="AI502" i="3" s="1"/>
  <c r="AF502" i="3"/>
  <c r="AM502" i="3" s="1"/>
  <c r="AG502" i="3"/>
  <c r="AJ502" i="3"/>
  <c r="AO502" i="3"/>
  <c r="AP502" i="3"/>
  <c r="AE503" i="3"/>
  <c r="AI503" i="3" s="1"/>
  <c r="AF503" i="3"/>
  <c r="AG503" i="3"/>
  <c r="AJ503" i="3"/>
  <c r="AL503" i="3"/>
  <c r="AM503" i="3"/>
  <c r="AO503" i="3"/>
  <c r="AP503" i="3"/>
  <c r="AE504" i="3"/>
  <c r="AF504" i="3"/>
  <c r="AG504" i="3"/>
  <c r="AP504" i="3" s="1"/>
  <c r="AI504" i="3"/>
  <c r="AJ504" i="3"/>
  <c r="AL504" i="3"/>
  <c r="AM504" i="3"/>
  <c r="AO504" i="3"/>
  <c r="AE505" i="3"/>
  <c r="AI505" i="3" s="1"/>
  <c r="AF505" i="3"/>
  <c r="AL505" i="3" s="1"/>
  <c r="AG505" i="3"/>
  <c r="AJ505" i="3"/>
  <c r="AM505" i="3"/>
  <c r="AE506" i="3"/>
  <c r="AI506" i="3" s="1"/>
  <c r="AF506" i="3"/>
  <c r="AM506" i="3" s="1"/>
  <c r="AG506" i="3"/>
  <c r="AJ506" i="3"/>
  <c r="AO506" i="3"/>
  <c r="AP506" i="3"/>
  <c r="AE507" i="3"/>
  <c r="AI507" i="3" s="1"/>
  <c r="AF507" i="3"/>
  <c r="AG507" i="3"/>
  <c r="AJ507" i="3"/>
  <c r="AL507" i="3"/>
  <c r="AM507" i="3"/>
  <c r="AO507" i="3"/>
  <c r="AP507" i="3"/>
  <c r="AE508" i="3"/>
  <c r="AF508" i="3"/>
  <c r="AG508" i="3"/>
  <c r="AP508" i="3" s="1"/>
  <c r="AI508" i="3"/>
  <c r="AJ508" i="3"/>
  <c r="AL508" i="3"/>
  <c r="AM508" i="3"/>
  <c r="AO508" i="3"/>
  <c r="AE509" i="3"/>
  <c r="AI509" i="3" s="1"/>
  <c r="AF509" i="3"/>
  <c r="AL509" i="3" s="1"/>
  <c r="AG509" i="3"/>
  <c r="AJ509" i="3"/>
  <c r="AM509" i="3"/>
  <c r="AE510" i="3"/>
  <c r="AI510" i="3" s="1"/>
  <c r="AF510" i="3"/>
  <c r="AM510" i="3" s="1"/>
  <c r="AG510" i="3"/>
  <c r="AJ510" i="3"/>
  <c r="AO510" i="3"/>
  <c r="AP510" i="3"/>
  <c r="AE511" i="3"/>
  <c r="AI511" i="3" s="1"/>
  <c r="AF511" i="3"/>
  <c r="AG511" i="3"/>
  <c r="AJ511" i="3"/>
  <c r="AL511" i="3"/>
  <c r="AM511" i="3"/>
  <c r="AO511" i="3"/>
  <c r="AP511" i="3"/>
  <c r="AE512" i="3"/>
  <c r="AF512" i="3"/>
  <c r="AG512" i="3"/>
  <c r="AP512" i="3" s="1"/>
  <c r="AI512" i="3"/>
  <c r="AJ512" i="3"/>
  <c r="AL512" i="3"/>
  <c r="AM512" i="3"/>
  <c r="AO512" i="3"/>
  <c r="AE513" i="3"/>
  <c r="AI513" i="3" s="1"/>
  <c r="AF513" i="3"/>
  <c r="AL513" i="3" s="1"/>
  <c r="AG513" i="3"/>
  <c r="AJ513" i="3"/>
  <c r="AM513" i="3"/>
  <c r="AE514" i="3"/>
  <c r="AI514" i="3" s="1"/>
  <c r="AF514" i="3"/>
  <c r="AM514" i="3" s="1"/>
  <c r="AG514" i="3"/>
  <c r="AJ514" i="3"/>
  <c r="AO514" i="3"/>
  <c r="AP514" i="3"/>
  <c r="AE515" i="3"/>
  <c r="AI515" i="3" s="1"/>
  <c r="AF515" i="3"/>
  <c r="AG515" i="3"/>
  <c r="AJ515" i="3"/>
  <c r="AL515" i="3"/>
  <c r="AM515" i="3"/>
  <c r="AO515" i="3"/>
  <c r="AP515" i="3"/>
  <c r="AE516" i="3"/>
  <c r="AF516" i="3"/>
  <c r="AG516" i="3"/>
  <c r="AP516" i="3" s="1"/>
  <c r="AI516" i="3"/>
  <c r="AJ516" i="3"/>
  <c r="AL516" i="3"/>
  <c r="AM516" i="3"/>
  <c r="AO516" i="3"/>
  <c r="AE517" i="3"/>
  <c r="AI517" i="3" s="1"/>
  <c r="AF517" i="3"/>
  <c r="AL517" i="3" s="1"/>
  <c r="AG517" i="3"/>
  <c r="AJ517" i="3"/>
  <c r="AM517" i="3"/>
  <c r="AE518" i="3"/>
  <c r="AI518" i="3" s="1"/>
  <c r="AF518" i="3"/>
  <c r="AM518" i="3" s="1"/>
  <c r="AG518" i="3"/>
  <c r="AJ518" i="3"/>
  <c r="AO518" i="3"/>
  <c r="AP518" i="3"/>
  <c r="AE519" i="3"/>
  <c r="AI519" i="3" s="1"/>
  <c r="AF519" i="3"/>
  <c r="AG519" i="3"/>
  <c r="AJ519" i="3"/>
  <c r="AL519" i="3"/>
  <c r="AM519" i="3"/>
  <c r="AO519" i="3"/>
  <c r="AP519" i="3"/>
  <c r="AE520" i="3"/>
  <c r="AF520" i="3"/>
  <c r="AG520" i="3"/>
  <c r="AP520" i="3" s="1"/>
  <c r="AI520" i="3"/>
  <c r="AJ520" i="3"/>
  <c r="AL520" i="3"/>
  <c r="AM520" i="3"/>
  <c r="AO520" i="3"/>
  <c r="AE521" i="3"/>
  <c r="AF521" i="3"/>
  <c r="AM521" i="3" s="1"/>
  <c r="AG521" i="3"/>
  <c r="AI521" i="3"/>
  <c r="AJ521" i="3"/>
  <c r="AL521" i="3"/>
  <c r="AE522" i="3"/>
  <c r="AI522" i="3" s="1"/>
  <c r="AF522" i="3"/>
  <c r="AM522" i="3" s="1"/>
  <c r="AG522" i="3"/>
  <c r="AL522" i="3"/>
  <c r="AO522" i="3"/>
  <c r="AP522" i="3"/>
  <c r="AE523" i="3"/>
  <c r="AF523" i="3"/>
  <c r="AG523" i="3"/>
  <c r="AI523" i="3"/>
  <c r="AJ523" i="3"/>
  <c r="AL523" i="3"/>
  <c r="AM523" i="3"/>
  <c r="AO523" i="3"/>
  <c r="AP523" i="3"/>
  <c r="AE524" i="3"/>
  <c r="AF524" i="3"/>
  <c r="AG524" i="3"/>
  <c r="AP524" i="3" s="1"/>
  <c r="AI524" i="3"/>
  <c r="AJ524" i="3"/>
  <c r="AL524" i="3"/>
  <c r="AM524" i="3"/>
  <c r="AE525" i="3"/>
  <c r="AF525" i="3"/>
  <c r="AG525" i="3"/>
  <c r="AI525" i="3"/>
  <c r="AJ525" i="3"/>
  <c r="AL525" i="3"/>
  <c r="AM525" i="3"/>
  <c r="AE526" i="3"/>
  <c r="AI526" i="3" s="1"/>
  <c r="AF526" i="3"/>
  <c r="AM526" i="3" s="1"/>
  <c r="AG526" i="3"/>
  <c r="AJ526" i="3"/>
  <c r="AO526" i="3"/>
  <c r="AP526" i="3"/>
  <c r="AE527" i="3"/>
  <c r="AI527" i="3" s="1"/>
  <c r="AF527" i="3"/>
  <c r="AG527" i="3"/>
  <c r="AJ527" i="3"/>
  <c r="AL527" i="3"/>
  <c r="AM527" i="3"/>
  <c r="AO527" i="3"/>
  <c r="AP527" i="3"/>
  <c r="AE528" i="3"/>
  <c r="AF528" i="3"/>
  <c r="AG528" i="3"/>
  <c r="AP528" i="3" s="1"/>
  <c r="AI528" i="3"/>
  <c r="AJ528" i="3"/>
  <c r="AL528" i="3"/>
  <c r="AM528" i="3"/>
  <c r="AO528" i="3"/>
  <c r="AE529" i="3"/>
  <c r="AI529" i="3" s="1"/>
  <c r="AF529" i="3"/>
  <c r="AL529" i="3" s="1"/>
  <c r="AG529" i="3"/>
  <c r="AJ529" i="3"/>
  <c r="AM529" i="3"/>
  <c r="AE530" i="3"/>
  <c r="AI530" i="3" s="1"/>
  <c r="AF530" i="3"/>
  <c r="AM530" i="3" s="1"/>
  <c r="AG530" i="3"/>
  <c r="AJ530" i="3"/>
  <c r="AO530" i="3"/>
  <c r="AP530" i="3"/>
  <c r="AE531" i="3"/>
  <c r="AI531" i="3" s="1"/>
  <c r="AF531" i="3"/>
  <c r="AG531" i="3"/>
  <c r="AJ531" i="3"/>
  <c r="AL531" i="3"/>
  <c r="AM531" i="3"/>
  <c r="AO531" i="3"/>
  <c r="AP531" i="3"/>
  <c r="AE532" i="3"/>
  <c r="AF532" i="3"/>
  <c r="AG532" i="3"/>
  <c r="AP532" i="3" s="1"/>
  <c r="AI532" i="3"/>
  <c r="AJ532" i="3"/>
  <c r="AL532" i="3"/>
  <c r="AM532" i="3"/>
  <c r="AO532" i="3"/>
  <c r="AE533" i="3"/>
  <c r="AF533" i="3"/>
  <c r="AM533" i="3" s="1"/>
  <c r="AG533" i="3"/>
  <c r="AI533" i="3"/>
  <c r="AJ533" i="3"/>
  <c r="AL533" i="3"/>
  <c r="AE534" i="3"/>
  <c r="AI534" i="3" s="1"/>
  <c r="AF534" i="3"/>
  <c r="AM534" i="3" s="1"/>
  <c r="AG534" i="3"/>
  <c r="AL534" i="3"/>
  <c r="AO534" i="3"/>
  <c r="AP534" i="3"/>
  <c r="AE535" i="3"/>
  <c r="AF535" i="3"/>
  <c r="AG535" i="3"/>
  <c r="AI535" i="3"/>
  <c r="AJ535" i="3"/>
  <c r="AL535" i="3"/>
  <c r="AM535" i="3"/>
  <c r="AO535" i="3"/>
  <c r="AP535" i="3"/>
  <c r="AE536" i="3"/>
  <c r="AF536" i="3"/>
  <c r="AG536" i="3"/>
  <c r="AP536" i="3" s="1"/>
  <c r="AI536" i="3"/>
  <c r="AJ536" i="3"/>
  <c r="AL536" i="3"/>
  <c r="AM536" i="3"/>
  <c r="AE537" i="3"/>
  <c r="AI537" i="3" s="1"/>
  <c r="AF537" i="3"/>
  <c r="AG537" i="3"/>
  <c r="AJ537" i="3"/>
  <c r="AL537" i="3"/>
  <c r="AM537" i="3"/>
  <c r="AE538" i="3"/>
  <c r="AI538" i="3" s="1"/>
  <c r="AF538" i="3"/>
  <c r="AM538" i="3" s="1"/>
  <c r="AG538" i="3"/>
  <c r="AL538" i="3"/>
  <c r="AO538" i="3"/>
  <c r="AP538" i="3"/>
  <c r="AE539" i="3"/>
  <c r="AF539" i="3"/>
  <c r="AG539" i="3"/>
  <c r="AI539" i="3"/>
  <c r="AJ539" i="3"/>
  <c r="AL539" i="3"/>
  <c r="AM539" i="3"/>
  <c r="AO539" i="3"/>
  <c r="AP539" i="3"/>
  <c r="AE540" i="3"/>
  <c r="AF540" i="3"/>
  <c r="AG540" i="3"/>
  <c r="AP540" i="3" s="1"/>
  <c r="AI540" i="3"/>
  <c r="AJ540" i="3"/>
  <c r="AL540" i="3"/>
  <c r="AM540" i="3"/>
  <c r="AE541" i="3"/>
  <c r="AI541" i="3" s="1"/>
  <c r="AF541" i="3"/>
  <c r="AG541" i="3"/>
  <c r="AJ541" i="3"/>
  <c r="AL541" i="3"/>
  <c r="AM541" i="3"/>
  <c r="AE542" i="3"/>
  <c r="AI542" i="3" s="1"/>
  <c r="AF542" i="3"/>
  <c r="AM542" i="3" s="1"/>
  <c r="AG542" i="3"/>
  <c r="AL542" i="3"/>
  <c r="AO542" i="3"/>
  <c r="AP542" i="3"/>
  <c r="AE543" i="3"/>
  <c r="AF543" i="3"/>
  <c r="AG543" i="3"/>
  <c r="AI543" i="3"/>
  <c r="AJ543" i="3"/>
  <c r="AL543" i="3"/>
  <c r="AM543" i="3"/>
  <c r="AO543" i="3"/>
  <c r="AP543" i="3"/>
  <c r="AE544" i="3"/>
  <c r="AF544" i="3"/>
  <c r="AG544" i="3"/>
  <c r="AP544" i="3" s="1"/>
  <c r="AI544" i="3"/>
  <c r="AJ544" i="3"/>
  <c r="AL544" i="3"/>
  <c r="AM544" i="3"/>
  <c r="AE545" i="3"/>
  <c r="AI545" i="3" s="1"/>
  <c r="AF545" i="3"/>
  <c r="AG545" i="3"/>
  <c r="AJ545" i="3"/>
  <c r="AL545" i="3"/>
  <c r="AM545" i="3"/>
  <c r="AE546" i="3"/>
  <c r="AI546" i="3" s="1"/>
  <c r="AF546" i="3"/>
  <c r="AM546" i="3" s="1"/>
  <c r="AG546" i="3"/>
  <c r="AL546" i="3"/>
  <c r="AO546" i="3"/>
  <c r="AP546" i="3"/>
  <c r="AE547" i="3"/>
  <c r="AF547" i="3"/>
  <c r="AG547" i="3"/>
  <c r="AI547" i="3"/>
  <c r="AJ547" i="3"/>
  <c r="AL547" i="3"/>
  <c r="AM547" i="3"/>
  <c r="AO547" i="3"/>
  <c r="AP547" i="3"/>
  <c r="AE548" i="3"/>
  <c r="AF548" i="3"/>
  <c r="AG548" i="3"/>
  <c r="AP548" i="3" s="1"/>
  <c r="AI548" i="3"/>
  <c r="AJ548" i="3"/>
  <c r="AL548" i="3"/>
  <c r="AM548" i="3"/>
  <c r="AE549" i="3"/>
  <c r="AF549" i="3"/>
  <c r="AG549" i="3"/>
  <c r="AI549" i="3"/>
  <c r="AJ549" i="3"/>
  <c r="AL549" i="3"/>
  <c r="AM549" i="3"/>
  <c r="AE550" i="3"/>
  <c r="AI550" i="3" s="1"/>
  <c r="AF550" i="3"/>
  <c r="AM550" i="3" s="1"/>
  <c r="AG550" i="3"/>
  <c r="AJ550" i="3"/>
  <c r="AO550" i="3"/>
  <c r="AP550" i="3"/>
  <c r="AE551" i="3"/>
  <c r="AI551" i="3" s="1"/>
  <c r="AF551" i="3"/>
  <c r="AG551" i="3"/>
  <c r="AJ551" i="3"/>
  <c r="AL551" i="3"/>
  <c r="AM551" i="3"/>
  <c r="AO551" i="3"/>
  <c r="AP551" i="3"/>
  <c r="AE552" i="3"/>
  <c r="AF552" i="3"/>
  <c r="AG552" i="3"/>
  <c r="AP552" i="3" s="1"/>
  <c r="AI552" i="3"/>
  <c r="AJ552" i="3"/>
  <c r="AL552" i="3"/>
  <c r="AM552" i="3"/>
  <c r="AO552" i="3"/>
  <c r="AE553" i="3"/>
  <c r="AF553" i="3"/>
  <c r="AM553" i="3" s="1"/>
  <c r="AG553" i="3"/>
  <c r="AI553" i="3"/>
  <c r="AJ553" i="3"/>
  <c r="AL553" i="3"/>
  <c r="AE554" i="3"/>
  <c r="AI554" i="3" s="1"/>
  <c r="AF554" i="3"/>
  <c r="AG554" i="3"/>
  <c r="AL554" i="3"/>
  <c r="AM554" i="3"/>
  <c r="AO554" i="3"/>
  <c r="AP554" i="3"/>
  <c r="AE555" i="3"/>
  <c r="AI555" i="3" s="1"/>
  <c r="AF555" i="3"/>
  <c r="AG555" i="3"/>
  <c r="AO555" i="3" s="1"/>
  <c r="AJ555" i="3"/>
  <c r="AL555" i="3"/>
  <c r="AM555" i="3"/>
  <c r="AP555" i="3"/>
  <c r="AE556" i="3"/>
  <c r="AF556" i="3"/>
  <c r="AM556" i="3" s="1"/>
  <c r="AG556" i="3"/>
  <c r="AI556" i="3"/>
  <c r="AJ556" i="3"/>
  <c r="AL556" i="3"/>
  <c r="AO556" i="3"/>
  <c r="AP556" i="3"/>
  <c r="AE557" i="3"/>
  <c r="AI557" i="3" s="1"/>
  <c r="AF557" i="3"/>
  <c r="AG557" i="3"/>
  <c r="AP557" i="3" s="1"/>
  <c r="AJ557" i="3"/>
  <c r="AL557" i="3"/>
  <c r="AM557" i="3"/>
  <c r="AE558" i="3"/>
  <c r="AF558" i="3"/>
  <c r="AM558" i="3" s="1"/>
  <c r="AG558" i="3"/>
  <c r="AI558" i="3"/>
  <c r="AJ558" i="3"/>
  <c r="AL558" i="3"/>
  <c r="AO558" i="3"/>
  <c r="AP558" i="3"/>
  <c r="AE559" i="3"/>
  <c r="AI559" i="3" s="1"/>
  <c r="AF559" i="3"/>
  <c r="AG559" i="3"/>
  <c r="AO559" i="3" s="1"/>
  <c r="AJ559" i="3"/>
  <c r="AL559" i="3"/>
  <c r="AM559" i="3"/>
  <c r="AP559" i="3"/>
  <c r="AE560" i="3"/>
  <c r="AF560" i="3"/>
  <c r="AM560" i="3" s="1"/>
  <c r="AG560" i="3"/>
  <c r="AI560" i="3"/>
  <c r="AJ560" i="3"/>
  <c r="AL560" i="3"/>
  <c r="AO560" i="3"/>
  <c r="AP560" i="3"/>
  <c r="AE561" i="3"/>
  <c r="AI561" i="3" s="1"/>
  <c r="AF561" i="3"/>
  <c r="AG561" i="3"/>
  <c r="AP561" i="3" s="1"/>
  <c r="AJ561" i="3"/>
  <c r="AL561" i="3"/>
  <c r="AM561" i="3"/>
  <c r="AE562" i="3"/>
  <c r="AF562" i="3"/>
  <c r="AM562" i="3" s="1"/>
  <c r="AG562" i="3"/>
  <c r="AP562" i="3" s="1"/>
  <c r="AI562" i="3"/>
  <c r="AJ562" i="3"/>
  <c r="AL562" i="3"/>
  <c r="AO562" i="3"/>
  <c r="AE563" i="3"/>
  <c r="AI563" i="3" s="1"/>
  <c r="AF563" i="3"/>
  <c r="AG563" i="3"/>
  <c r="AO563" i="3" s="1"/>
  <c r="AJ563" i="3"/>
  <c r="AL563" i="3"/>
  <c r="AM563" i="3"/>
  <c r="AP563" i="3"/>
  <c r="AE564" i="3"/>
  <c r="AF564" i="3"/>
  <c r="AM564" i="3" s="1"/>
  <c r="AG564" i="3"/>
  <c r="AI564" i="3"/>
  <c r="AJ564" i="3"/>
  <c r="AL564" i="3"/>
  <c r="AO564" i="3"/>
  <c r="AP564" i="3"/>
  <c r="AE565" i="3"/>
  <c r="AF565" i="3"/>
  <c r="AG565" i="3"/>
  <c r="AP565" i="3" s="1"/>
  <c r="AI565" i="3"/>
  <c r="AJ565" i="3"/>
  <c r="AL565" i="3"/>
  <c r="AM565" i="3"/>
  <c r="AE566" i="3"/>
  <c r="AF566" i="3"/>
  <c r="AM566" i="3" s="1"/>
  <c r="AG566" i="3"/>
  <c r="AI566" i="3"/>
  <c r="AJ566" i="3"/>
  <c r="AL566" i="3"/>
  <c r="AO566" i="3"/>
  <c r="AP566" i="3"/>
  <c r="AE567" i="3"/>
  <c r="AI567" i="3" s="1"/>
  <c r="AF567" i="3"/>
  <c r="AG567" i="3"/>
  <c r="AJ567" i="3"/>
  <c r="AL567" i="3"/>
  <c r="AM567" i="3"/>
  <c r="AO567" i="3"/>
  <c r="AP567" i="3"/>
  <c r="AE568" i="3"/>
  <c r="AF568" i="3"/>
  <c r="AG568" i="3"/>
  <c r="AI568" i="3"/>
  <c r="AJ568" i="3"/>
  <c r="AL568" i="3"/>
  <c r="AM568" i="3"/>
  <c r="AO568" i="3"/>
  <c r="AP568" i="3"/>
  <c r="AE569" i="3"/>
  <c r="AF569" i="3"/>
  <c r="AG569" i="3"/>
  <c r="AP569" i="3" s="1"/>
  <c r="AI569" i="3"/>
  <c r="AJ569" i="3"/>
  <c r="AL569" i="3"/>
  <c r="AM569" i="3"/>
  <c r="AE570" i="3"/>
  <c r="AF570" i="3"/>
  <c r="AM570" i="3" s="1"/>
  <c r="AG570" i="3"/>
  <c r="AI570" i="3"/>
  <c r="AJ570" i="3"/>
  <c r="AL570" i="3"/>
  <c r="AO570" i="3"/>
  <c r="AP570" i="3"/>
  <c r="AE571" i="3"/>
  <c r="AI571" i="3" s="1"/>
  <c r="AF571" i="3"/>
  <c r="AG571" i="3"/>
  <c r="AJ571" i="3"/>
  <c r="AL571" i="3"/>
  <c r="AM571" i="3"/>
  <c r="AO571" i="3"/>
  <c r="AP571" i="3"/>
  <c r="AE572" i="3"/>
  <c r="AI572" i="3" s="1"/>
  <c r="AF572" i="3"/>
  <c r="AG572" i="3"/>
  <c r="AO572" i="3" s="1"/>
  <c r="AJ572" i="3"/>
  <c r="AL572" i="3"/>
  <c r="AM572" i="3"/>
  <c r="AE573" i="3"/>
  <c r="AF573" i="3"/>
  <c r="AM573" i="3" s="1"/>
  <c r="AG573" i="3"/>
  <c r="AI573" i="3"/>
  <c r="AJ573" i="3"/>
  <c r="AL573" i="3"/>
  <c r="AO573" i="3"/>
  <c r="AP573" i="3"/>
  <c r="AE574" i="3"/>
  <c r="AI574" i="3" s="1"/>
  <c r="AF574" i="3"/>
  <c r="AG574" i="3"/>
  <c r="AJ574" i="3"/>
  <c r="AL574" i="3"/>
  <c r="AM574" i="3"/>
  <c r="AO574" i="3"/>
  <c r="AP574" i="3"/>
  <c r="AE575" i="3"/>
  <c r="AF575" i="3"/>
  <c r="AG575" i="3"/>
  <c r="AI575" i="3"/>
  <c r="AJ575" i="3"/>
  <c r="AL575" i="3"/>
  <c r="AM575" i="3"/>
  <c r="AO575" i="3"/>
  <c r="AP575" i="3"/>
  <c r="AE576" i="3"/>
  <c r="AI576" i="3" s="1"/>
  <c r="AF576" i="3"/>
  <c r="AG576" i="3"/>
  <c r="AO576" i="3" s="1"/>
  <c r="AJ576" i="3"/>
  <c r="AL576" i="3"/>
  <c r="AM576" i="3"/>
  <c r="AP576" i="3"/>
  <c r="AE577" i="3"/>
  <c r="AF577" i="3"/>
  <c r="AM577" i="3" s="1"/>
  <c r="AG577" i="3"/>
  <c r="AI577" i="3"/>
  <c r="AJ577" i="3"/>
  <c r="AL577" i="3"/>
  <c r="AO577" i="3"/>
  <c r="AP577" i="3"/>
  <c r="AE578" i="3"/>
  <c r="AI578" i="3" s="1"/>
  <c r="AF578" i="3"/>
  <c r="AG578" i="3"/>
  <c r="AJ578" i="3"/>
  <c r="AL578" i="3"/>
  <c r="AM578" i="3"/>
  <c r="AO578" i="3"/>
  <c r="AP578" i="3"/>
  <c r="AE579" i="3"/>
  <c r="AF579" i="3"/>
  <c r="AG579" i="3"/>
  <c r="AP579" i="3" s="1"/>
  <c r="AI579" i="3"/>
  <c r="AJ579" i="3"/>
  <c r="AL579" i="3"/>
  <c r="AM579" i="3"/>
  <c r="AO579" i="3"/>
  <c r="AE580" i="3"/>
  <c r="AI580" i="3" s="1"/>
  <c r="AF580" i="3"/>
  <c r="AG580" i="3"/>
  <c r="AO580" i="3" s="1"/>
  <c r="AJ580" i="3"/>
  <c r="AL580" i="3"/>
  <c r="AM580" i="3"/>
  <c r="AP580" i="3"/>
  <c r="AE581" i="3"/>
  <c r="AF581" i="3"/>
  <c r="AM581" i="3" s="1"/>
  <c r="AG581" i="3"/>
  <c r="AI581" i="3"/>
  <c r="AJ581" i="3"/>
  <c r="AL581" i="3"/>
  <c r="AO581" i="3"/>
  <c r="AP581" i="3"/>
  <c r="AE582" i="3"/>
  <c r="AI582" i="3" s="1"/>
  <c r="AF582" i="3"/>
  <c r="AG582" i="3"/>
  <c r="AJ582" i="3"/>
  <c r="AL582" i="3"/>
  <c r="AM582" i="3"/>
  <c r="AO582" i="3"/>
  <c r="AP582" i="3"/>
  <c r="AE583" i="3"/>
  <c r="AI583" i="3" s="1"/>
  <c r="AF583" i="3"/>
  <c r="AG583" i="3"/>
  <c r="AO583" i="3" s="1"/>
  <c r="AJ583" i="3"/>
  <c r="AL583" i="3"/>
  <c r="AM583" i="3"/>
  <c r="AP583" i="3"/>
  <c r="AE584" i="3"/>
  <c r="AI584" i="3" s="1"/>
  <c r="AF584" i="3"/>
  <c r="AM584" i="3" s="1"/>
  <c r="AG584" i="3"/>
  <c r="AJ584" i="3"/>
  <c r="AL584" i="3"/>
  <c r="AO584" i="3"/>
  <c r="AP584" i="3"/>
  <c r="AE585" i="3"/>
  <c r="AF585" i="3"/>
  <c r="AG585" i="3"/>
  <c r="AI585" i="3"/>
  <c r="AJ585" i="3"/>
  <c r="AL585" i="3"/>
  <c r="AM585" i="3"/>
  <c r="AO585" i="3"/>
  <c r="AP585" i="3"/>
  <c r="AE586" i="3"/>
  <c r="AF586" i="3"/>
  <c r="AG586" i="3"/>
  <c r="AP586" i="3" s="1"/>
  <c r="AI586" i="3"/>
  <c r="AJ586" i="3"/>
  <c r="AL586" i="3"/>
  <c r="AM586" i="3"/>
  <c r="AO586" i="3"/>
  <c r="AE587" i="3"/>
  <c r="AI587" i="3" s="1"/>
  <c r="AF587" i="3"/>
  <c r="AG587" i="3"/>
  <c r="AO587" i="3" s="1"/>
  <c r="AJ587" i="3"/>
  <c r="AL587" i="3"/>
  <c r="AM587" i="3"/>
  <c r="AE588" i="3"/>
  <c r="AI588" i="3" s="1"/>
  <c r="AF588" i="3"/>
  <c r="AM588" i="3" s="1"/>
  <c r="AG588" i="3"/>
  <c r="AJ588" i="3"/>
  <c r="AL588" i="3"/>
  <c r="AO588" i="3"/>
  <c r="AP588" i="3"/>
  <c r="AE589" i="3"/>
  <c r="AF589" i="3"/>
  <c r="AG589" i="3"/>
  <c r="AI589" i="3"/>
  <c r="AJ589" i="3"/>
  <c r="AL589" i="3"/>
  <c r="AM589" i="3"/>
  <c r="AO589" i="3"/>
  <c r="AP589" i="3"/>
  <c r="AE590" i="3"/>
  <c r="AF590" i="3"/>
  <c r="AG590" i="3"/>
  <c r="AP590" i="3" s="1"/>
  <c r="AI590" i="3"/>
  <c r="AJ590" i="3"/>
  <c r="AL590" i="3"/>
  <c r="AM590" i="3"/>
  <c r="AO590" i="3"/>
  <c r="AE591" i="3"/>
  <c r="AF591" i="3"/>
  <c r="AG591" i="3"/>
  <c r="AO591" i="3" s="1"/>
  <c r="AI591" i="3"/>
  <c r="AJ591" i="3"/>
  <c r="AL591" i="3"/>
  <c r="AM591" i="3"/>
  <c r="AE592" i="3"/>
  <c r="AI592" i="3" s="1"/>
  <c r="AF592" i="3"/>
  <c r="AM592" i="3" s="1"/>
  <c r="AG592" i="3"/>
  <c r="AJ592" i="3"/>
  <c r="AL592" i="3"/>
  <c r="AO592" i="3"/>
  <c r="AP592" i="3"/>
  <c r="AE593" i="3"/>
  <c r="AF593" i="3"/>
  <c r="AG593" i="3"/>
  <c r="AI593" i="3"/>
  <c r="AJ593" i="3"/>
  <c r="AL593" i="3"/>
  <c r="AM593" i="3"/>
  <c r="AO593" i="3"/>
  <c r="AP593" i="3"/>
  <c r="AE594" i="3"/>
  <c r="AF594" i="3"/>
  <c r="AG594" i="3"/>
  <c r="AI594" i="3"/>
  <c r="AJ594" i="3"/>
  <c r="AL594" i="3"/>
  <c r="AM594" i="3"/>
  <c r="AO594" i="3"/>
  <c r="AP594" i="3"/>
  <c r="AE595" i="3"/>
  <c r="AF595" i="3"/>
  <c r="AG595" i="3"/>
  <c r="AI595" i="3"/>
  <c r="AJ595" i="3"/>
  <c r="AL595" i="3"/>
  <c r="AM595" i="3"/>
  <c r="AO595" i="3"/>
  <c r="AP595" i="3"/>
  <c r="AE596" i="3"/>
  <c r="AI596" i="3" s="1"/>
  <c r="AF596" i="3"/>
  <c r="AG596" i="3"/>
  <c r="AJ596" i="3"/>
  <c r="AL596" i="3"/>
  <c r="AM596" i="3"/>
  <c r="AO596" i="3"/>
  <c r="AP596" i="3"/>
  <c r="AE597" i="3"/>
  <c r="AF597" i="3"/>
  <c r="AG597" i="3"/>
  <c r="AI597" i="3"/>
  <c r="AJ597" i="3"/>
  <c r="AL597" i="3"/>
  <c r="AM597" i="3"/>
  <c r="AO597" i="3"/>
  <c r="AP597" i="3"/>
  <c r="AE598" i="3"/>
  <c r="AF598" i="3"/>
  <c r="AG598" i="3"/>
  <c r="AI598" i="3"/>
  <c r="AJ598" i="3"/>
  <c r="AL598" i="3"/>
  <c r="AM598" i="3"/>
  <c r="AO598" i="3"/>
  <c r="AP598" i="3"/>
  <c r="AE599" i="3"/>
  <c r="AF599" i="3"/>
  <c r="AG599" i="3"/>
  <c r="AI599" i="3"/>
  <c r="AJ599" i="3"/>
  <c r="AL599" i="3"/>
  <c r="AM599" i="3"/>
  <c r="AO599" i="3"/>
  <c r="AP599" i="3"/>
  <c r="AE600" i="3"/>
  <c r="AI600" i="3" s="1"/>
  <c r="AF600" i="3"/>
  <c r="AG600" i="3"/>
  <c r="AJ600" i="3"/>
  <c r="AL600" i="3"/>
  <c r="AM600" i="3"/>
  <c r="AO600" i="3"/>
  <c r="AP600" i="3"/>
  <c r="AE601" i="3"/>
  <c r="AF601" i="3"/>
  <c r="AG601" i="3"/>
  <c r="AI601" i="3"/>
  <c r="AJ601" i="3"/>
  <c r="AL601" i="3"/>
  <c r="AM601" i="3"/>
  <c r="AO601" i="3"/>
  <c r="AP601" i="3"/>
  <c r="AE602" i="3"/>
  <c r="AF602" i="3"/>
  <c r="AG602" i="3"/>
  <c r="AI602" i="3"/>
  <c r="AJ602" i="3"/>
  <c r="AL602" i="3"/>
  <c r="AM602" i="3"/>
  <c r="AO602" i="3"/>
  <c r="AP602" i="3"/>
  <c r="AE603" i="3"/>
  <c r="AF603" i="3"/>
  <c r="AG603" i="3"/>
  <c r="AI603" i="3"/>
  <c r="AJ603" i="3"/>
  <c r="AL603" i="3"/>
  <c r="AM603" i="3"/>
  <c r="AO603" i="3"/>
  <c r="AP603" i="3"/>
  <c r="AE604" i="3"/>
  <c r="AI604" i="3" s="1"/>
  <c r="AF604" i="3"/>
  <c r="AG604" i="3"/>
  <c r="AO604" i="3" s="1"/>
  <c r="AJ604" i="3"/>
  <c r="AL604" i="3"/>
  <c r="AM604" i="3"/>
  <c r="AP604" i="3"/>
  <c r="AE605" i="3"/>
  <c r="AF605" i="3"/>
  <c r="AM605" i="3" s="1"/>
  <c r="AG605" i="3"/>
  <c r="AI605" i="3"/>
  <c r="AJ605" i="3"/>
  <c r="AL605" i="3"/>
  <c r="AO605" i="3"/>
  <c r="AP605" i="3"/>
  <c r="AE606" i="3"/>
  <c r="AI606" i="3" s="1"/>
  <c r="AF606" i="3"/>
  <c r="AG606" i="3"/>
  <c r="AJ606" i="3"/>
  <c r="AL606" i="3"/>
  <c r="AM606" i="3"/>
  <c r="AO606" i="3"/>
  <c r="AP606" i="3"/>
  <c r="AE607" i="3"/>
  <c r="AF607" i="3"/>
  <c r="AM607" i="3" s="1"/>
  <c r="AG607" i="3"/>
  <c r="AI607" i="3"/>
  <c r="AJ607" i="3"/>
  <c r="AL607" i="3"/>
  <c r="AO607" i="3"/>
  <c r="AP607" i="3"/>
  <c r="AE608" i="3"/>
  <c r="AI608" i="3" s="1"/>
  <c r="AF608" i="3"/>
  <c r="AG608" i="3"/>
  <c r="AJ608" i="3"/>
  <c r="AL608" i="3"/>
  <c r="AM608" i="3"/>
  <c r="AO608" i="3"/>
  <c r="AP608" i="3"/>
  <c r="AE609" i="3"/>
  <c r="AF609" i="3"/>
  <c r="AG609" i="3"/>
  <c r="AI609" i="3"/>
  <c r="AJ609" i="3"/>
  <c r="AL609" i="3"/>
  <c r="AM609" i="3"/>
  <c r="AO609" i="3"/>
  <c r="AP609" i="3"/>
  <c r="AE610" i="3"/>
  <c r="AI610" i="3" s="1"/>
  <c r="AF610" i="3"/>
  <c r="AG610" i="3"/>
  <c r="AO610" i="3" s="1"/>
  <c r="AJ610" i="3"/>
  <c r="AL610" i="3"/>
  <c r="AM610" i="3"/>
  <c r="AP610" i="3"/>
  <c r="AE611" i="3"/>
  <c r="AF611" i="3"/>
  <c r="AM611" i="3" s="1"/>
  <c r="AG611" i="3"/>
  <c r="AI611" i="3"/>
  <c r="AJ611" i="3"/>
  <c r="AL611" i="3"/>
  <c r="AO611" i="3"/>
  <c r="AP611" i="3"/>
  <c r="AE612" i="3"/>
  <c r="AF612" i="3"/>
  <c r="AG612" i="3"/>
  <c r="AI612" i="3"/>
  <c r="AJ612" i="3"/>
  <c r="AL612" i="3"/>
  <c r="AM612" i="3"/>
  <c r="AO612" i="3"/>
  <c r="AP612" i="3"/>
  <c r="AE613" i="3"/>
  <c r="AF613" i="3"/>
  <c r="AG613" i="3"/>
  <c r="AP613" i="3" s="1"/>
  <c r="AI613" i="3"/>
  <c r="AJ613" i="3"/>
  <c r="AL613" i="3"/>
  <c r="AM613" i="3"/>
  <c r="AO613" i="3"/>
  <c r="AE614" i="3"/>
  <c r="AI614" i="3" s="1"/>
  <c r="AF614" i="3"/>
  <c r="AG614" i="3"/>
  <c r="AO614" i="3" s="1"/>
  <c r="AJ614" i="3"/>
  <c r="AL614" i="3"/>
  <c r="AM614" i="3"/>
  <c r="AP614" i="3"/>
  <c r="AE615" i="3"/>
  <c r="AI615" i="3" s="1"/>
  <c r="AF615" i="3"/>
  <c r="AM615" i="3" s="1"/>
  <c r="AG615" i="3"/>
  <c r="AJ615" i="3"/>
  <c r="AL615" i="3"/>
  <c r="AO615" i="3"/>
  <c r="AP615" i="3"/>
  <c r="AE616" i="3"/>
  <c r="AI616" i="3" s="1"/>
  <c r="AF616" i="3"/>
  <c r="AG616" i="3"/>
  <c r="AJ616" i="3"/>
  <c r="AL616" i="3"/>
  <c r="AM616" i="3"/>
  <c r="AO616" i="3"/>
  <c r="AP616" i="3"/>
  <c r="AE617" i="3"/>
  <c r="AF617" i="3"/>
  <c r="AG617" i="3"/>
  <c r="AP617" i="3" s="1"/>
  <c r="AI617" i="3"/>
  <c r="AJ617" i="3"/>
  <c r="AL617" i="3"/>
  <c r="AM617" i="3"/>
  <c r="AO617" i="3"/>
  <c r="AE618" i="3"/>
  <c r="AI618" i="3" s="1"/>
  <c r="AF618" i="3"/>
  <c r="AG618" i="3"/>
  <c r="AO618" i="3" s="1"/>
  <c r="AJ618" i="3"/>
  <c r="AL618" i="3"/>
  <c r="AM618" i="3"/>
  <c r="AE619" i="3"/>
  <c r="AI619" i="3" s="1"/>
  <c r="AF619" i="3"/>
  <c r="AM619" i="3" s="1"/>
  <c r="AG619" i="3"/>
  <c r="AJ619" i="3"/>
  <c r="AL619" i="3"/>
  <c r="AO619" i="3"/>
  <c r="AP619" i="3"/>
  <c r="AE620" i="3"/>
  <c r="AI620" i="3" s="1"/>
  <c r="AF620" i="3"/>
  <c r="AG620" i="3"/>
  <c r="AJ620" i="3"/>
  <c r="AL620" i="3"/>
  <c r="AM620" i="3"/>
  <c r="AO620" i="3"/>
  <c r="AP620" i="3"/>
  <c r="AE621" i="3"/>
  <c r="AF621" i="3"/>
  <c r="AG621" i="3"/>
  <c r="AP621" i="3" s="1"/>
  <c r="AI621" i="3"/>
  <c r="AJ621" i="3"/>
  <c r="AL621" i="3"/>
  <c r="AM621" i="3"/>
  <c r="AO621" i="3"/>
  <c r="AE622" i="3"/>
  <c r="AI622" i="3" s="1"/>
  <c r="AF622" i="3"/>
  <c r="AG622" i="3"/>
  <c r="AO622" i="3" s="1"/>
  <c r="AJ622" i="3"/>
  <c r="AL622" i="3"/>
  <c r="AM622" i="3"/>
  <c r="AE623" i="3"/>
  <c r="AI623" i="3" s="1"/>
  <c r="AF623" i="3"/>
  <c r="AM623" i="3" s="1"/>
  <c r="AG623" i="3"/>
  <c r="AJ623" i="3"/>
  <c r="AL623" i="3"/>
  <c r="AO623" i="3"/>
  <c r="AP623" i="3"/>
  <c r="AE624" i="3"/>
  <c r="AI624" i="3" s="1"/>
  <c r="AF624" i="3"/>
  <c r="AG624" i="3"/>
  <c r="AJ624" i="3"/>
  <c r="AL624" i="3"/>
  <c r="AM624" i="3"/>
  <c r="AO624" i="3"/>
  <c r="AP624" i="3"/>
  <c r="AE625" i="3"/>
  <c r="AI625" i="3" s="1"/>
  <c r="AF625" i="3"/>
  <c r="AG625" i="3"/>
  <c r="AO625" i="3" s="1"/>
  <c r="AJ625" i="3"/>
  <c r="AL625" i="3"/>
  <c r="AM625" i="3"/>
  <c r="AP625" i="3"/>
  <c r="AE626" i="3"/>
  <c r="AI626" i="3" s="1"/>
  <c r="AF626" i="3"/>
  <c r="AM626" i="3" s="1"/>
  <c r="AG626" i="3"/>
  <c r="AJ626" i="3"/>
  <c r="AL626" i="3"/>
  <c r="AO626" i="3"/>
  <c r="AP626" i="3"/>
  <c r="AE627" i="3"/>
  <c r="AF627" i="3"/>
  <c r="AG627" i="3"/>
  <c r="AI627" i="3"/>
  <c r="AJ627" i="3"/>
  <c r="AL627" i="3"/>
  <c r="AM627" i="3"/>
  <c r="AO627" i="3"/>
  <c r="AP627" i="3"/>
  <c r="AE628" i="3"/>
  <c r="AF628" i="3"/>
  <c r="AG628" i="3"/>
  <c r="AP628" i="3" s="1"/>
  <c r="AI628" i="3"/>
  <c r="AJ628" i="3"/>
  <c r="AL628" i="3"/>
  <c r="AM628" i="3"/>
  <c r="AO628" i="3"/>
  <c r="AE629" i="3"/>
  <c r="AI629" i="3" s="1"/>
  <c r="AF629" i="3"/>
  <c r="AG629" i="3"/>
  <c r="AP629" i="3" s="1"/>
  <c r="AJ629" i="3"/>
  <c r="AL629" i="3"/>
  <c r="AM629" i="3"/>
  <c r="AE630" i="3"/>
  <c r="AI630" i="3" s="1"/>
  <c r="AF630" i="3"/>
  <c r="AM630" i="3" s="1"/>
  <c r="AG630" i="3"/>
  <c r="AJ630" i="3"/>
  <c r="AL630" i="3"/>
  <c r="AO630" i="3"/>
  <c r="AP630" i="3"/>
  <c r="AE631" i="3"/>
  <c r="AF631" i="3"/>
  <c r="AG631" i="3"/>
  <c r="AI631" i="3"/>
  <c r="AJ631" i="3"/>
  <c r="AL631" i="3"/>
  <c r="AM631" i="3"/>
  <c r="AO631" i="3"/>
  <c r="AP631" i="3"/>
  <c r="AE632" i="3"/>
  <c r="AF632" i="3"/>
  <c r="AG632" i="3"/>
  <c r="AP632" i="3" s="1"/>
  <c r="AI632" i="3"/>
  <c r="AJ632" i="3"/>
  <c r="AL632" i="3"/>
  <c r="AM632" i="3"/>
  <c r="AO632" i="3"/>
  <c r="AE633" i="3"/>
  <c r="AI633" i="3" s="1"/>
  <c r="AF633" i="3"/>
  <c r="AG633" i="3"/>
  <c r="AP633" i="3" s="1"/>
  <c r="AJ633" i="3"/>
  <c r="AL633" i="3"/>
  <c r="AM633" i="3"/>
  <c r="AE634" i="3"/>
  <c r="AI634" i="3" s="1"/>
  <c r="AF634" i="3"/>
  <c r="AM634" i="3" s="1"/>
  <c r="AG634" i="3"/>
  <c r="AJ634" i="3"/>
  <c r="AL634" i="3"/>
  <c r="AO634" i="3"/>
  <c r="AP634" i="3"/>
  <c r="AE635" i="3"/>
  <c r="AF635" i="3"/>
  <c r="AG635" i="3"/>
  <c r="AI635" i="3"/>
  <c r="AJ635" i="3"/>
  <c r="AL635" i="3"/>
  <c r="AM635" i="3"/>
  <c r="AO635" i="3"/>
  <c r="AP635" i="3"/>
  <c r="AE636" i="3"/>
  <c r="AI636" i="3" s="1"/>
  <c r="AF636" i="3"/>
  <c r="AG636" i="3"/>
  <c r="AO636" i="3" s="1"/>
  <c r="AJ636" i="3"/>
  <c r="AL636" i="3"/>
  <c r="AM636" i="3"/>
  <c r="AP636" i="3"/>
  <c r="AE637" i="3"/>
  <c r="AF637" i="3"/>
  <c r="AM637" i="3" s="1"/>
  <c r="AG637" i="3"/>
  <c r="AI637" i="3"/>
  <c r="AJ637" i="3"/>
  <c r="AL637" i="3"/>
  <c r="AO637" i="3"/>
  <c r="AP637" i="3"/>
  <c r="AE638" i="3"/>
  <c r="AI638" i="3" s="1"/>
  <c r="AF638" i="3"/>
  <c r="AG638" i="3"/>
  <c r="AJ638" i="3"/>
  <c r="AL638" i="3"/>
  <c r="AM638" i="3"/>
  <c r="AO638" i="3"/>
  <c r="AP638" i="3"/>
  <c r="AE639" i="3"/>
  <c r="AF639" i="3"/>
  <c r="AG639" i="3"/>
  <c r="AP639" i="3" s="1"/>
  <c r="AI639" i="3"/>
  <c r="AJ639" i="3"/>
  <c r="AL639" i="3"/>
  <c r="AM639" i="3"/>
  <c r="AO639" i="3"/>
  <c r="AE640" i="3"/>
  <c r="AI640" i="3" s="1"/>
  <c r="AF640" i="3"/>
  <c r="AG640" i="3"/>
  <c r="AO640" i="3" s="1"/>
  <c r="AJ640" i="3"/>
  <c r="AL640" i="3"/>
  <c r="AM640" i="3"/>
  <c r="AP640" i="3"/>
  <c r="AE641" i="3"/>
  <c r="AF641" i="3"/>
  <c r="AM641" i="3" s="1"/>
  <c r="AG641" i="3"/>
  <c r="AI641" i="3"/>
  <c r="AJ641" i="3"/>
  <c r="AL641" i="3"/>
  <c r="AO641" i="3"/>
  <c r="AP641" i="3"/>
  <c r="AE642" i="3"/>
  <c r="AI642" i="3" s="1"/>
  <c r="AF642" i="3"/>
  <c r="AG642" i="3"/>
  <c r="AO642" i="3" s="1"/>
  <c r="AJ642" i="3"/>
  <c r="AL642" i="3"/>
  <c r="AM642" i="3"/>
  <c r="AP642" i="3"/>
  <c r="AE643" i="3"/>
  <c r="AF643" i="3"/>
  <c r="AM643" i="3" s="1"/>
  <c r="AG643" i="3"/>
  <c r="AP643" i="3" s="1"/>
  <c r="AI643" i="3"/>
  <c r="AJ643" i="3"/>
  <c r="AL643" i="3"/>
  <c r="AO643" i="3"/>
  <c r="AE644" i="3"/>
  <c r="AI644" i="3" s="1"/>
  <c r="AF644" i="3"/>
  <c r="AG644" i="3"/>
  <c r="AO644" i="3" s="1"/>
  <c r="AJ644" i="3"/>
  <c r="AL644" i="3"/>
  <c r="AM644" i="3"/>
  <c r="AP644" i="3"/>
  <c r="AE645" i="3"/>
  <c r="AF645" i="3"/>
  <c r="AM645" i="3" s="1"/>
  <c r="AG645" i="3"/>
  <c r="AI645" i="3"/>
  <c r="AJ645" i="3"/>
  <c r="AL645" i="3"/>
  <c r="AO645" i="3"/>
  <c r="AP645" i="3"/>
  <c r="AE646" i="3"/>
  <c r="AI646" i="3" s="1"/>
  <c r="AF646" i="3"/>
  <c r="AG646" i="3"/>
  <c r="AO646" i="3" s="1"/>
  <c r="AJ646" i="3"/>
  <c r="AL646" i="3"/>
  <c r="AM646" i="3"/>
  <c r="AP646" i="3"/>
  <c r="AE647" i="3"/>
  <c r="AF647" i="3"/>
  <c r="AG647" i="3"/>
  <c r="AI647" i="3"/>
  <c r="AJ647" i="3"/>
  <c r="AL647" i="3"/>
  <c r="AM647" i="3"/>
  <c r="AO647" i="3"/>
  <c r="AP647" i="3"/>
  <c r="AE648" i="3"/>
  <c r="AF648" i="3"/>
  <c r="AG648" i="3"/>
  <c r="AI648" i="3"/>
  <c r="AJ648" i="3"/>
  <c r="AL648" i="3"/>
  <c r="AM648" i="3"/>
  <c r="AO648" i="3"/>
  <c r="AP648" i="3"/>
  <c r="AE649" i="3"/>
  <c r="AF649" i="3"/>
  <c r="AG649" i="3"/>
  <c r="AI649" i="3"/>
  <c r="AJ649" i="3"/>
  <c r="AL649" i="3"/>
  <c r="AM649" i="3"/>
  <c r="AO649" i="3"/>
  <c r="AP649" i="3"/>
  <c r="AE650" i="3"/>
  <c r="AF650" i="3"/>
  <c r="AG650" i="3"/>
  <c r="AI650" i="3"/>
  <c r="AJ650" i="3"/>
  <c r="AL650" i="3"/>
  <c r="AM650" i="3"/>
  <c r="AO650" i="3"/>
  <c r="AP650" i="3"/>
  <c r="AE651" i="3"/>
  <c r="AF651" i="3"/>
  <c r="AG651" i="3"/>
  <c r="AI651" i="3"/>
  <c r="AJ651" i="3"/>
  <c r="AL651" i="3"/>
  <c r="AM651" i="3"/>
  <c r="AO651" i="3"/>
  <c r="AP651" i="3"/>
  <c r="AE652" i="3"/>
  <c r="AI652" i="3" s="1"/>
  <c r="AF652" i="3"/>
  <c r="AG652" i="3"/>
  <c r="AJ652" i="3"/>
  <c r="AL652" i="3"/>
  <c r="AM652" i="3"/>
  <c r="AO652" i="3"/>
  <c r="AP652" i="3"/>
  <c r="AE653" i="3"/>
  <c r="AF653" i="3"/>
  <c r="AG653" i="3"/>
  <c r="AI653" i="3"/>
  <c r="AJ653" i="3"/>
  <c r="AL653" i="3"/>
  <c r="AM653" i="3"/>
  <c r="AO653" i="3"/>
  <c r="AP653" i="3"/>
  <c r="AE654" i="3"/>
  <c r="AF654" i="3"/>
  <c r="AG654" i="3"/>
  <c r="AI654" i="3"/>
  <c r="AJ654" i="3"/>
  <c r="AL654" i="3"/>
  <c r="AM654" i="3"/>
  <c r="AO654" i="3"/>
  <c r="AP654" i="3"/>
  <c r="AE655" i="3"/>
  <c r="AF655" i="3"/>
  <c r="AG655" i="3"/>
  <c r="AP655" i="3" s="1"/>
  <c r="AI655" i="3"/>
  <c r="AJ655" i="3"/>
  <c r="AL655" i="3"/>
  <c r="AM655" i="3"/>
  <c r="AO655" i="3"/>
  <c r="AE656" i="3"/>
  <c r="AI656" i="3" s="1"/>
  <c r="AF656" i="3"/>
  <c r="AM656" i="3" s="1"/>
  <c r="AG656" i="3"/>
  <c r="AO656" i="3" s="1"/>
  <c r="AJ656" i="3"/>
  <c r="AL656" i="3"/>
  <c r="AP656" i="3"/>
  <c r="AE657" i="3"/>
  <c r="AI657" i="3" s="1"/>
  <c r="AF657" i="3"/>
  <c r="AG657" i="3"/>
  <c r="AO657" i="3" s="1"/>
  <c r="AJ657" i="3"/>
  <c r="AL657" i="3"/>
  <c r="AM657" i="3"/>
  <c r="AP657" i="3"/>
  <c r="AE658" i="3"/>
  <c r="AF658" i="3"/>
  <c r="AG658" i="3"/>
  <c r="AI658" i="3"/>
  <c r="AJ658" i="3"/>
  <c r="AL658" i="3"/>
  <c r="AM658" i="3"/>
  <c r="AO658" i="3"/>
  <c r="AP658" i="3"/>
  <c r="AE659" i="3"/>
  <c r="AF659" i="3"/>
  <c r="AG659" i="3"/>
  <c r="AO659" i="3" s="1"/>
  <c r="AI659" i="3"/>
  <c r="AJ659" i="3"/>
  <c r="AL659" i="3"/>
  <c r="AM659" i="3"/>
  <c r="AE660" i="3"/>
  <c r="AF660" i="3"/>
  <c r="AM660" i="3" s="1"/>
  <c r="AG660" i="3"/>
  <c r="AI660" i="3"/>
  <c r="AJ660" i="3"/>
  <c r="AL660" i="3"/>
  <c r="AO660" i="3"/>
  <c r="AP660" i="3"/>
  <c r="AE661" i="3"/>
  <c r="AI661" i="3" s="1"/>
  <c r="AF661" i="3"/>
  <c r="AG661" i="3"/>
  <c r="AJ661" i="3"/>
  <c r="AL661" i="3"/>
  <c r="AM661" i="3"/>
  <c r="AO661" i="3"/>
  <c r="AP661" i="3"/>
  <c r="AE662" i="3"/>
  <c r="AF662" i="3"/>
  <c r="AG662" i="3"/>
  <c r="AI662" i="3"/>
  <c r="AJ662" i="3"/>
  <c r="AL662" i="3"/>
  <c r="AM662" i="3"/>
  <c r="AO662" i="3"/>
  <c r="AP662" i="3"/>
  <c r="AE663" i="3"/>
  <c r="AI663" i="3" s="1"/>
  <c r="AF663" i="3"/>
  <c r="AG663" i="3"/>
  <c r="AO663" i="3" s="1"/>
  <c r="AJ663" i="3"/>
  <c r="AL663" i="3"/>
  <c r="AM663" i="3"/>
  <c r="AP663" i="3"/>
  <c r="AE664" i="3"/>
  <c r="AI664" i="3" s="1"/>
  <c r="AF664" i="3"/>
  <c r="AM664" i="3" s="1"/>
  <c r="AG664" i="3"/>
  <c r="AJ664" i="3"/>
  <c r="AL664" i="3"/>
  <c r="AO664" i="3"/>
  <c r="AP664" i="3"/>
  <c r="AE665" i="3"/>
  <c r="AF665" i="3"/>
  <c r="AG665" i="3"/>
  <c r="AI665" i="3"/>
  <c r="AJ665" i="3"/>
  <c r="AL665" i="3"/>
  <c r="AM665" i="3"/>
  <c r="AO665" i="3"/>
  <c r="AP665" i="3"/>
  <c r="AE666" i="3"/>
  <c r="AF666" i="3"/>
  <c r="AG666" i="3"/>
  <c r="AP666" i="3" s="1"/>
  <c r="AI666" i="3"/>
  <c r="AJ666" i="3"/>
  <c r="AL666" i="3"/>
  <c r="AM666" i="3"/>
  <c r="AO666" i="3"/>
  <c r="AE667" i="3"/>
  <c r="AI667" i="3" s="1"/>
  <c r="AF667" i="3"/>
  <c r="AG667" i="3"/>
  <c r="AO667" i="3" s="1"/>
  <c r="AJ667" i="3"/>
  <c r="AL667" i="3"/>
  <c r="AM667" i="3"/>
  <c r="AP667" i="3"/>
  <c r="AE668" i="3"/>
  <c r="AI668" i="3" s="1"/>
  <c r="AF668" i="3"/>
  <c r="AM668" i="3" s="1"/>
  <c r="AG668" i="3"/>
  <c r="AJ668" i="3"/>
  <c r="AL668" i="3"/>
  <c r="AO668" i="3"/>
  <c r="AP668" i="3"/>
  <c r="AE669" i="3"/>
  <c r="AF669" i="3"/>
  <c r="AG669" i="3"/>
  <c r="AI669" i="3"/>
  <c r="AJ669" i="3"/>
  <c r="AL669" i="3"/>
  <c r="AM669" i="3"/>
  <c r="AO669" i="3"/>
  <c r="AP669" i="3"/>
  <c r="AE670" i="3"/>
  <c r="AF670" i="3"/>
  <c r="AG670" i="3"/>
  <c r="AP670" i="3" s="1"/>
  <c r="AI670" i="3"/>
  <c r="AJ670" i="3"/>
  <c r="AL670" i="3"/>
  <c r="AM670" i="3"/>
  <c r="AO670" i="3"/>
  <c r="AE671" i="3"/>
  <c r="AF671" i="3"/>
  <c r="AG671" i="3"/>
  <c r="AO671" i="3" s="1"/>
  <c r="AI671" i="3"/>
  <c r="AJ671" i="3"/>
  <c r="AL671" i="3"/>
  <c r="AM671" i="3"/>
  <c r="AE672" i="3"/>
  <c r="AI672" i="3" s="1"/>
  <c r="AF672" i="3"/>
  <c r="AM672" i="3" s="1"/>
  <c r="AG672" i="3"/>
  <c r="AJ672" i="3"/>
  <c r="AL672" i="3"/>
  <c r="AO672" i="3"/>
  <c r="AP672" i="3"/>
  <c r="AE673" i="3"/>
  <c r="AF673" i="3"/>
  <c r="AG673" i="3"/>
  <c r="AI673" i="3"/>
  <c r="AJ673" i="3"/>
  <c r="AL673" i="3"/>
  <c r="AM673" i="3"/>
  <c r="AO673" i="3"/>
  <c r="AP673" i="3"/>
  <c r="AE674" i="3"/>
  <c r="AF674" i="3"/>
  <c r="AG674" i="3"/>
  <c r="AP674" i="3" s="1"/>
  <c r="AI674" i="3"/>
  <c r="AJ674" i="3"/>
  <c r="AL674" i="3"/>
  <c r="AM674" i="3"/>
  <c r="AO674" i="3"/>
  <c r="AE675" i="3"/>
  <c r="AF675" i="3"/>
  <c r="AG675" i="3"/>
  <c r="AO675" i="3" s="1"/>
  <c r="AI675" i="3"/>
  <c r="AJ675" i="3"/>
  <c r="AL675" i="3"/>
  <c r="AM675" i="3"/>
  <c r="AE676" i="3"/>
  <c r="AI676" i="3" s="1"/>
  <c r="AF676" i="3"/>
  <c r="AM676" i="3" s="1"/>
  <c r="AG676" i="3"/>
  <c r="AJ676" i="3"/>
  <c r="AL676" i="3"/>
  <c r="AO676" i="3"/>
  <c r="AP676" i="3"/>
  <c r="AE677" i="3"/>
  <c r="AF677" i="3"/>
  <c r="AG677" i="3"/>
  <c r="AI677" i="3"/>
  <c r="AJ677" i="3"/>
  <c r="AL677" i="3"/>
  <c r="AM677" i="3"/>
  <c r="AO677" i="3"/>
  <c r="AP677" i="3"/>
  <c r="AE678" i="3"/>
  <c r="AF678" i="3"/>
  <c r="AG678" i="3"/>
  <c r="AP678" i="3" s="1"/>
  <c r="AI678" i="3"/>
  <c r="AJ678" i="3"/>
  <c r="AL678" i="3"/>
  <c r="AM678" i="3"/>
  <c r="AO678" i="3"/>
  <c r="AE679" i="3"/>
  <c r="AI679" i="3" s="1"/>
  <c r="AF679" i="3"/>
  <c r="AG679" i="3"/>
  <c r="AO679" i="3" s="1"/>
  <c r="AJ679" i="3"/>
  <c r="AL679" i="3"/>
  <c r="AM679" i="3"/>
  <c r="AE680" i="3"/>
  <c r="AI680" i="3" s="1"/>
  <c r="AF680" i="3"/>
  <c r="AM680" i="3" s="1"/>
  <c r="AG680" i="3"/>
  <c r="AJ680" i="3"/>
  <c r="AL680" i="3"/>
  <c r="AO680" i="3"/>
  <c r="AP680" i="3"/>
  <c r="AE681" i="3"/>
  <c r="AF681" i="3"/>
  <c r="AG681" i="3"/>
  <c r="AI681" i="3"/>
  <c r="AJ681" i="3"/>
  <c r="AL681" i="3"/>
  <c r="AM681" i="3"/>
  <c r="AO681" i="3"/>
  <c r="AP681" i="3"/>
  <c r="AE682" i="3"/>
  <c r="AF682" i="3"/>
  <c r="AG682" i="3"/>
  <c r="AP682" i="3" s="1"/>
  <c r="AI682" i="3"/>
  <c r="AJ682" i="3"/>
  <c r="AL682" i="3"/>
  <c r="AM682" i="3"/>
  <c r="AO682" i="3"/>
  <c r="AE683" i="3"/>
  <c r="AI683" i="3" s="1"/>
  <c r="AF683" i="3"/>
  <c r="AG683" i="3"/>
  <c r="AO683" i="3" s="1"/>
  <c r="AJ683" i="3"/>
  <c r="AL683" i="3"/>
  <c r="AM683" i="3"/>
  <c r="AE684" i="3"/>
  <c r="AI684" i="3" s="1"/>
  <c r="AF684" i="3"/>
  <c r="AM684" i="3" s="1"/>
  <c r="AG684" i="3"/>
  <c r="AJ684" i="3"/>
  <c r="AL684" i="3"/>
  <c r="AO684" i="3"/>
  <c r="AP684" i="3"/>
  <c r="AE685" i="3"/>
  <c r="AF685" i="3"/>
  <c r="AG685" i="3"/>
  <c r="AI685" i="3"/>
  <c r="AJ685" i="3"/>
  <c r="AL685" i="3"/>
  <c r="AM685" i="3"/>
  <c r="AO685" i="3"/>
  <c r="AP685" i="3"/>
  <c r="AE686" i="3"/>
  <c r="AF686" i="3"/>
  <c r="AG686" i="3"/>
  <c r="AP686" i="3" s="1"/>
  <c r="AI686" i="3"/>
  <c r="AJ686" i="3"/>
  <c r="AL686" i="3"/>
  <c r="AM686" i="3"/>
  <c r="AO686" i="3"/>
  <c r="AE687" i="3"/>
  <c r="AI687" i="3" s="1"/>
  <c r="AF687" i="3"/>
  <c r="AG687" i="3"/>
  <c r="AO687" i="3" s="1"/>
  <c r="AJ687" i="3"/>
  <c r="AL687" i="3"/>
  <c r="AM687" i="3"/>
  <c r="AE688" i="3"/>
  <c r="AI688" i="3" s="1"/>
  <c r="AF688" i="3"/>
  <c r="AM688" i="3" s="1"/>
  <c r="AG688" i="3"/>
  <c r="AJ688" i="3"/>
  <c r="AL688" i="3"/>
  <c r="AO688" i="3"/>
  <c r="AP688" i="3"/>
  <c r="AE689" i="3"/>
  <c r="AI689" i="3" s="1"/>
  <c r="AF689" i="3"/>
  <c r="AG689" i="3"/>
  <c r="AO689" i="3" s="1"/>
  <c r="AJ689" i="3"/>
  <c r="AL689" i="3"/>
  <c r="AM689" i="3"/>
  <c r="AP689" i="3"/>
  <c r="AE690" i="3"/>
  <c r="AF690" i="3"/>
  <c r="AM690" i="3" s="1"/>
  <c r="AG690" i="3"/>
  <c r="AI690" i="3"/>
  <c r="AJ690" i="3"/>
  <c r="AL690" i="3"/>
  <c r="AO690" i="3"/>
  <c r="AP690" i="3"/>
  <c r="AE691" i="3"/>
  <c r="AI691" i="3" s="1"/>
  <c r="AF691" i="3"/>
  <c r="AG691" i="3"/>
  <c r="AO691" i="3" s="1"/>
  <c r="AJ691" i="3"/>
  <c r="AL691" i="3"/>
  <c r="AM691" i="3"/>
  <c r="AP691" i="3"/>
  <c r="AE692" i="3"/>
  <c r="AF692" i="3"/>
  <c r="AM692" i="3" s="1"/>
  <c r="AG692" i="3"/>
  <c r="AI692" i="3"/>
  <c r="AJ692" i="3"/>
  <c r="AL692" i="3"/>
  <c r="AO692" i="3"/>
  <c r="AP692" i="3"/>
  <c r="AE693" i="3"/>
  <c r="AI693" i="3" s="1"/>
  <c r="AF693" i="3"/>
  <c r="AG693" i="3"/>
  <c r="AO693" i="3" s="1"/>
  <c r="AJ693" i="3"/>
  <c r="AL693" i="3"/>
  <c r="AM693" i="3"/>
  <c r="AP693" i="3"/>
  <c r="AE694" i="3"/>
  <c r="AF694" i="3"/>
  <c r="AM694" i="3" s="1"/>
  <c r="AG694" i="3"/>
  <c r="AI694" i="3"/>
  <c r="AJ694" i="3"/>
  <c r="AL694" i="3"/>
  <c r="AO694" i="3"/>
  <c r="AP694" i="3"/>
  <c r="AE695" i="3"/>
  <c r="AI695" i="3" s="1"/>
  <c r="AF695" i="3"/>
  <c r="AG695" i="3"/>
  <c r="AO695" i="3" s="1"/>
  <c r="AJ695" i="3"/>
  <c r="AL695" i="3"/>
  <c r="AM695" i="3"/>
  <c r="AP695" i="3"/>
  <c r="AE696" i="3"/>
  <c r="AF696" i="3"/>
  <c r="AM696" i="3" s="1"/>
  <c r="AG696" i="3"/>
  <c r="AI696" i="3"/>
  <c r="AJ696" i="3"/>
  <c r="AL696" i="3"/>
  <c r="AO696" i="3"/>
  <c r="AP696" i="3"/>
  <c r="AE697" i="3"/>
  <c r="AI697" i="3" s="1"/>
  <c r="AF697" i="3"/>
  <c r="AG697" i="3"/>
  <c r="AO697" i="3" s="1"/>
  <c r="AJ697" i="3"/>
  <c r="AL697" i="3"/>
  <c r="AM697" i="3"/>
  <c r="AP697" i="3"/>
  <c r="AE698" i="3"/>
  <c r="AF698" i="3"/>
  <c r="AM698" i="3" s="1"/>
  <c r="AG698" i="3"/>
  <c r="AI698" i="3"/>
  <c r="AJ698" i="3"/>
  <c r="AL698" i="3"/>
  <c r="AO698" i="3"/>
  <c r="AP698" i="3"/>
  <c r="AE699" i="3"/>
  <c r="AI699" i="3" s="1"/>
  <c r="AF699" i="3"/>
  <c r="AG699" i="3"/>
  <c r="AO699" i="3" s="1"/>
  <c r="AJ699" i="3"/>
  <c r="AL699" i="3"/>
  <c r="AM699" i="3"/>
  <c r="AP699" i="3"/>
  <c r="AE700" i="3"/>
  <c r="AF700" i="3"/>
  <c r="AM700" i="3" s="1"/>
  <c r="AG700" i="3"/>
  <c r="AI700" i="3"/>
  <c r="AJ700" i="3"/>
  <c r="AL700" i="3"/>
  <c r="AO700" i="3"/>
  <c r="AP700" i="3"/>
  <c r="AE701" i="3"/>
  <c r="AI701" i="3" s="1"/>
  <c r="AF701" i="3"/>
  <c r="AG701" i="3"/>
  <c r="AO701" i="3" s="1"/>
  <c r="AJ701" i="3"/>
  <c r="AL701" i="3"/>
  <c r="AM701" i="3"/>
  <c r="AP701" i="3"/>
  <c r="AE702" i="3"/>
  <c r="AF702" i="3"/>
  <c r="AM702" i="3" s="1"/>
  <c r="AG702" i="3"/>
  <c r="AI702" i="3"/>
  <c r="AJ702" i="3"/>
  <c r="AL702" i="3"/>
  <c r="AO702" i="3"/>
  <c r="AP702" i="3"/>
  <c r="AE703" i="3"/>
  <c r="AI703" i="3" s="1"/>
  <c r="AF703" i="3"/>
  <c r="AG703" i="3"/>
  <c r="AO703" i="3" s="1"/>
  <c r="AJ703" i="3"/>
  <c r="AL703" i="3"/>
  <c r="AM703" i="3"/>
  <c r="AP703" i="3"/>
  <c r="AE704" i="3"/>
  <c r="AF704" i="3"/>
  <c r="AM704" i="3" s="1"/>
  <c r="AG704" i="3"/>
  <c r="AI704" i="3"/>
  <c r="AJ704" i="3"/>
  <c r="AL704" i="3"/>
  <c r="AO704" i="3"/>
  <c r="AP704" i="3"/>
  <c r="AE705" i="3"/>
  <c r="AI705" i="3" s="1"/>
  <c r="AF705" i="3"/>
  <c r="AG705" i="3"/>
  <c r="AO705" i="3" s="1"/>
  <c r="AJ705" i="3"/>
  <c r="AL705" i="3"/>
  <c r="AM705" i="3"/>
  <c r="AP705" i="3"/>
  <c r="AE706" i="3"/>
  <c r="AF706" i="3"/>
  <c r="AM706" i="3" s="1"/>
  <c r="AG706" i="3"/>
  <c r="AI706" i="3"/>
  <c r="AJ706" i="3"/>
  <c r="AL706" i="3"/>
  <c r="AO706" i="3"/>
  <c r="AP706" i="3"/>
  <c r="AE707" i="3"/>
  <c r="AI707" i="3" s="1"/>
  <c r="AF707" i="3"/>
  <c r="AG707" i="3"/>
  <c r="AO707" i="3" s="1"/>
  <c r="AJ707" i="3"/>
  <c r="AL707" i="3"/>
  <c r="AM707" i="3"/>
  <c r="AP707" i="3"/>
  <c r="AE708" i="3"/>
  <c r="AF708" i="3"/>
  <c r="AM708" i="3" s="1"/>
  <c r="AG708" i="3"/>
  <c r="AI708" i="3"/>
  <c r="AJ708" i="3"/>
  <c r="AL708" i="3"/>
  <c r="AO708" i="3"/>
  <c r="AP708" i="3"/>
  <c r="AE709" i="3"/>
  <c r="AI709" i="3" s="1"/>
  <c r="AF709" i="3"/>
  <c r="AG709" i="3"/>
  <c r="AO709" i="3" s="1"/>
  <c r="AJ709" i="3"/>
  <c r="AL709" i="3"/>
  <c r="AM709" i="3"/>
  <c r="AP709" i="3"/>
  <c r="AE710" i="3"/>
  <c r="AI710" i="3" s="1"/>
  <c r="AF710" i="3"/>
  <c r="AM710" i="3" s="1"/>
  <c r="AG710" i="3"/>
  <c r="AO710" i="3" s="1"/>
  <c r="AJ710" i="3"/>
  <c r="AL710" i="3"/>
  <c r="AP710" i="3"/>
  <c r="AE711" i="3"/>
  <c r="AI711" i="3" s="1"/>
  <c r="AF711" i="3"/>
  <c r="AM711" i="3" s="1"/>
  <c r="AG711" i="3"/>
  <c r="AJ711" i="3"/>
  <c r="AL711" i="3"/>
  <c r="AO711" i="3"/>
  <c r="AP711" i="3"/>
  <c r="AE712" i="3"/>
  <c r="AF712" i="3"/>
  <c r="AG712" i="3"/>
  <c r="AI712" i="3"/>
  <c r="AJ712" i="3"/>
  <c r="AL712" i="3"/>
  <c r="AM712" i="3"/>
  <c r="AO712" i="3"/>
  <c r="AP712" i="3"/>
  <c r="AE713" i="3"/>
  <c r="AF713" i="3"/>
  <c r="AG713" i="3"/>
  <c r="AP713" i="3" s="1"/>
  <c r="AI713" i="3"/>
  <c r="AJ713" i="3"/>
  <c r="AL713" i="3"/>
  <c r="AM713" i="3"/>
  <c r="AO713" i="3"/>
  <c r="AE714" i="3"/>
  <c r="AI714" i="3" s="1"/>
  <c r="AF714" i="3"/>
  <c r="AG714" i="3"/>
  <c r="AO714" i="3" s="1"/>
  <c r="AJ714" i="3"/>
  <c r="AL714" i="3"/>
  <c r="AM714" i="3"/>
  <c r="AP714" i="3"/>
  <c r="AE715" i="3"/>
  <c r="AI715" i="3" s="1"/>
  <c r="AF715" i="3"/>
  <c r="AM715" i="3" s="1"/>
  <c r="AG715" i="3"/>
  <c r="AJ715" i="3"/>
  <c r="AL715" i="3"/>
  <c r="AO715" i="3"/>
  <c r="AP715" i="3"/>
  <c r="AE716" i="3"/>
  <c r="AF716" i="3"/>
  <c r="AG716" i="3"/>
  <c r="AI716" i="3"/>
  <c r="AJ716" i="3"/>
  <c r="AL716" i="3"/>
  <c r="AM716" i="3"/>
  <c r="AO716" i="3"/>
  <c r="AP716" i="3"/>
  <c r="AE717" i="3"/>
  <c r="AF717" i="3"/>
  <c r="AG717" i="3"/>
  <c r="AP717" i="3" s="1"/>
  <c r="AI717" i="3"/>
  <c r="AJ717" i="3"/>
  <c r="AL717" i="3"/>
  <c r="AM717" i="3"/>
  <c r="AE718" i="3"/>
  <c r="AI718" i="3" s="1"/>
  <c r="AF718" i="3"/>
  <c r="AM718" i="3" s="1"/>
  <c r="AG718" i="3"/>
  <c r="AO718" i="3" s="1"/>
  <c r="AJ718" i="3"/>
  <c r="AL718" i="3"/>
  <c r="AP718" i="3"/>
  <c r="AE719" i="3"/>
  <c r="AF719" i="3"/>
  <c r="AM719" i="3" s="1"/>
  <c r="AG719" i="3"/>
  <c r="AI719" i="3"/>
  <c r="AJ719" i="3"/>
  <c r="AL719" i="3"/>
  <c r="AO719" i="3"/>
  <c r="AP719" i="3"/>
  <c r="AE720" i="3"/>
  <c r="AF720" i="3"/>
  <c r="AG720" i="3"/>
  <c r="AP720" i="3" s="1"/>
  <c r="AI720" i="3"/>
  <c r="AJ720" i="3"/>
  <c r="AL720" i="3"/>
  <c r="AM720" i="3"/>
  <c r="AO720" i="3"/>
  <c r="AE721" i="3"/>
  <c r="AI721" i="3" s="1"/>
  <c r="AF721" i="3"/>
  <c r="AG721" i="3"/>
  <c r="AO721" i="3" s="1"/>
  <c r="AJ721" i="3"/>
  <c r="AL721" i="3"/>
  <c r="AM721" i="3"/>
  <c r="AP721" i="3"/>
  <c r="AE722" i="3"/>
  <c r="AI722" i="3" s="1"/>
  <c r="AF722" i="3"/>
  <c r="AM722" i="3" s="1"/>
  <c r="AG722" i="3"/>
  <c r="AJ722" i="3"/>
  <c r="AL722" i="3"/>
  <c r="AO722" i="3"/>
  <c r="AP722" i="3"/>
  <c r="AE723" i="3"/>
  <c r="AF723" i="3"/>
  <c r="AG723" i="3"/>
  <c r="AI723" i="3"/>
  <c r="AJ723" i="3"/>
  <c r="AL723" i="3"/>
  <c r="AM723" i="3"/>
  <c r="AO723" i="3"/>
  <c r="AP723" i="3"/>
  <c r="AE724" i="3"/>
  <c r="AF724" i="3"/>
  <c r="AG724" i="3"/>
  <c r="AP724" i="3" s="1"/>
  <c r="AI724" i="3"/>
  <c r="AJ724" i="3"/>
  <c r="AL724" i="3"/>
  <c r="AM724" i="3"/>
  <c r="AO724" i="3"/>
  <c r="AE725" i="3"/>
  <c r="AI725" i="3" s="1"/>
  <c r="AF725" i="3"/>
  <c r="AG725" i="3"/>
  <c r="AP725" i="3" s="1"/>
  <c r="AJ725" i="3"/>
  <c r="AL725" i="3"/>
  <c r="AM725" i="3"/>
  <c r="AE726" i="3"/>
  <c r="AI726" i="3" s="1"/>
  <c r="AF726" i="3"/>
  <c r="AM726" i="3" s="1"/>
  <c r="AG726" i="3"/>
  <c r="AJ726" i="3"/>
  <c r="AL726" i="3"/>
  <c r="AO726" i="3"/>
  <c r="AP726" i="3"/>
  <c r="AE727" i="3"/>
  <c r="AF727" i="3"/>
  <c r="AG727" i="3"/>
  <c r="AI727" i="3"/>
  <c r="AJ727" i="3"/>
  <c r="AL727" i="3"/>
  <c r="AM727" i="3"/>
  <c r="AO727" i="3"/>
  <c r="AP727" i="3"/>
  <c r="AE728" i="3"/>
  <c r="AF728" i="3"/>
  <c r="AG728" i="3"/>
  <c r="AP728" i="3" s="1"/>
  <c r="AI728" i="3"/>
  <c r="AJ728" i="3"/>
  <c r="AL728" i="3"/>
  <c r="AM728" i="3"/>
  <c r="AO728" i="3"/>
  <c r="AE729" i="3"/>
  <c r="AI729" i="3" s="1"/>
  <c r="AF729" i="3"/>
  <c r="AG729" i="3"/>
  <c r="AP729" i="3" s="1"/>
  <c r="AJ729" i="3"/>
  <c r="AL729" i="3"/>
  <c r="AM729" i="3"/>
  <c r="AE730" i="3"/>
  <c r="AI730" i="3" s="1"/>
  <c r="AF730" i="3"/>
  <c r="AM730" i="3" s="1"/>
  <c r="AG730" i="3"/>
  <c r="AJ730" i="3"/>
  <c r="AL730" i="3"/>
  <c r="AO730" i="3"/>
  <c r="AP730" i="3"/>
  <c r="AE731" i="3"/>
  <c r="AF731" i="3"/>
  <c r="AG731" i="3"/>
  <c r="AI731" i="3"/>
  <c r="AJ731" i="3"/>
  <c r="AL731" i="3"/>
  <c r="AM731" i="3"/>
  <c r="AO731" i="3"/>
  <c r="AP731" i="3"/>
  <c r="AE732" i="3"/>
  <c r="AF732" i="3"/>
  <c r="AG732" i="3"/>
  <c r="AI732" i="3"/>
  <c r="AJ732" i="3"/>
  <c r="AL732" i="3"/>
  <c r="AM732" i="3"/>
  <c r="AO732" i="3"/>
  <c r="AP732" i="3"/>
  <c r="AE733" i="3"/>
  <c r="AF733" i="3"/>
  <c r="AG733" i="3"/>
  <c r="AI733" i="3"/>
  <c r="AJ733" i="3"/>
  <c r="AL733" i="3"/>
  <c r="AM733" i="3"/>
  <c r="AO733" i="3"/>
  <c r="AP733" i="3"/>
  <c r="AE734" i="3"/>
  <c r="AI734" i="3" s="1"/>
  <c r="AF734" i="3"/>
  <c r="AG734" i="3"/>
  <c r="AJ734" i="3"/>
  <c r="AL734" i="3"/>
  <c r="AM734" i="3"/>
  <c r="AO734" i="3"/>
  <c r="AP734" i="3"/>
  <c r="AE735" i="3"/>
  <c r="AF735" i="3"/>
  <c r="AG735" i="3"/>
  <c r="AI735" i="3"/>
  <c r="AJ735" i="3"/>
  <c r="AL735" i="3"/>
  <c r="AM735" i="3"/>
  <c r="AO735" i="3"/>
  <c r="AP735" i="3"/>
  <c r="AE736" i="3"/>
  <c r="AF736" i="3"/>
  <c r="AG736" i="3"/>
  <c r="AI736" i="3"/>
  <c r="AJ736" i="3"/>
  <c r="AL736" i="3"/>
  <c r="AM736" i="3"/>
  <c r="AO736" i="3"/>
  <c r="AP736" i="3"/>
  <c r="AE737" i="3"/>
  <c r="AF737" i="3"/>
  <c r="AG737" i="3"/>
  <c r="AI737" i="3"/>
  <c r="AJ737" i="3"/>
  <c r="AL737" i="3"/>
  <c r="AM737" i="3"/>
  <c r="AO737" i="3"/>
  <c r="AP737" i="3"/>
  <c r="AE738" i="3"/>
  <c r="AI738" i="3" s="1"/>
  <c r="AF738" i="3"/>
  <c r="AG738" i="3"/>
  <c r="AO738" i="3" s="1"/>
  <c r="AJ738" i="3"/>
  <c r="AL738" i="3"/>
  <c r="AM738" i="3"/>
  <c r="AP738" i="3"/>
  <c r="AE739" i="3"/>
  <c r="AF739" i="3"/>
  <c r="AM739" i="3" s="1"/>
  <c r="AG739" i="3"/>
  <c r="AI739" i="3"/>
  <c r="AJ739" i="3"/>
  <c r="AL739" i="3"/>
  <c r="AO739" i="3"/>
  <c r="AP739" i="3"/>
  <c r="AE740" i="3"/>
  <c r="AF740" i="3"/>
  <c r="AG740" i="3"/>
  <c r="AI740" i="3"/>
  <c r="AJ740" i="3"/>
  <c r="AL740" i="3"/>
  <c r="AM740" i="3"/>
  <c r="AO740" i="3"/>
  <c r="AP740" i="3"/>
  <c r="AE741" i="3"/>
  <c r="AF741" i="3"/>
  <c r="AG741" i="3"/>
  <c r="AP741" i="3" s="1"/>
  <c r="AI741" i="3"/>
  <c r="AJ741" i="3"/>
  <c r="AL741" i="3"/>
  <c r="AM741" i="3"/>
  <c r="AO741" i="3"/>
  <c r="AE742" i="3"/>
  <c r="AI742" i="3" s="1"/>
  <c r="AF742" i="3"/>
  <c r="AG742" i="3"/>
  <c r="AO742" i="3" s="1"/>
  <c r="AJ742" i="3"/>
  <c r="AL742" i="3"/>
  <c r="AM742" i="3"/>
  <c r="AP742" i="3"/>
  <c r="AE743" i="3"/>
  <c r="AI743" i="3" s="1"/>
  <c r="AF743" i="3"/>
  <c r="AM743" i="3" s="1"/>
  <c r="AG743" i="3"/>
  <c r="AJ743" i="3"/>
  <c r="AL743" i="3"/>
  <c r="AO743" i="3"/>
  <c r="AP743" i="3"/>
  <c r="AE744" i="3"/>
  <c r="AF744" i="3"/>
  <c r="AG744" i="3"/>
  <c r="AI744" i="3"/>
  <c r="AJ744" i="3"/>
  <c r="AL744" i="3"/>
  <c r="AM744" i="3"/>
  <c r="AO744" i="3"/>
  <c r="AP744" i="3"/>
  <c r="AE745" i="3"/>
  <c r="AF745" i="3"/>
  <c r="AG745" i="3"/>
  <c r="AP745" i="3" s="1"/>
  <c r="AI745" i="3"/>
  <c r="AJ745" i="3"/>
  <c r="AL745" i="3"/>
  <c r="AM745" i="3"/>
  <c r="AO745" i="3"/>
  <c r="AE746" i="3"/>
  <c r="AI746" i="3" s="1"/>
  <c r="AF746" i="3"/>
  <c r="AG746" i="3"/>
  <c r="AO746" i="3" s="1"/>
  <c r="AJ746" i="3"/>
  <c r="AL746" i="3"/>
  <c r="AM746" i="3"/>
  <c r="AE747" i="3"/>
  <c r="AI747" i="3" s="1"/>
  <c r="AF747" i="3"/>
  <c r="AM747" i="3" s="1"/>
  <c r="AG747" i="3"/>
  <c r="AJ747" i="3"/>
  <c r="AL747" i="3"/>
  <c r="AO747" i="3"/>
  <c r="AP747" i="3"/>
  <c r="AE748" i="3"/>
  <c r="AF748" i="3"/>
  <c r="AG748" i="3"/>
  <c r="AI748" i="3"/>
  <c r="AJ748" i="3"/>
  <c r="AL748" i="3"/>
  <c r="AM748" i="3"/>
  <c r="AO748" i="3"/>
  <c r="AP748" i="3"/>
  <c r="AE749" i="3"/>
  <c r="AF749" i="3"/>
  <c r="AG749" i="3"/>
  <c r="AP749" i="3" s="1"/>
  <c r="AI749" i="3"/>
  <c r="AJ749" i="3"/>
  <c r="AL749" i="3"/>
  <c r="AM749" i="3"/>
  <c r="AO749" i="3"/>
  <c r="AE750" i="3"/>
  <c r="AI750" i="3" s="1"/>
  <c r="AF750" i="3"/>
  <c r="AG750" i="3"/>
  <c r="AO750" i="3" s="1"/>
  <c r="AJ750" i="3"/>
  <c r="AL750" i="3"/>
  <c r="AM750" i="3"/>
  <c r="AE751" i="3"/>
  <c r="AI751" i="3" s="1"/>
  <c r="AF751" i="3"/>
  <c r="AM751" i="3" s="1"/>
  <c r="AG751" i="3"/>
  <c r="AJ751" i="3"/>
  <c r="AL751" i="3"/>
  <c r="AO751" i="3"/>
  <c r="AP751" i="3"/>
  <c r="AE752" i="3"/>
  <c r="AF752" i="3"/>
  <c r="AG752" i="3"/>
  <c r="AI752" i="3"/>
  <c r="AJ752" i="3"/>
  <c r="AL752" i="3"/>
  <c r="AM752" i="3"/>
  <c r="AO752" i="3"/>
  <c r="AP752" i="3"/>
  <c r="AE753" i="3"/>
  <c r="AI753" i="3" s="1"/>
  <c r="AF753" i="3"/>
  <c r="AG753" i="3"/>
  <c r="AO753" i="3" s="1"/>
  <c r="AJ753" i="3"/>
  <c r="AL753" i="3"/>
  <c r="AM753" i="3"/>
  <c r="AP753" i="3"/>
  <c r="AE754" i="3"/>
  <c r="AI754" i="3" s="1"/>
  <c r="AF754" i="3"/>
  <c r="AG754" i="3"/>
  <c r="AO754" i="3" s="1"/>
  <c r="AJ754" i="3"/>
  <c r="AL754" i="3"/>
  <c r="AM754" i="3"/>
  <c r="AE755" i="3"/>
  <c r="AF755" i="3"/>
  <c r="AM755" i="3" s="1"/>
  <c r="AG755" i="3"/>
  <c r="AI755" i="3"/>
  <c r="AJ755" i="3"/>
  <c r="AL755" i="3"/>
  <c r="AO755" i="3"/>
  <c r="AP755" i="3"/>
  <c r="AE756" i="3"/>
  <c r="AI756" i="3" s="1"/>
  <c r="AF756" i="3"/>
  <c r="AG756" i="3"/>
  <c r="AO756" i="3" s="1"/>
  <c r="AJ756" i="3"/>
  <c r="AL756" i="3"/>
  <c r="AM756" i="3"/>
  <c r="AP756" i="3"/>
  <c r="AE757" i="3"/>
  <c r="AF757" i="3"/>
  <c r="AM757" i="3" s="1"/>
  <c r="AG757" i="3"/>
  <c r="AI757" i="3"/>
  <c r="AJ757" i="3"/>
  <c r="AL757" i="3"/>
  <c r="AO757" i="3"/>
  <c r="AP757" i="3"/>
  <c r="AE758" i="3"/>
  <c r="AI758" i="3" s="1"/>
  <c r="AF758" i="3"/>
  <c r="AG758" i="3"/>
  <c r="AO758" i="3" s="1"/>
  <c r="AJ758" i="3"/>
  <c r="AL758" i="3"/>
  <c r="AM758" i="3"/>
  <c r="AP758" i="3"/>
  <c r="AE759" i="3"/>
  <c r="AF759" i="3"/>
  <c r="AM759" i="3" s="1"/>
  <c r="AG759" i="3"/>
  <c r="AI759" i="3"/>
  <c r="AJ759" i="3"/>
  <c r="AL759" i="3"/>
  <c r="AO759" i="3"/>
  <c r="AP759" i="3"/>
  <c r="AE760" i="3"/>
  <c r="AI760" i="3" s="1"/>
  <c r="AF760" i="3"/>
  <c r="AG760" i="3"/>
  <c r="AO760" i="3" s="1"/>
  <c r="AJ760" i="3"/>
  <c r="AL760" i="3"/>
  <c r="AM760" i="3"/>
  <c r="AP760" i="3"/>
  <c r="AE761" i="3"/>
  <c r="AF761" i="3"/>
  <c r="AM761" i="3" s="1"/>
  <c r="AG761" i="3"/>
  <c r="AI761" i="3"/>
  <c r="AJ761" i="3"/>
  <c r="AL761" i="3"/>
  <c r="AO761" i="3"/>
  <c r="AP761" i="3"/>
  <c r="AE762" i="3"/>
  <c r="AI762" i="3" s="1"/>
  <c r="AF762" i="3"/>
  <c r="AG762" i="3"/>
  <c r="AO762" i="3" s="1"/>
  <c r="AJ762" i="3"/>
  <c r="AL762" i="3"/>
  <c r="AM762" i="3"/>
  <c r="AP762" i="3"/>
  <c r="AE763" i="3"/>
  <c r="AF763" i="3"/>
  <c r="AM763" i="3" s="1"/>
  <c r="AG763" i="3"/>
  <c r="AI763" i="3"/>
  <c r="AJ763" i="3"/>
  <c r="AL763" i="3"/>
  <c r="AO763" i="3"/>
  <c r="AP763" i="3"/>
  <c r="AE764" i="3"/>
  <c r="AI764" i="3" s="1"/>
  <c r="AF764" i="3"/>
  <c r="AG764" i="3"/>
  <c r="AO764" i="3" s="1"/>
  <c r="AJ764" i="3"/>
  <c r="AL764" i="3"/>
  <c r="AM764" i="3"/>
  <c r="AP764" i="3"/>
  <c r="AE765" i="3"/>
  <c r="AF765" i="3"/>
  <c r="AM765" i="3" s="1"/>
  <c r="AG765" i="3"/>
  <c r="AI765" i="3"/>
  <c r="AJ765" i="3"/>
  <c r="AL765" i="3"/>
  <c r="AO765" i="3"/>
  <c r="AP765" i="3"/>
  <c r="AE766" i="3"/>
  <c r="AI766" i="3" s="1"/>
  <c r="AF766" i="3"/>
  <c r="AG766" i="3"/>
  <c r="AO766" i="3" s="1"/>
  <c r="AJ766" i="3"/>
  <c r="AL766" i="3"/>
  <c r="AM766" i="3"/>
  <c r="AP766" i="3"/>
  <c r="AE767" i="3"/>
  <c r="AF767" i="3"/>
  <c r="AM767" i="3" s="1"/>
  <c r="AG767" i="3"/>
  <c r="AI767" i="3"/>
  <c r="AJ767" i="3"/>
  <c r="AL767" i="3"/>
  <c r="AO767" i="3"/>
  <c r="AP767" i="3"/>
  <c r="AE768" i="3"/>
  <c r="AI768" i="3" s="1"/>
  <c r="AF768" i="3"/>
  <c r="AG768" i="3"/>
  <c r="AO768" i="3" s="1"/>
  <c r="AJ768" i="3"/>
  <c r="AL768" i="3"/>
  <c r="AM768" i="3"/>
  <c r="AP768" i="3"/>
  <c r="AE769" i="3"/>
  <c r="AF769" i="3"/>
  <c r="AM769" i="3" s="1"/>
  <c r="AG769" i="3"/>
  <c r="AI769" i="3"/>
  <c r="AJ769" i="3"/>
  <c r="AL769" i="3"/>
  <c r="AO769" i="3"/>
  <c r="AP769" i="3"/>
  <c r="AE770" i="3"/>
  <c r="AI770" i="3" s="1"/>
  <c r="AF770" i="3"/>
  <c r="AG770" i="3"/>
  <c r="AO770" i="3" s="1"/>
  <c r="AJ770" i="3"/>
  <c r="AL770" i="3"/>
  <c r="AM770" i="3"/>
  <c r="AP770" i="3"/>
  <c r="AE771" i="3"/>
  <c r="AF771" i="3"/>
  <c r="AM771" i="3" s="1"/>
  <c r="AG771" i="3"/>
  <c r="AI771" i="3"/>
  <c r="AJ771" i="3"/>
  <c r="AL771" i="3"/>
  <c r="AO771" i="3"/>
  <c r="AP771" i="3"/>
  <c r="AE772" i="3"/>
  <c r="AI772" i="3" s="1"/>
  <c r="AF772" i="3"/>
  <c r="AG772" i="3"/>
  <c r="AO772" i="3" s="1"/>
  <c r="AJ772" i="3"/>
  <c r="AL772" i="3"/>
  <c r="AM772" i="3"/>
  <c r="AP772" i="3"/>
  <c r="AE773" i="3"/>
  <c r="AF773" i="3"/>
  <c r="AM773" i="3" s="1"/>
  <c r="AG773" i="3"/>
  <c r="AI773" i="3"/>
  <c r="AJ773" i="3"/>
  <c r="AL773" i="3"/>
  <c r="AO773" i="3"/>
  <c r="AP773" i="3"/>
  <c r="AE774" i="3"/>
  <c r="AI774" i="3" s="1"/>
  <c r="AF774" i="3"/>
  <c r="AG774" i="3"/>
  <c r="AO774" i="3" s="1"/>
  <c r="AJ774" i="3"/>
  <c r="AL774" i="3"/>
  <c r="AM774" i="3"/>
  <c r="AP774" i="3"/>
  <c r="AE775" i="3"/>
  <c r="AF775" i="3"/>
  <c r="AM775" i="3" s="1"/>
  <c r="AG775" i="3"/>
  <c r="AI775" i="3"/>
  <c r="AJ775" i="3"/>
  <c r="AL775" i="3"/>
  <c r="AO775" i="3"/>
  <c r="AP775" i="3"/>
  <c r="AE776" i="3"/>
  <c r="AI776" i="3" s="1"/>
  <c r="AF776" i="3"/>
  <c r="AG776" i="3"/>
  <c r="AO776" i="3" s="1"/>
  <c r="AJ776" i="3"/>
  <c r="AL776" i="3"/>
  <c r="AM776" i="3"/>
  <c r="AP776" i="3"/>
  <c r="AE777" i="3"/>
  <c r="AF777" i="3"/>
  <c r="AM777" i="3" s="1"/>
  <c r="AG777" i="3"/>
  <c r="AI777" i="3"/>
  <c r="AJ777" i="3"/>
  <c r="AL777" i="3"/>
  <c r="AO777" i="3"/>
  <c r="AP777" i="3"/>
  <c r="AE778" i="3"/>
  <c r="AI778" i="3" s="1"/>
  <c r="AF778" i="3"/>
  <c r="AG778" i="3"/>
  <c r="AO778" i="3" s="1"/>
  <c r="AJ778" i="3"/>
  <c r="AL778" i="3"/>
  <c r="AM778" i="3"/>
  <c r="AP778" i="3"/>
  <c r="AE779" i="3"/>
  <c r="AF779" i="3"/>
  <c r="AM779" i="3" s="1"/>
  <c r="AG779" i="3"/>
  <c r="AI779" i="3"/>
  <c r="AJ779" i="3"/>
  <c r="AL779" i="3"/>
  <c r="AO779" i="3"/>
  <c r="AP779" i="3"/>
  <c r="AE780" i="3"/>
  <c r="AI780" i="3" s="1"/>
  <c r="AF780" i="3"/>
  <c r="AG780" i="3"/>
  <c r="AO780" i="3" s="1"/>
  <c r="AJ780" i="3"/>
  <c r="AL780" i="3"/>
  <c r="AM780" i="3"/>
  <c r="AP780" i="3"/>
  <c r="AE781" i="3"/>
  <c r="AF781" i="3"/>
  <c r="AM781" i="3" s="1"/>
  <c r="AG781" i="3"/>
  <c r="AI781" i="3"/>
  <c r="AJ781" i="3"/>
  <c r="AL781" i="3"/>
  <c r="AO781" i="3"/>
  <c r="AP781" i="3"/>
  <c r="AE782" i="3"/>
  <c r="AI782" i="3" s="1"/>
  <c r="AF782" i="3"/>
  <c r="AG782" i="3"/>
  <c r="AO782" i="3" s="1"/>
  <c r="AJ782" i="3"/>
  <c r="AL782" i="3"/>
  <c r="AM782" i="3"/>
  <c r="AP782" i="3"/>
  <c r="AE783" i="3"/>
  <c r="AF783" i="3"/>
  <c r="AM783" i="3" s="1"/>
  <c r="AG783" i="3"/>
  <c r="AI783" i="3"/>
  <c r="AJ783" i="3"/>
  <c r="AL783" i="3"/>
  <c r="AO783" i="3"/>
  <c r="AP783" i="3"/>
  <c r="AE784" i="3"/>
  <c r="AI784" i="3" s="1"/>
  <c r="AF784" i="3"/>
  <c r="AG784" i="3"/>
  <c r="AO784" i="3" s="1"/>
  <c r="AJ784" i="3"/>
  <c r="AL784" i="3"/>
  <c r="AM784" i="3"/>
  <c r="AP784" i="3"/>
  <c r="AE785" i="3"/>
  <c r="AF785" i="3"/>
  <c r="AM785" i="3" s="1"/>
  <c r="AG785" i="3"/>
  <c r="AI785" i="3"/>
  <c r="AJ785" i="3"/>
  <c r="AL785" i="3"/>
  <c r="AO785" i="3"/>
  <c r="AP785" i="3"/>
  <c r="AE786" i="3"/>
  <c r="AI786" i="3" s="1"/>
  <c r="AF786" i="3"/>
  <c r="AG786" i="3"/>
  <c r="AO786" i="3" s="1"/>
  <c r="AJ786" i="3"/>
  <c r="AL786" i="3"/>
  <c r="AM786" i="3"/>
  <c r="AP786" i="3"/>
  <c r="AE787" i="3"/>
  <c r="AF787" i="3"/>
  <c r="AM787" i="3" s="1"/>
  <c r="AG787" i="3"/>
  <c r="AI787" i="3"/>
  <c r="AJ787" i="3"/>
  <c r="AL787" i="3"/>
  <c r="AO787" i="3"/>
  <c r="AP787" i="3"/>
  <c r="AE788" i="3"/>
  <c r="AI788" i="3" s="1"/>
  <c r="AF788" i="3"/>
  <c r="AG788" i="3"/>
  <c r="AO788" i="3" s="1"/>
  <c r="AJ788" i="3"/>
  <c r="AL788" i="3"/>
  <c r="AM788" i="3"/>
  <c r="AP788" i="3"/>
  <c r="AE789" i="3"/>
  <c r="AF789" i="3"/>
  <c r="AM789" i="3" s="1"/>
  <c r="AG789" i="3"/>
  <c r="AI789" i="3"/>
  <c r="AJ789" i="3"/>
  <c r="AL789" i="3"/>
  <c r="AO789" i="3"/>
  <c r="AP789" i="3"/>
  <c r="AE790" i="3"/>
  <c r="AI790" i="3" s="1"/>
  <c r="AF790" i="3"/>
  <c r="AG790" i="3"/>
  <c r="AO790" i="3" s="1"/>
  <c r="AJ790" i="3"/>
  <c r="AL790" i="3"/>
  <c r="AM790" i="3"/>
  <c r="AP790" i="3"/>
  <c r="AE791" i="3"/>
  <c r="AF791" i="3"/>
  <c r="AM791" i="3" s="1"/>
  <c r="AG791" i="3"/>
  <c r="AI791" i="3"/>
  <c r="AJ791" i="3"/>
  <c r="AL791" i="3"/>
  <c r="AO791" i="3"/>
  <c r="AP791" i="3"/>
  <c r="AE792" i="3"/>
  <c r="AI792" i="3" s="1"/>
  <c r="AF792" i="3"/>
  <c r="AG792" i="3"/>
  <c r="AO792" i="3" s="1"/>
  <c r="AJ792" i="3"/>
  <c r="AL792" i="3"/>
  <c r="AM792" i="3"/>
  <c r="AP792" i="3"/>
  <c r="AE793" i="3"/>
  <c r="AF793" i="3"/>
  <c r="AM793" i="3" s="1"/>
  <c r="AG793" i="3"/>
  <c r="AI793" i="3"/>
  <c r="AJ793" i="3"/>
  <c r="AL793" i="3"/>
  <c r="AO793" i="3"/>
  <c r="AP793" i="3"/>
  <c r="AE794" i="3"/>
  <c r="AI794" i="3" s="1"/>
  <c r="AF794" i="3"/>
  <c r="AG794" i="3"/>
  <c r="AO794" i="3" s="1"/>
  <c r="AJ794" i="3"/>
  <c r="AL794" i="3"/>
  <c r="AM794" i="3"/>
  <c r="AP794" i="3"/>
  <c r="AE795" i="3"/>
  <c r="AI795" i="3" s="1"/>
  <c r="AF795" i="3"/>
  <c r="AM795" i="3" s="1"/>
  <c r="AG795" i="3"/>
  <c r="AO795" i="3" s="1"/>
  <c r="AJ795" i="3"/>
  <c r="AL795" i="3"/>
  <c r="AP795" i="3"/>
  <c r="AE796" i="3"/>
  <c r="AI796" i="3" s="1"/>
  <c r="AF796" i="3"/>
  <c r="AG796" i="3"/>
  <c r="AJ796" i="3"/>
  <c r="AL796" i="3"/>
  <c r="AM796" i="3"/>
  <c r="AO796" i="3"/>
  <c r="AP796" i="3"/>
  <c r="AE797" i="3"/>
  <c r="AF797" i="3"/>
  <c r="AG797" i="3"/>
  <c r="AI797" i="3"/>
  <c r="AJ797" i="3"/>
  <c r="AL797" i="3"/>
  <c r="AM797" i="3"/>
  <c r="AO797" i="3"/>
  <c r="AP797" i="3"/>
  <c r="AE798" i="3"/>
  <c r="AF798" i="3"/>
  <c r="AG798" i="3"/>
  <c r="AO798" i="3" s="1"/>
  <c r="AI798" i="3"/>
  <c r="AJ798" i="3"/>
  <c r="AL798" i="3"/>
  <c r="AM798" i="3"/>
  <c r="AE799" i="3"/>
  <c r="AF799" i="3"/>
  <c r="AM799" i="3" s="1"/>
  <c r="AG799" i="3"/>
  <c r="AI799" i="3"/>
  <c r="AJ799" i="3"/>
  <c r="AL799" i="3"/>
  <c r="AO799" i="3"/>
  <c r="AP799" i="3"/>
  <c r="AE800" i="3"/>
  <c r="AI800" i="3" s="1"/>
  <c r="AF800" i="3"/>
  <c r="AG800" i="3"/>
  <c r="AO800" i="3" s="1"/>
  <c r="AJ800" i="3"/>
  <c r="AL800" i="3"/>
  <c r="AM800" i="3"/>
  <c r="AP800" i="3"/>
  <c r="AE801" i="3"/>
  <c r="AF801" i="3"/>
  <c r="AM801" i="3" s="1"/>
  <c r="AG801" i="3"/>
  <c r="AI801" i="3"/>
  <c r="AJ801" i="3"/>
  <c r="AL801" i="3"/>
  <c r="AO801" i="3"/>
  <c r="AP801" i="3"/>
  <c r="AE802" i="3"/>
  <c r="AI802" i="3" s="1"/>
  <c r="AF802" i="3"/>
  <c r="AG802" i="3"/>
  <c r="AO802" i="3" s="1"/>
  <c r="AJ802" i="3"/>
  <c r="AL802" i="3"/>
  <c r="AM802" i="3"/>
  <c r="AP802" i="3"/>
  <c r="AE803" i="3"/>
  <c r="AF803" i="3"/>
  <c r="AM803" i="3" s="1"/>
  <c r="AG803" i="3"/>
  <c r="AI803" i="3"/>
  <c r="AJ803" i="3"/>
  <c r="AL803" i="3"/>
  <c r="AO803" i="3"/>
  <c r="AP803" i="3"/>
  <c r="AE804" i="3"/>
  <c r="AI804" i="3" s="1"/>
  <c r="AF804" i="3"/>
  <c r="AG804" i="3"/>
  <c r="AO804" i="3" s="1"/>
  <c r="AJ804" i="3"/>
  <c r="AL804" i="3"/>
  <c r="AM804" i="3"/>
  <c r="AP804" i="3"/>
  <c r="AE805" i="3"/>
  <c r="AF805" i="3"/>
  <c r="AM805" i="3" s="1"/>
  <c r="AG805" i="3"/>
  <c r="AI805" i="3"/>
  <c r="AJ805" i="3"/>
  <c r="AL805" i="3"/>
  <c r="AO805" i="3"/>
  <c r="AP805" i="3"/>
  <c r="AE806" i="3"/>
  <c r="AI806" i="3" s="1"/>
  <c r="AF806" i="3"/>
  <c r="AG806" i="3"/>
  <c r="AO806" i="3" s="1"/>
  <c r="AJ806" i="3"/>
  <c r="AL806" i="3"/>
  <c r="AM806" i="3"/>
  <c r="AP806" i="3"/>
  <c r="AE807" i="3"/>
  <c r="AF807" i="3"/>
  <c r="AM807" i="3" s="1"/>
  <c r="AG807" i="3"/>
  <c r="AI807" i="3"/>
  <c r="AJ807" i="3"/>
  <c r="AL807" i="3"/>
  <c r="AO807" i="3"/>
  <c r="AP807" i="3"/>
  <c r="AE808" i="3"/>
  <c r="AI808" i="3" s="1"/>
  <c r="AF808" i="3"/>
  <c r="AG808" i="3"/>
  <c r="AO808" i="3" s="1"/>
  <c r="AJ808" i="3"/>
  <c r="AL808" i="3"/>
  <c r="AM808" i="3"/>
  <c r="AP808" i="3"/>
  <c r="AE809" i="3"/>
  <c r="AF809" i="3"/>
  <c r="AM809" i="3" s="1"/>
  <c r="AG809" i="3"/>
  <c r="AI809" i="3"/>
  <c r="AJ809" i="3"/>
  <c r="AL809" i="3"/>
  <c r="AO809" i="3"/>
  <c r="AP809" i="3"/>
  <c r="AE810" i="3"/>
  <c r="AI810" i="3" s="1"/>
  <c r="AF810" i="3"/>
  <c r="AG810" i="3"/>
  <c r="AO810" i="3" s="1"/>
  <c r="AJ810" i="3"/>
  <c r="AL810" i="3"/>
  <c r="AM810" i="3"/>
  <c r="AP810" i="3"/>
  <c r="AE811" i="3"/>
  <c r="AF811" i="3"/>
  <c r="AM811" i="3" s="1"/>
  <c r="AG811" i="3"/>
  <c r="AI811" i="3"/>
  <c r="AJ811" i="3"/>
  <c r="AL811" i="3"/>
  <c r="AO811" i="3"/>
  <c r="AP811" i="3"/>
  <c r="AE812" i="3"/>
  <c r="AI812" i="3" s="1"/>
  <c r="AF812" i="3"/>
  <c r="AG812" i="3"/>
  <c r="AO812" i="3" s="1"/>
  <c r="AJ812" i="3"/>
  <c r="AL812" i="3"/>
  <c r="AM812" i="3"/>
  <c r="AP812" i="3"/>
  <c r="AE813" i="3"/>
  <c r="AF813" i="3"/>
  <c r="AM813" i="3" s="1"/>
  <c r="AG813" i="3"/>
  <c r="AI813" i="3"/>
  <c r="AJ813" i="3"/>
  <c r="AL813" i="3"/>
  <c r="AO813" i="3"/>
  <c r="AP813" i="3"/>
  <c r="AE814" i="3"/>
  <c r="AI814" i="3" s="1"/>
  <c r="AF814" i="3"/>
  <c r="AG814" i="3"/>
  <c r="AO814" i="3" s="1"/>
  <c r="AJ814" i="3"/>
  <c r="AL814" i="3"/>
  <c r="AM814" i="3"/>
  <c r="AP814" i="3"/>
  <c r="AE815" i="3"/>
  <c r="AF815" i="3"/>
  <c r="AM815" i="3" s="1"/>
  <c r="AG815" i="3"/>
  <c r="AI815" i="3"/>
  <c r="AJ815" i="3"/>
  <c r="AL815" i="3"/>
  <c r="AO815" i="3"/>
  <c r="AP815" i="3"/>
  <c r="AE816" i="3"/>
  <c r="AI816" i="3" s="1"/>
  <c r="AF816" i="3"/>
  <c r="AG816" i="3"/>
  <c r="AO816" i="3" s="1"/>
  <c r="AJ816" i="3"/>
  <c r="AL816" i="3"/>
  <c r="AM816" i="3"/>
  <c r="AP816" i="3"/>
  <c r="AE817" i="3"/>
  <c r="AF817" i="3"/>
  <c r="AM817" i="3" s="1"/>
  <c r="AG817" i="3"/>
  <c r="AI817" i="3"/>
  <c r="AJ817" i="3"/>
  <c r="AL817" i="3"/>
  <c r="AO817" i="3"/>
  <c r="AP817" i="3"/>
  <c r="AE818" i="3"/>
  <c r="AI818" i="3" s="1"/>
  <c r="AF818" i="3"/>
  <c r="AG818" i="3"/>
  <c r="AO818" i="3" s="1"/>
  <c r="AJ818" i="3"/>
  <c r="AL818" i="3"/>
  <c r="AM818" i="3"/>
  <c r="AP818" i="3"/>
  <c r="AE819" i="3"/>
  <c r="AF819" i="3"/>
  <c r="AM819" i="3" s="1"/>
  <c r="AG819" i="3"/>
  <c r="AI819" i="3"/>
  <c r="AJ819" i="3"/>
  <c r="AL819" i="3"/>
  <c r="AO819" i="3"/>
  <c r="AP819" i="3"/>
  <c r="AE820" i="3"/>
  <c r="AI820" i="3" s="1"/>
  <c r="AF820" i="3"/>
  <c r="AG820" i="3"/>
  <c r="AO820" i="3" s="1"/>
  <c r="AJ820" i="3"/>
  <c r="AL820" i="3"/>
  <c r="AM820" i="3"/>
  <c r="AP820" i="3"/>
  <c r="AE821" i="3"/>
  <c r="AF821" i="3"/>
  <c r="AM821" i="3" s="1"/>
  <c r="AG821" i="3"/>
  <c r="AI821" i="3"/>
  <c r="AJ821" i="3"/>
  <c r="AL821" i="3"/>
  <c r="AO821" i="3"/>
  <c r="AP821" i="3"/>
  <c r="AE822" i="3"/>
  <c r="AI822" i="3" s="1"/>
  <c r="AF822" i="3"/>
  <c r="AG822" i="3"/>
  <c r="AO822" i="3" s="1"/>
  <c r="AJ822" i="3"/>
  <c r="AL822" i="3"/>
  <c r="AM822" i="3"/>
  <c r="AP822" i="3"/>
  <c r="AE823" i="3"/>
  <c r="AF823" i="3"/>
  <c r="AM823" i="3" s="1"/>
  <c r="AG823" i="3"/>
  <c r="AI823" i="3"/>
  <c r="AJ823" i="3"/>
  <c r="AL823" i="3"/>
  <c r="AO823" i="3"/>
  <c r="AP823" i="3"/>
  <c r="AE824" i="3"/>
  <c r="AI824" i="3" s="1"/>
  <c r="AF824" i="3"/>
  <c r="AG824" i="3"/>
  <c r="AO824" i="3" s="1"/>
  <c r="AJ824" i="3"/>
  <c r="AL824" i="3"/>
  <c r="AM824" i="3"/>
  <c r="AP824" i="3"/>
  <c r="AE825" i="3"/>
  <c r="AF825" i="3"/>
  <c r="AM825" i="3" s="1"/>
  <c r="AG825" i="3"/>
  <c r="AI825" i="3"/>
  <c r="AJ825" i="3"/>
  <c r="AL825" i="3"/>
  <c r="AO825" i="3"/>
  <c r="AP825" i="3"/>
  <c r="AE826" i="3"/>
  <c r="AI826" i="3" s="1"/>
  <c r="AF826" i="3"/>
  <c r="AG826" i="3"/>
  <c r="AO826" i="3" s="1"/>
  <c r="AJ826" i="3"/>
  <c r="AL826" i="3"/>
  <c r="AM826" i="3"/>
  <c r="AP826" i="3"/>
  <c r="AE827" i="3"/>
  <c r="AI827" i="3" s="1"/>
  <c r="AF827" i="3"/>
  <c r="AM827" i="3" s="1"/>
  <c r="AG827" i="3"/>
  <c r="AO827" i="3" s="1"/>
  <c r="AJ827" i="3"/>
  <c r="AL827" i="3"/>
  <c r="AP827" i="3"/>
  <c r="AE828" i="3"/>
  <c r="AI828" i="3" s="1"/>
  <c r="AF828" i="3"/>
  <c r="AG828" i="3"/>
  <c r="AJ828" i="3"/>
  <c r="AL828" i="3"/>
  <c r="AM828" i="3"/>
  <c r="AO828" i="3"/>
  <c r="AP828" i="3"/>
  <c r="AE829" i="3"/>
  <c r="AF829" i="3"/>
  <c r="AG829" i="3"/>
  <c r="AI829" i="3"/>
  <c r="AJ829" i="3"/>
  <c r="AL829" i="3"/>
  <c r="AM829" i="3"/>
  <c r="AO829" i="3"/>
  <c r="AP829" i="3"/>
  <c r="AE830" i="3"/>
  <c r="AF830" i="3"/>
  <c r="AG830" i="3"/>
  <c r="AO830" i="3" s="1"/>
  <c r="AI830" i="3"/>
  <c r="AJ830" i="3"/>
  <c r="AL830" i="3"/>
  <c r="AM830" i="3"/>
  <c r="AE831" i="3"/>
  <c r="AI831" i="3" s="1"/>
  <c r="AF831" i="3"/>
  <c r="AM831" i="3" s="1"/>
  <c r="AG831" i="3"/>
  <c r="AJ831" i="3"/>
  <c r="AL831" i="3"/>
  <c r="AO831" i="3"/>
  <c r="AP831" i="3"/>
  <c r="AE832" i="3"/>
  <c r="AI832" i="3" s="1"/>
  <c r="AF832" i="3"/>
  <c r="AG832" i="3"/>
  <c r="AJ832" i="3"/>
  <c r="AL832" i="3"/>
  <c r="AM832" i="3"/>
  <c r="AO832" i="3"/>
  <c r="AP832" i="3"/>
  <c r="AE833" i="3"/>
  <c r="AF833" i="3"/>
  <c r="AG833" i="3"/>
  <c r="AI833" i="3"/>
  <c r="AJ833" i="3"/>
  <c r="AL833" i="3"/>
  <c r="AM833" i="3"/>
  <c r="AO833" i="3"/>
  <c r="AP833" i="3"/>
  <c r="AE834" i="3"/>
  <c r="AF834" i="3"/>
  <c r="AG834" i="3"/>
  <c r="AI834" i="3"/>
  <c r="AJ834" i="3"/>
  <c r="AL834" i="3"/>
  <c r="AM834" i="3"/>
  <c r="AO834" i="3"/>
  <c r="AP834" i="3"/>
  <c r="AE835" i="3"/>
  <c r="AF835" i="3"/>
  <c r="AG835" i="3"/>
  <c r="AP835" i="3" s="1"/>
  <c r="AI835" i="3"/>
  <c r="AJ835" i="3"/>
  <c r="AL835" i="3"/>
  <c r="AM835" i="3"/>
  <c r="AO835" i="3"/>
  <c r="AE836" i="3"/>
  <c r="AI836" i="3" s="1"/>
  <c r="AF836" i="3"/>
  <c r="AG836" i="3"/>
  <c r="AO836" i="3" s="1"/>
  <c r="AJ836" i="3"/>
  <c r="AL836" i="3"/>
  <c r="AM836" i="3"/>
  <c r="AE837" i="3"/>
  <c r="AI837" i="3" s="1"/>
  <c r="AF837" i="3"/>
  <c r="AM837" i="3" s="1"/>
  <c r="AG837" i="3"/>
  <c r="AJ837" i="3"/>
  <c r="AL837" i="3"/>
  <c r="AO837" i="3"/>
  <c r="AP837" i="3"/>
  <c r="AE838" i="3"/>
  <c r="AF838" i="3"/>
  <c r="AM838" i="3" s="1"/>
  <c r="AG838" i="3"/>
  <c r="AI838" i="3"/>
  <c r="AJ838" i="3"/>
  <c r="AL838" i="3"/>
  <c r="AO838" i="3"/>
  <c r="AP838" i="3"/>
  <c r="AE839" i="3"/>
  <c r="AI839" i="3" s="1"/>
  <c r="AF839" i="3"/>
  <c r="AG839" i="3"/>
  <c r="AP839" i="3" s="1"/>
  <c r="AJ839" i="3"/>
  <c r="AL839" i="3"/>
  <c r="AM839" i="3"/>
  <c r="AE840" i="3"/>
  <c r="AF840" i="3"/>
  <c r="AM840" i="3" s="1"/>
  <c r="AG840" i="3"/>
  <c r="AP840" i="3" s="1"/>
  <c r="AI840" i="3"/>
  <c r="AJ840" i="3"/>
  <c r="AL840" i="3"/>
  <c r="AO840" i="3"/>
  <c r="AE841" i="3"/>
  <c r="AI841" i="3" s="1"/>
  <c r="AF841" i="3"/>
  <c r="AG841" i="3"/>
  <c r="AO841" i="3" s="1"/>
  <c r="AJ841" i="3"/>
  <c r="AL841" i="3"/>
  <c r="AM841" i="3"/>
  <c r="AP841" i="3"/>
  <c r="AE842" i="3"/>
  <c r="AF842" i="3"/>
  <c r="AM842" i="3" s="1"/>
  <c r="AG842" i="3"/>
  <c r="AI842" i="3"/>
  <c r="AJ842" i="3"/>
  <c r="AL842" i="3"/>
  <c r="AO842" i="3"/>
  <c r="AP842" i="3"/>
  <c r="AE843" i="3"/>
  <c r="AI843" i="3" s="1"/>
  <c r="AF843" i="3"/>
  <c r="AG843" i="3"/>
  <c r="AP843" i="3" s="1"/>
  <c r="AJ843" i="3"/>
  <c r="AL843" i="3"/>
  <c r="AM843" i="3"/>
  <c r="AE844" i="3"/>
  <c r="AF844" i="3"/>
  <c r="AM844" i="3" s="1"/>
  <c r="AG844" i="3"/>
  <c r="AP844" i="3" s="1"/>
  <c r="AI844" i="3"/>
  <c r="AJ844" i="3"/>
  <c r="AL844" i="3"/>
  <c r="AO844" i="3"/>
  <c r="AE845" i="3"/>
  <c r="AI845" i="3" s="1"/>
  <c r="AF845" i="3"/>
  <c r="AG845" i="3"/>
  <c r="AO845" i="3" s="1"/>
  <c r="AJ845" i="3"/>
  <c r="AL845" i="3"/>
  <c r="AM845" i="3"/>
  <c r="AP845" i="3"/>
  <c r="AE846" i="3"/>
  <c r="AF846" i="3"/>
  <c r="AM846" i="3" s="1"/>
  <c r="AG846" i="3"/>
  <c r="AI846" i="3"/>
  <c r="AJ846" i="3"/>
  <c r="AL846" i="3"/>
  <c r="AO846" i="3"/>
  <c r="AP846" i="3"/>
  <c r="AE847" i="3"/>
  <c r="AI847" i="3" s="1"/>
  <c r="AF847" i="3"/>
  <c r="AG847" i="3"/>
  <c r="AP847" i="3" s="1"/>
  <c r="AJ847" i="3"/>
  <c r="AL847" i="3"/>
  <c r="AM847" i="3"/>
  <c r="AE848" i="3"/>
  <c r="AF848" i="3"/>
  <c r="AM848" i="3" s="1"/>
  <c r="AG848" i="3"/>
  <c r="AP848" i="3" s="1"/>
  <c r="AI848" i="3"/>
  <c r="AJ848" i="3"/>
  <c r="AL848" i="3"/>
  <c r="AO848" i="3"/>
  <c r="AE849" i="3"/>
  <c r="AI849" i="3" s="1"/>
  <c r="AF849" i="3"/>
  <c r="AG849" i="3"/>
  <c r="AO849" i="3" s="1"/>
  <c r="AJ849" i="3"/>
  <c r="AL849" i="3"/>
  <c r="AM849" i="3"/>
  <c r="AP849" i="3"/>
  <c r="AE850" i="3"/>
  <c r="AF850" i="3"/>
  <c r="AM850" i="3" s="1"/>
  <c r="AG850" i="3"/>
  <c r="AI850" i="3"/>
  <c r="AJ850" i="3"/>
  <c r="AL850" i="3"/>
  <c r="AO850" i="3"/>
  <c r="AP850" i="3"/>
  <c r="AE851" i="3"/>
  <c r="AF851" i="3"/>
  <c r="AG851" i="3"/>
  <c r="AP851" i="3" s="1"/>
  <c r="AI851" i="3"/>
  <c r="AJ851" i="3"/>
  <c r="AL851" i="3"/>
  <c r="AM851" i="3"/>
  <c r="AE852" i="3"/>
  <c r="AF852" i="3"/>
  <c r="AM852" i="3" s="1"/>
  <c r="AG852" i="3"/>
  <c r="AP852" i="3" s="1"/>
  <c r="AI852" i="3"/>
  <c r="AJ852" i="3"/>
  <c r="AL852" i="3"/>
  <c r="AO852" i="3"/>
  <c r="AE853" i="3"/>
  <c r="AI853" i="3" s="1"/>
  <c r="AF853" i="3"/>
  <c r="AG853" i="3"/>
  <c r="AO853" i="3" s="1"/>
  <c r="AJ853" i="3"/>
  <c r="AL853" i="3"/>
  <c r="AM853" i="3"/>
  <c r="AP853" i="3"/>
  <c r="AE854" i="3"/>
  <c r="AF854" i="3"/>
  <c r="AM854" i="3" s="1"/>
  <c r="AG854" i="3"/>
  <c r="AI854" i="3"/>
  <c r="AJ854" i="3"/>
  <c r="AL854" i="3"/>
  <c r="AO854" i="3"/>
  <c r="AP854" i="3"/>
  <c r="AE855" i="3"/>
  <c r="AF855" i="3"/>
  <c r="AG855" i="3"/>
  <c r="AP855" i="3" s="1"/>
  <c r="AI855" i="3"/>
  <c r="AJ855" i="3"/>
  <c r="AL855" i="3"/>
  <c r="AM855" i="3"/>
  <c r="AE856" i="3"/>
  <c r="AF856" i="3"/>
  <c r="AM856" i="3" s="1"/>
  <c r="AG856" i="3"/>
  <c r="AP856" i="3" s="1"/>
  <c r="AI856" i="3"/>
  <c r="AJ856" i="3"/>
  <c r="AL856" i="3"/>
  <c r="AO856" i="3"/>
  <c r="AE857" i="3"/>
  <c r="AI857" i="3" s="1"/>
  <c r="AF857" i="3"/>
  <c r="AG857" i="3"/>
  <c r="AO857" i="3" s="1"/>
  <c r="AJ857" i="3"/>
  <c r="AL857" i="3"/>
  <c r="AM857" i="3"/>
  <c r="AP857" i="3"/>
  <c r="AE858" i="3"/>
  <c r="AF858" i="3"/>
  <c r="AM858" i="3" s="1"/>
  <c r="AG858" i="3"/>
  <c r="AI858" i="3"/>
  <c r="AJ858" i="3"/>
  <c r="AL858" i="3"/>
  <c r="AO858" i="3"/>
  <c r="AP858" i="3"/>
  <c r="AE859" i="3"/>
  <c r="AI859" i="3" s="1"/>
  <c r="AF859" i="3"/>
  <c r="AG859" i="3"/>
  <c r="AO859" i="3" s="1"/>
  <c r="AJ859" i="3"/>
  <c r="AL859" i="3"/>
  <c r="AM859" i="3"/>
  <c r="AP859" i="3"/>
  <c r="AE860" i="3"/>
  <c r="AF860" i="3"/>
  <c r="AM860" i="3" s="1"/>
  <c r="AG860" i="3"/>
  <c r="AI860" i="3"/>
  <c r="AJ860" i="3"/>
  <c r="AL860" i="3"/>
  <c r="AO860" i="3"/>
  <c r="AP860" i="3"/>
  <c r="AE861" i="3"/>
  <c r="AF861" i="3"/>
  <c r="AG861" i="3"/>
  <c r="AO861" i="3" s="1"/>
  <c r="AI861" i="3"/>
  <c r="AJ861" i="3"/>
  <c r="AL861" i="3"/>
  <c r="AM861" i="3"/>
  <c r="AE862" i="3"/>
  <c r="AF862" i="3"/>
  <c r="AM862" i="3" s="1"/>
  <c r="AG862" i="3"/>
  <c r="AP862" i="3" s="1"/>
  <c r="AI862" i="3"/>
  <c r="AJ862" i="3"/>
  <c r="AL862" i="3"/>
  <c r="AO862" i="3"/>
  <c r="AE863" i="3"/>
  <c r="AI863" i="3" s="1"/>
  <c r="AF863" i="3"/>
  <c r="AG863" i="3"/>
  <c r="AO863" i="3" s="1"/>
  <c r="AJ863" i="3"/>
  <c r="AL863" i="3"/>
  <c r="AM863" i="3"/>
  <c r="AP863" i="3"/>
  <c r="AE864" i="3"/>
  <c r="AF864" i="3"/>
  <c r="AM864" i="3" s="1"/>
  <c r="AG864" i="3"/>
  <c r="AI864" i="3"/>
  <c r="AJ864" i="3"/>
  <c r="AL864" i="3"/>
  <c r="AO864" i="3"/>
  <c r="AP864" i="3"/>
  <c r="AE865" i="3"/>
  <c r="AF865" i="3"/>
  <c r="AG865" i="3"/>
  <c r="AI865" i="3"/>
  <c r="AJ865" i="3"/>
  <c r="AL865" i="3"/>
  <c r="AM865" i="3"/>
  <c r="AO865" i="3"/>
  <c r="AP865" i="3"/>
  <c r="AE866" i="3"/>
  <c r="AF866" i="3"/>
  <c r="AG866" i="3"/>
  <c r="AP866" i="3" s="1"/>
  <c r="AI866" i="3"/>
  <c r="AJ866" i="3"/>
  <c r="AL866" i="3"/>
  <c r="AM866" i="3"/>
  <c r="AO866" i="3"/>
  <c r="AE867" i="3"/>
  <c r="AI867" i="3" s="1"/>
  <c r="AF867" i="3"/>
  <c r="AG867" i="3"/>
  <c r="AO867" i="3" s="1"/>
  <c r="AJ867" i="3"/>
  <c r="AL867" i="3"/>
  <c r="AM867" i="3"/>
  <c r="AP867" i="3"/>
  <c r="AE868" i="3"/>
  <c r="AF868" i="3"/>
  <c r="AM868" i="3" s="1"/>
  <c r="AG868" i="3"/>
  <c r="AI868" i="3"/>
  <c r="AJ868" i="3"/>
  <c r="AL868" i="3"/>
  <c r="AO868" i="3"/>
  <c r="AP868" i="3"/>
  <c r="AE869" i="3"/>
  <c r="AF869" i="3"/>
  <c r="AG869" i="3"/>
  <c r="AI869" i="3"/>
  <c r="AJ869" i="3"/>
  <c r="AL869" i="3"/>
  <c r="AM869" i="3"/>
  <c r="AO869" i="3"/>
  <c r="AP869" i="3"/>
  <c r="AE870" i="3"/>
  <c r="AF870" i="3"/>
  <c r="AM870" i="3" s="1"/>
  <c r="AG870" i="3"/>
  <c r="AI870" i="3"/>
  <c r="AJ870" i="3"/>
  <c r="AL870" i="3"/>
  <c r="AO870" i="3"/>
  <c r="AP870" i="3"/>
  <c r="AE871" i="3"/>
  <c r="AI871" i="3" s="1"/>
  <c r="AF871" i="3"/>
  <c r="AG871" i="3"/>
  <c r="AJ871" i="3"/>
  <c r="AL871" i="3"/>
  <c r="AM871" i="3"/>
  <c r="AO871" i="3"/>
  <c r="AP871" i="3"/>
  <c r="AE872" i="3"/>
  <c r="AF872" i="3"/>
  <c r="AG872" i="3"/>
  <c r="AI872" i="3"/>
  <c r="AJ872" i="3"/>
  <c r="AL872" i="3"/>
  <c r="AM872" i="3"/>
  <c r="AO872" i="3"/>
  <c r="AP872" i="3"/>
  <c r="AE873" i="3"/>
  <c r="AF873" i="3"/>
  <c r="AG873" i="3"/>
  <c r="AI873" i="3"/>
  <c r="AJ873" i="3"/>
  <c r="AL873" i="3"/>
  <c r="AM873" i="3"/>
  <c r="AO873" i="3"/>
  <c r="AP873" i="3"/>
  <c r="AE874" i="3"/>
  <c r="AF874" i="3"/>
  <c r="AG874" i="3"/>
  <c r="AI874" i="3"/>
  <c r="AJ874" i="3"/>
  <c r="AL874" i="3"/>
  <c r="AM874" i="3"/>
  <c r="AO874" i="3"/>
  <c r="AP874" i="3"/>
  <c r="AE875" i="3"/>
  <c r="AF875" i="3"/>
  <c r="AG875" i="3"/>
  <c r="AI875" i="3"/>
  <c r="AJ875" i="3"/>
  <c r="AL875" i="3"/>
  <c r="AM875" i="3"/>
  <c r="AO875" i="3"/>
  <c r="AP875" i="3"/>
  <c r="AE876" i="3"/>
  <c r="AF876" i="3"/>
  <c r="AG876" i="3"/>
  <c r="AI876" i="3"/>
  <c r="AJ876" i="3"/>
  <c r="AL876" i="3"/>
  <c r="AM876" i="3"/>
  <c r="AO876" i="3"/>
  <c r="AP876" i="3"/>
  <c r="AE877" i="3"/>
  <c r="AF877" i="3"/>
  <c r="AG877" i="3"/>
  <c r="AI877" i="3"/>
  <c r="AJ877" i="3"/>
  <c r="AL877" i="3"/>
  <c r="AM877" i="3"/>
  <c r="AO877" i="3"/>
  <c r="AP877" i="3"/>
  <c r="AE878" i="3"/>
  <c r="AI878" i="3" s="1"/>
  <c r="AF878" i="3"/>
  <c r="AG878" i="3"/>
  <c r="AJ878" i="3"/>
  <c r="AL878" i="3"/>
  <c r="AM878" i="3"/>
  <c r="AO878" i="3"/>
  <c r="AP878" i="3"/>
  <c r="AE879" i="3"/>
  <c r="AF879" i="3"/>
  <c r="AG879" i="3"/>
  <c r="AI879" i="3"/>
  <c r="AJ879" i="3"/>
  <c r="AL879" i="3"/>
  <c r="AM879" i="3"/>
  <c r="AO879" i="3"/>
  <c r="AP879" i="3"/>
  <c r="AE880" i="3"/>
  <c r="AI880" i="3" s="1"/>
  <c r="AF880" i="3"/>
  <c r="AG880" i="3"/>
  <c r="AO880" i="3" s="1"/>
  <c r="AJ880" i="3"/>
  <c r="AL880" i="3"/>
  <c r="AM880" i="3"/>
  <c r="AP880" i="3"/>
  <c r="AE881" i="3"/>
  <c r="AF881" i="3"/>
  <c r="AM881" i="3" s="1"/>
  <c r="AG881" i="3"/>
  <c r="AI881" i="3"/>
  <c r="AJ881" i="3"/>
  <c r="AL881" i="3"/>
  <c r="AO881" i="3"/>
  <c r="AP881" i="3"/>
  <c r="AE882" i="3"/>
  <c r="AI882" i="3" s="1"/>
  <c r="AF882" i="3"/>
  <c r="AG882" i="3"/>
  <c r="AJ882" i="3"/>
  <c r="AL882" i="3"/>
  <c r="AM882" i="3"/>
  <c r="AO882" i="3"/>
  <c r="AP882" i="3"/>
  <c r="AE883" i="3"/>
  <c r="AF883" i="3"/>
  <c r="AG883" i="3"/>
  <c r="AP883" i="3" s="1"/>
  <c r="AI883" i="3"/>
  <c r="AJ883" i="3"/>
  <c r="AL883" i="3"/>
  <c r="AM883" i="3"/>
  <c r="AO883" i="3"/>
  <c r="AE884" i="3"/>
  <c r="AI884" i="3" s="1"/>
  <c r="AF884" i="3"/>
  <c r="AG884" i="3"/>
  <c r="AO884" i="3" s="1"/>
  <c r="AJ884" i="3"/>
  <c r="AL884" i="3"/>
  <c r="AM884" i="3"/>
  <c r="AP884" i="3"/>
  <c r="AE885" i="3"/>
  <c r="AF885" i="3"/>
  <c r="AM885" i="3" s="1"/>
  <c r="AG885" i="3"/>
  <c r="AI885" i="3"/>
  <c r="AJ885" i="3"/>
  <c r="AL885" i="3"/>
  <c r="AO885" i="3"/>
  <c r="AP885" i="3"/>
  <c r="AE886" i="3"/>
  <c r="AI886" i="3" s="1"/>
  <c r="AF886" i="3"/>
  <c r="AG886" i="3"/>
  <c r="AJ886" i="3"/>
  <c r="AL886" i="3"/>
  <c r="AM886" i="3"/>
  <c r="AO886" i="3"/>
  <c r="AP886" i="3"/>
  <c r="AE887" i="3"/>
  <c r="AF887" i="3"/>
  <c r="AG887" i="3"/>
  <c r="AP887" i="3" s="1"/>
  <c r="AI887" i="3"/>
  <c r="AJ887" i="3"/>
  <c r="AL887" i="3"/>
  <c r="AM887" i="3"/>
  <c r="AO887" i="3"/>
  <c r="AE888" i="3"/>
  <c r="AI888" i="3" s="1"/>
  <c r="AF888" i="3"/>
  <c r="AG888" i="3"/>
  <c r="AO888" i="3" s="1"/>
  <c r="AJ888" i="3"/>
  <c r="AL888" i="3"/>
  <c r="AM888" i="3"/>
  <c r="AP888" i="3"/>
  <c r="AE889" i="3"/>
  <c r="AF889" i="3"/>
  <c r="AM889" i="3" s="1"/>
  <c r="AG889" i="3"/>
  <c r="AI889" i="3"/>
  <c r="AJ889" i="3"/>
  <c r="AL889" i="3"/>
  <c r="AO889" i="3"/>
  <c r="AP889" i="3"/>
  <c r="AE890" i="3"/>
  <c r="AF890" i="3"/>
  <c r="AG890" i="3"/>
  <c r="AI890" i="3"/>
  <c r="AJ890" i="3"/>
  <c r="AL890" i="3"/>
  <c r="AM890" i="3"/>
  <c r="AO890" i="3"/>
  <c r="AP890" i="3"/>
  <c r="AE891" i="3"/>
  <c r="AI891" i="3" s="1"/>
  <c r="AF891" i="3"/>
  <c r="AG891" i="3"/>
  <c r="AO891" i="3" s="1"/>
  <c r="AJ891" i="3"/>
  <c r="AL891" i="3"/>
  <c r="AM891" i="3"/>
  <c r="AP891" i="3"/>
  <c r="AE892" i="3"/>
  <c r="AI892" i="3" s="1"/>
  <c r="AF892" i="3"/>
  <c r="AM892" i="3" s="1"/>
  <c r="AG892" i="3"/>
  <c r="AJ892" i="3"/>
  <c r="AL892" i="3"/>
  <c r="AO892" i="3"/>
  <c r="AP892" i="3"/>
  <c r="AE893" i="3"/>
  <c r="AF893" i="3"/>
  <c r="AG893" i="3"/>
  <c r="AI893" i="3"/>
  <c r="AJ893" i="3"/>
  <c r="AL893" i="3"/>
  <c r="AM893" i="3"/>
  <c r="AO893" i="3"/>
  <c r="AP893" i="3"/>
  <c r="AE894" i="3"/>
  <c r="AF894" i="3"/>
  <c r="AG894" i="3"/>
  <c r="AP894" i="3" s="1"/>
  <c r="AI894" i="3"/>
  <c r="AJ894" i="3"/>
  <c r="AL894" i="3"/>
  <c r="AM894" i="3"/>
  <c r="AO894" i="3"/>
  <c r="AE895" i="3"/>
  <c r="AI895" i="3" s="1"/>
  <c r="AF895" i="3"/>
  <c r="AG895" i="3"/>
  <c r="AP895" i="3" s="1"/>
  <c r="AJ895" i="3"/>
  <c r="AL895" i="3"/>
  <c r="AM895" i="3"/>
  <c r="AE896" i="3"/>
  <c r="AI896" i="3" s="1"/>
  <c r="AF896" i="3"/>
  <c r="AM896" i="3" s="1"/>
  <c r="AG896" i="3"/>
  <c r="AJ896" i="3"/>
  <c r="AL896" i="3"/>
  <c r="AO896" i="3"/>
  <c r="AP896" i="3"/>
  <c r="AE897" i="3"/>
  <c r="AI897" i="3" s="1"/>
  <c r="AF897" i="3"/>
  <c r="AM897" i="3" s="1"/>
  <c r="AG897" i="3"/>
  <c r="AO897" i="3" s="1"/>
  <c r="AJ897" i="3"/>
  <c r="AL897" i="3"/>
  <c r="AP897" i="3"/>
  <c r="AE898" i="3"/>
  <c r="AI898" i="3" s="1"/>
  <c r="AF898" i="3"/>
  <c r="AM898" i="3" s="1"/>
  <c r="AG898" i="3"/>
  <c r="AJ898" i="3"/>
  <c r="AL898" i="3"/>
  <c r="AO898" i="3"/>
  <c r="AP898" i="3"/>
  <c r="AE899" i="3"/>
  <c r="AF899" i="3"/>
  <c r="AG899" i="3"/>
  <c r="AP899" i="3" s="1"/>
  <c r="AI899" i="3"/>
  <c r="AJ899" i="3"/>
  <c r="AL899" i="3"/>
  <c r="AM899" i="3"/>
  <c r="AO899" i="3"/>
  <c r="AE900" i="3"/>
  <c r="AF900" i="3"/>
  <c r="AG900" i="3"/>
  <c r="AO900" i="3" s="1"/>
  <c r="AI900" i="3"/>
  <c r="AJ900" i="3"/>
  <c r="AL900" i="3"/>
  <c r="AM900" i="3"/>
  <c r="AE901" i="3"/>
  <c r="AI901" i="3" s="1"/>
  <c r="AF901" i="3"/>
  <c r="AM901" i="3" s="1"/>
  <c r="AG901" i="3"/>
  <c r="AJ901" i="3"/>
  <c r="AL901" i="3"/>
  <c r="AO901" i="3"/>
  <c r="AP901" i="3"/>
  <c r="AE902" i="3"/>
  <c r="AI902" i="3" s="1"/>
  <c r="AF902" i="3"/>
  <c r="AG902" i="3"/>
  <c r="AO902" i="3" s="1"/>
  <c r="AJ902" i="3"/>
  <c r="AL902" i="3"/>
  <c r="AM902" i="3"/>
  <c r="AE903" i="3"/>
  <c r="AF903" i="3"/>
  <c r="AM903" i="3" s="1"/>
  <c r="AG903" i="3"/>
  <c r="AI903" i="3"/>
  <c r="AJ903" i="3"/>
  <c r="AL903" i="3"/>
  <c r="AO903" i="3"/>
  <c r="AP903" i="3"/>
  <c r="AE904" i="3"/>
  <c r="AI904" i="3" s="1"/>
  <c r="AF904" i="3"/>
  <c r="AG904" i="3"/>
  <c r="AO904" i="3" s="1"/>
  <c r="AJ904" i="3"/>
  <c r="AL904" i="3"/>
  <c r="AM904" i="3"/>
  <c r="AP904" i="3"/>
  <c r="AE905" i="3"/>
  <c r="AF905" i="3"/>
  <c r="AM905" i="3" s="1"/>
  <c r="AG905" i="3"/>
  <c r="AI905" i="3"/>
  <c r="AJ905" i="3"/>
  <c r="AL905" i="3"/>
  <c r="AO905" i="3"/>
  <c r="AP905" i="3"/>
  <c r="AE906" i="3"/>
  <c r="AI906" i="3" s="1"/>
  <c r="AF906" i="3"/>
  <c r="AG906" i="3"/>
  <c r="AO906" i="3" s="1"/>
  <c r="AJ906" i="3"/>
  <c r="AL906" i="3"/>
  <c r="AM906" i="3"/>
  <c r="AE907" i="3"/>
  <c r="AF907" i="3"/>
  <c r="AM907" i="3" s="1"/>
  <c r="AG907" i="3"/>
  <c r="AI907" i="3"/>
  <c r="AJ907" i="3"/>
  <c r="AL907" i="3"/>
  <c r="AO907" i="3"/>
  <c r="AP907" i="3"/>
  <c r="AE908" i="3"/>
  <c r="AI908" i="3" s="1"/>
  <c r="AF908" i="3"/>
  <c r="AG908" i="3"/>
  <c r="AO908" i="3" s="1"/>
  <c r="AJ908" i="3"/>
  <c r="AL908" i="3"/>
  <c r="AM908" i="3"/>
  <c r="AP908" i="3"/>
  <c r="AE909" i="3"/>
  <c r="AF909" i="3"/>
  <c r="AM909" i="3" s="1"/>
  <c r="AG909" i="3"/>
  <c r="AI909" i="3"/>
  <c r="AJ909" i="3"/>
  <c r="AL909" i="3"/>
  <c r="AO909" i="3"/>
  <c r="AP909" i="3"/>
  <c r="AE910" i="3"/>
  <c r="AI910" i="3" s="1"/>
  <c r="AF910" i="3"/>
  <c r="AG910" i="3"/>
  <c r="AO910" i="3" s="1"/>
  <c r="AJ910" i="3"/>
  <c r="AL910" i="3"/>
  <c r="AM910" i="3"/>
  <c r="AE911" i="3"/>
  <c r="AF911" i="3"/>
  <c r="AM911" i="3" s="1"/>
  <c r="AG911" i="3"/>
  <c r="AI911" i="3"/>
  <c r="AJ911" i="3"/>
  <c r="AL911" i="3"/>
  <c r="AO911" i="3"/>
  <c r="AP911" i="3"/>
  <c r="AE912" i="3"/>
  <c r="AI912" i="3" s="1"/>
  <c r="AF912" i="3"/>
  <c r="AG912" i="3"/>
  <c r="AO912" i="3" s="1"/>
  <c r="AJ912" i="3"/>
  <c r="AL912" i="3"/>
  <c r="AM912" i="3"/>
  <c r="AP912" i="3"/>
  <c r="AE913" i="3"/>
  <c r="AF913" i="3"/>
  <c r="AM913" i="3" s="1"/>
  <c r="AG913" i="3"/>
  <c r="AI913" i="3"/>
  <c r="AJ913" i="3"/>
  <c r="AL913" i="3"/>
  <c r="AO913" i="3"/>
  <c r="AP913" i="3"/>
  <c r="AE914" i="3"/>
  <c r="AI914" i="3" s="1"/>
  <c r="AF914" i="3"/>
  <c r="AG914" i="3"/>
  <c r="AO914" i="3" s="1"/>
  <c r="AJ914" i="3"/>
  <c r="AL914" i="3"/>
  <c r="AM914" i="3"/>
  <c r="AE915" i="3"/>
  <c r="AF915" i="3"/>
  <c r="AM915" i="3" s="1"/>
  <c r="AG915" i="3"/>
  <c r="AP915" i="3" s="1"/>
  <c r="AI915" i="3"/>
  <c r="AJ915" i="3"/>
  <c r="AL915" i="3"/>
  <c r="AO915" i="3"/>
  <c r="AE916" i="3"/>
  <c r="AI916" i="3" s="1"/>
  <c r="AF916" i="3"/>
  <c r="AG916" i="3"/>
  <c r="AO916" i="3" s="1"/>
  <c r="AJ916" i="3"/>
  <c r="AL916" i="3"/>
  <c r="AM916" i="3"/>
  <c r="AP916" i="3"/>
  <c r="AE917" i="3"/>
  <c r="AF917" i="3"/>
  <c r="AM917" i="3" s="1"/>
  <c r="AG917" i="3"/>
  <c r="AI917" i="3"/>
  <c r="AJ917" i="3"/>
  <c r="AL917" i="3"/>
  <c r="AO917" i="3"/>
  <c r="AP917" i="3"/>
  <c r="AE918" i="3"/>
  <c r="AI918" i="3" s="1"/>
  <c r="AF918" i="3"/>
  <c r="AG918" i="3"/>
  <c r="AO918" i="3" s="1"/>
  <c r="AJ918" i="3"/>
  <c r="AL918" i="3"/>
  <c r="AM918" i="3"/>
  <c r="AP918" i="3"/>
  <c r="AE919" i="3"/>
  <c r="AF919" i="3"/>
  <c r="AM919" i="3" s="1"/>
  <c r="AG919" i="3"/>
  <c r="AI919" i="3"/>
  <c r="AJ919" i="3"/>
  <c r="AL919" i="3"/>
  <c r="AO919" i="3"/>
  <c r="AP919" i="3"/>
  <c r="AE920" i="3"/>
  <c r="AI920" i="3" s="1"/>
  <c r="AF920" i="3"/>
  <c r="AG920" i="3"/>
  <c r="AO920" i="3" s="1"/>
  <c r="AJ920" i="3"/>
  <c r="AL920" i="3"/>
  <c r="AM920" i="3"/>
  <c r="AE921" i="3"/>
  <c r="AF921" i="3"/>
  <c r="AM921" i="3" s="1"/>
  <c r="AG921" i="3"/>
  <c r="AI921" i="3"/>
  <c r="AJ921" i="3"/>
  <c r="AL921" i="3"/>
  <c r="AO921" i="3"/>
  <c r="AP921" i="3"/>
  <c r="AE922" i="3"/>
  <c r="AI922" i="3" s="1"/>
  <c r="AF922" i="3"/>
  <c r="AG922" i="3"/>
  <c r="AO922" i="3" s="1"/>
  <c r="AJ922" i="3"/>
  <c r="AL922" i="3"/>
  <c r="AM922" i="3"/>
  <c r="AP922" i="3"/>
  <c r="AE923" i="3"/>
  <c r="AF923" i="3"/>
  <c r="AM923" i="3" s="1"/>
  <c r="AG923" i="3"/>
  <c r="AI923" i="3"/>
  <c r="AJ923" i="3"/>
  <c r="AL923" i="3"/>
  <c r="AO923" i="3"/>
  <c r="AP923" i="3"/>
  <c r="AE924" i="3"/>
  <c r="AI924" i="3" s="1"/>
  <c r="AF924" i="3"/>
  <c r="AG924" i="3"/>
  <c r="AO924" i="3" s="1"/>
  <c r="AJ924" i="3"/>
  <c r="AL924" i="3"/>
  <c r="AM924" i="3"/>
  <c r="AE925" i="3"/>
  <c r="AF925" i="3"/>
  <c r="AM925" i="3" s="1"/>
  <c r="AG925" i="3"/>
  <c r="AI925" i="3"/>
  <c r="AJ925" i="3"/>
  <c r="AL925" i="3"/>
  <c r="AO925" i="3"/>
  <c r="AP925" i="3"/>
  <c r="AE926" i="3"/>
  <c r="AI926" i="3" s="1"/>
  <c r="AF926" i="3"/>
  <c r="AG926" i="3"/>
  <c r="AO926" i="3" s="1"/>
  <c r="AJ926" i="3"/>
  <c r="AL926" i="3"/>
  <c r="AM926" i="3"/>
  <c r="AP926" i="3"/>
  <c r="AE927" i="3"/>
  <c r="AF927" i="3"/>
  <c r="AM927" i="3" s="1"/>
  <c r="AG927" i="3"/>
  <c r="AI927" i="3"/>
  <c r="AJ927" i="3"/>
  <c r="AL927" i="3"/>
  <c r="AO927" i="3"/>
  <c r="AP927" i="3"/>
  <c r="AE928" i="3"/>
  <c r="AI928" i="3" s="1"/>
  <c r="AF928" i="3"/>
  <c r="AG928" i="3"/>
  <c r="AO928" i="3" s="1"/>
  <c r="AJ928" i="3"/>
  <c r="AL928" i="3"/>
  <c r="AM928" i="3"/>
  <c r="AE929" i="3"/>
  <c r="AF929" i="3"/>
  <c r="AM929" i="3" s="1"/>
  <c r="AG929" i="3"/>
  <c r="AI929" i="3"/>
  <c r="AJ929" i="3"/>
  <c r="AL929" i="3"/>
  <c r="AO929" i="3"/>
  <c r="AP929" i="3"/>
  <c r="AE930" i="3"/>
  <c r="AI930" i="3" s="1"/>
  <c r="AF930" i="3"/>
  <c r="AG930" i="3"/>
  <c r="AO930" i="3" s="1"/>
  <c r="AJ930" i="3"/>
  <c r="AL930" i="3"/>
  <c r="AM930" i="3"/>
  <c r="AP930" i="3"/>
  <c r="AE931" i="3"/>
  <c r="AF931" i="3"/>
  <c r="AM931" i="3" s="1"/>
  <c r="AG931" i="3"/>
  <c r="AI931" i="3"/>
  <c r="AJ931" i="3"/>
  <c r="AL931" i="3"/>
  <c r="AO931" i="3"/>
  <c r="AP931" i="3"/>
  <c r="AE932" i="3"/>
  <c r="AI932" i="3" s="1"/>
  <c r="AF932" i="3"/>
  <c r="AG932" i="3"/>
  <c r="AO932" i="3" s="1"/>
  <c r="AJ932" i="3"/>
  <c r="AL932" i="3"/>
  <c r="AM932" i="3"/>
  <c r="AE933" i="3"/>
  <c r="AF933" i="3"/>
  <c r="AM933" i="3" s="1"/>
  <c r="AG933" i="3"/>
  <c r="AI933" i="3"/>
  <c r="AJ933" i="3"/>
  <c r="AL933" i="3"/>
  <c r="AO933" i="3"/>
  <c r="AP933" i="3"/>
  <c r="AE934" i="3"/>
  <c r="AI934" i="3" s="1"/>
  <c r="AF934" i="3"/>
  <c r="AG934" i="3"/>
  <c r="AO934" i="3" s="1"/>
  <c r="AJ934" i="3"/>
  <c r="AL934" i="3"/>
  <c r="AM934" i="3"/>
  <c r="AP934" i="3"/>
  <c r="AE935" i="3"/>
  <c r="AF935" i="3"/>
  <c r="AM935" i="3" s="1"/>
  <c r="AG935" i="3"/>
  <c r="AI935" i="3"/>
  <c r="AJ935" i="3"/>
  <c r="AL935" i="3"/>
  <c r="AO935" i="3"/>
  <c r="AP935" i="3"/>
  <c r="AE936" i="3"/>
  <c r="AI936" i="3" s="1"/>
  <c r="AF936" i="3"/>
  <c r="AG936" i="3"/>
  <c r="AO936" i="3" s="1"/>
  <c r="AJ936" i="3"/>
  <c r="AL936" i="3"/>
  <c r="AM936" i="3"/>
  <c r="AE937" i="3"/>
  <c r="AF937" i="3"/>
  <c r="AM937" i="3" s="1"/>
  <c r="AG937" i="3"/>
  <c r="AI937" i="3"/>
  <c r="AJ937" i="3"/>
  <c r="AL937" i="3"/>
  <c r="AO937" i="3"/>
  <c r="AP937" i="3"/>
  <c r="AE938" i="3"/>
  <c r="AI938" i="3" s="1"/>
  <c r="AF938" i="3"/>
  <c r="AG938" i="3"/>
  <c r="AO938" i="3" s="1"/>
  <c r="AJ938" i="3"/>
  <c r="AL938" i="3"/>
  <c r="AM938" i="3"/>
  <c r="AP938" i="3"/>
  <c r="AE939" i="3"/>
  <c r="AF939" i="3"/>
  <c r="AM939" i="3" s="1"/>
  <c r="AG939" i="3"/>
  <c r="AI939" i="3"/>
  <c r="AJ939" i="3"/>
  <c r="AL939" i="3"/>
  <c r="AO939" i="3"/>
  <c r="AP939" i="3"/>
  <c r="AE940" i="3"/>
  <c r="AI940" i="3" s="1"/>
  <c r="AF940" i="3"/>
  <c r="AG940" i="3"/>
  <c r="AO940" i="3" s="1"/>
  <c r="AJ940" i="3"/>
  <c r="AL940" i="3"/>
  <c r="AM940" i="3"/>
  <c r="AE941" i="3"/>
  <c r="AF941" i="3"/>
  <c r="AM941" i="3" s="1"/>
  <c r="AG941" i="3"/>
  <c r="AI941" i="3"/>
  <c r="AJ941" i="3"/>
  <c r="AL941" i="3"/>
  <c r="AO941" i="3"/>
  <c r="AP941" i="3"/>
  <c r="AE942" i="3"/>
  <c r="AI942" i="3" s="1"/>
  <c r="AF942" i="3"/>
  <c r="AG942" i="3"/>
  <c r="AO942" i="3" s="1"/>
  <c r="AJ942" i="3"/>
  <c r="AL942" i="3"/>
  <c r="AM942" i="3"/>
  <c r="AP942" i="3"/>
  <c r="AE943" i="3"/>
  <c r="AF943" i="3"/>
  <c r="AM943" i="3" s="1"/>
  <c r="AG943" i="3"/>
  <c r="AI943" i="3"/>
  <c r="AJ943" i="3"/>
  <c r="AL943" i="3"/>
  <c r="AO943" i="3"/>
  <c r="AP943" i="3"/>
  <c r="AE944" i="3"/>
  <c r="AI944" i="3" s="1"/>
  <c r="AF944" i="3"/>
  <c r="AG944" i="3"/>
  <c r="AO944" i="3" s="1"/>
  <c r="AJ944" i="3"/>
  <c r="AL944" i="3"/>
  <c r="AM944" i="3"/>
  <c r="AE945" i="3"/>
  <c r="AF945" i="3"/>
  <c r="AM945" i="3" s="1"/>
  <c r="AG945" i="3"/>
  <c r="AI945" i="3"/>
  <c r="AJ945" i="3"/>
  <c r="AL945" i="3"/>
  <c r="AO945" i="3"/>
  <c r="AP945" i="3"/>
  <c r="AE946" i="3"/>
  <c r="AI946" i="3" s="1"/>
  <c r="AF946" i="3"/>
  <c r="AG946" i="3"/>
  <c r="AO946" i="3" s="1"/>
  <c r="AJ946" i="3"/>
  <c r="AL946" i="3"/>
  <c r="AM946" i="3"/>
  <c r="AP946" i="3"/>
  <c r="AE947" i="3"/>
  <c r="AF947" i="3"/>
  <c r="AM947" i="3" s="1"/>
  <c r="AG947" i="3"/>
  <c r="AI947" i="3"/>
  <c r="AJ947" i="3"/>
  <c r="AL947" i="3"/>
  <c r="AO947" i="3"/>
  <c r="AP947" i="3"/>
  <c r="AE948" i="3"/>
  <c r="AI948" i="3" s="1"/>
  <c r="AF948" i="3"/>
  <c r="AG948" i="3"/>
  <c r="AO948" i="3" s="1"/>
  <c r="AJ948" i="3"/>
  <c r="AL948" i="3"/>
  <c r="AM948" i="3"/>
  <c r="AE949" i="3"/>
  <c r="AF949" i="3"/>
  <c r="AM949" i="3" s="1"/>
  <c r="AG949" i="3"/>
  <c r="AP949" i="3" s="1"/>
  <c r="AI949" i="3"/>
  <c r="AJ949" i="3"/>
  <c r="AL949" i="3"/>
  <c r="AO949" i="3"/>
  <c r="AE950" i="3"/>
  <c r="AI950" i="3" s="1"/>
  <c r="AF950" i="3"/>
  <c r="AG950" i="3"/>
  <c r="AO950" i="3" s="1"/>
  <c r="AJ950" i="3"/>
  <c r="AL950" i="3"/>
  <c r="AM950" i="3"/>
  <c r="AP950" i="3"/>
  <c r="AE951" i="3"/>
  <c r="AF951" i="3"/>
  <c r="AM951" i="3" s="1"/>
  <c r="AG951" i="3"/>
  <c r="AI951" i="3"/>
  <c r="AJ951" i="3"/>
  <c r="AL951" i="3"/>
  <c r="AO951" i="3"/>
  <c r="AP951" i="3"/>
  <c r="AE952" i="3"/>
  <c r="AI952" i="3" s="1"/>
  <c r="AF952" i="3"/>
  <c r="AG952" i="3"/>
  <c r="AO952" i="3" s="1"/>
  <c r="AJ952" i="3"/>
  <c r="AL952" i="3"/>
  <c r="AM952" i="3"/>
  <c r="AP952" i="3"/>
  <c r="V5" i="3"/>
  <c r="W5" i="3" s="1"/>
  <c r="V6" i="3"/>
  <c r="W6" i="3" s="1"/>
  <c r="V7" i="3"/>
  <c r="W7" i="3" s="1"/>
  <c r="V8" i="3"/>
  <c r="W8" i="3" s="1"/>
  <c r="V9" i="3"/>
  <c r="W9" i="3" s="1"/>
  <c r="V10" i="3"/>
  <c r="W10" i="3" s="1"/>
  <c r="V11" i="3"/>
  <c r="W11" i="3" s="1"/>
  <c r="V12" i="3"/>
  <c r="W12" i="3" s="1"/>
  <c r="V13" i="3"/>
  <c r="W13" i="3" s="1"/>
  <c r="V14" i="3"/>
  <c r="W14" i="3" s="1"/>
  <c r="V15" i="3"/>
  <c r="W15" i="3" s="1"/>
  <c r="V16" i="3"/>
  <c r="W16" i="3" s="1"/>
  <c r="V17" i="3"/>
  <c r="W17" i="3" s="1"/>
  <c r="V18" i="3"/>
  <c r="W18" i="3" s="1"/>
  <c r="V19" i="3"/>
  <c r="W19" i="3" s="1"/>
  <c r="V20" i="3"/>
  <c r="W20" i="3" s="1"/>
  <c r="V21" i="3"/>
  <c r="W21" i="3" s="1"/>
  <c r="V22" i="3"/>
  <c r="W22" i="3" s="1"/>
  <c r="V23" i="3"/>
  <c r="W23" i="3" s="1"/>
  <c r="V24" i="3"/>
  <c r="W24" i="3" s="1"/>
  <c r="V25" i="3"/>
  <c r="W25" i="3" s="1"/>
  <c r="V26" i="3"/>
  <c r="W26" i="3" s="1"/>
  <c r="V27" i="3"/>
  <c r="W27" i="3" s="1"/>
  <c r="V28" i="3"/>
  <c r="W28" i="3" s="1"/>
  <c r="V29" i="3"/>
  <c r="W29" i="3" s="1"/>
  <c r="V30" i="3"/>
  <c r="W30" i="3" s="1"/>
  <c r="V31" i="3"/>
  <c r="W31" i="3" s="1"/>
  <c r="V32" i="3"/>
  <c r="W32" i="3" s="1"/>
  <c r="V33" i="3"/>
  <c r="W33" i="3" s="1"/>
  <c r="V34" i="3"/>
  <c r="W34" i="3" s="1"/>
  <c r="V35" i="3"/>
  <c r="W35" i="3" s="1"/>
  <c r="V36" i="3"/>
  <c r="W36" i="3" s="1"/>
  <c r="V37" i="3"/>
  <c r="W37" i="3" s="1"/>
  <c r="V38" i="3"/>
  <c r="W38" i="3" s="1"/>
  <c r="V39" i="3"/>
  <c r="W39" i="3" s="1"/>
  <c r="V40" i="3"/>
  <c r="W40" i="3" s="1"/>
  <c r="V41" i="3"/>
  <c r="W41" i="3" s="1"/>
  <c r="V42" i="3"/>
  <c r="W42" i="3" s="1"/>
  <c r="V43" i="3"/>
  <c r="W43" i="3" s="1"/>
  <c r="V44" i="3"/>
  <c r="W44" i="3" s="1"/>
  <c r="V45" i="3"/>
  <c r="W45" i="3" s="1"/>
  <c r="V46" i="3"/>
  <c r="W46" i="3" s="1"/>
  <c r="V47" i="3"/>
  <c r="W47" i="3" s="1"/>
  <c r="V48" i="3"/>
  <c r="W48" i="3" s="1"/>
  <c r="V49" i="3"/>
  <c r="W49" i="3" s="1"/>
  <c r="V50" i="3"/>
  <c r="W50" i="3" s="1"/>
  <c r="V51" i="3"/>
  <c r="W51" i="3" s="1"/>
  <c r="V52" i="3"/>
  <c r="W52" i="3" s="1"/>
  <c r="V53" i="3"/>
  <c r="W53" i="3" s="1"/>
  <c r="V54" i="3"/>
  <c r="W54" i="3" s="1"/>
  <c r="V55" i="3"/>
  <c r="W55" i="3" s="1"/>
  <c r="V56" i="3"/>
  <c r="W56" i="3" s="1"/>
  <c r="V57" i="3"/>
  <c r="W57" i="3" s="1"/>
  <c r="V58" i="3"/>
  <c r="W58" i="3" s="1"/>
  <c r="V59" i="3"/>
  <c r="W59" i="3" s="1"/>
  <c r="V60" i="3"/>
  <c r="W60" i="3" s="1"/>
  <c r="V61" i="3"/>
  <c r="W61" i="3" s="1"/>
  <c r="V62" i="3"/>
  <c r="W62" i="3" s="1"/>
  <c r="V63" i="3"/>
  <c r="W63" i="3" s="1"/>
  <c r="V64" i="3"/>
  <c r="W64" i="3" s="1"/>
  <c r="V65" i="3"/>
  <c r="W65" i="3" s="1"/>
  <c r="V66" i="3"/>
  <c r="W66" i="3" s="1"/>
  <c r="V67" i="3"/>
  <c r="W67" i="3" s="1"/>
  <c r="V68" i="3"/>
  <c r="W68" i="3" s="1"/>
  <c r="V69" i="3"/>
  <c r="W69" i="3" s="1"/>
  <c r="V70" i="3"/>
  <c r="W70" i="3" s="1"/>
  <c r="V71" i="3"/>
  <c r="W71" i="3" s="1"/>
  <c r="V72" i="3"/>
  <c r="W72" i="3" s="1"/>
  <c r="V73" i="3"/>
  <c r="W73" i="3" s="1"/>
  <c r="V74" i="3"/>
  <c r="W74" i="3" s="1"/>
  <c r="V75" i="3"/>
  <c r="W75" i="3" s="1"/>
  <c r="V76" i="3"/>
  <c r="W76" i="3" s="1"/>
  <c r="V77" i="3"/>
  <c r="W77" i="3" s="1"/>
  <c r="V78" i="3"/>
  <c r="W78" i="3" s="1"/>
  <c r="V79" i="3"/>
  <c r="W79" i="3" s="1"/>
  <c r="V80" i="3"/>
  <c r="W80" i="3" s="1"/>
  <c r="V81" i="3"/>
  <c r="W81" i="3" s="1"/>
  <c r="V82" i="3"/>
  <c r="W82" i="3" s="1"/>
  <c r="V83" i="3"/>
  <c r="W83" i="3" s="1"/>
  <c r="V84" i="3"/>
  <c r="W84" i="3" s="1"/>
  <c r="V85" i="3"/>
  <c r="W85" i="3" s="1"/>
  <c r="V86" i="3"/>
  <c r="W86" i="3" s="1"/>
  <c r="V87" i="3"/>
  <c r="W87" i="3" s="1"/>
  <c r="V88" i="3"/>
  <c r="W88" i="3" s="1"/>
  <c r="V89" i="3"/>
  <c r="W89" i="3" s="1"/>
  <c r="V90" i="3"/>
  <c r="W90" i="3" s="1"/>
  <c r="V91" i="3"/>
  <c r="W91" i="3" s="1"/>
  <c r="V92" i="3"/>
  <c r="W92" i="3" s="1"/>
  <c r="V93" i="3"/>
  <c r="W93" i="3" s="1"/>
  <c r="V94" i="3"/>
  <c r="W94" i="3" s="1"/>
  <c r="V95" i="3"/>
  <c r="W95" i="3" s="1"/>
  <c r="V96" i="3"/>
  <c r="W96" i="3" s="1"/>
  <c r="V97" i="3"/>
  <c r="W97" i="3" s="1"/>
  <c r="V98" i="3"/>
  <c r="W98" i="3" s="1"/>
  <c r="V99" i="3"/>
  <c r="W99" i="3" s="1"/>
  <c r="V100" i="3"/>
  <c r="W100" i="3" s="1"/>
  <c r="V101" i="3"/>
  <c r="W101" i="3" s="1"/>
  <c r="V102" i="3"/>
  <c r="W102" i="3" s="1"/>
  <c r="V103" i="3"/>
  <c r="W103" i="3" s="1"/>
  <c r="V104" i="3"/>
  <c r="W104" i="3" s="1"/>
  <c r="V105" i="3"/>
  <c r="W105" i="3" s="1"/>
  <c r="V106" i="3"/>
  <c r="W106" i="3"/>
  <c r="V107" i="3"/>
  <c r="W107" i="3" s="1"/>
  <c r="V108" i="3"/>
  <c r="W108" i="3" s="1"/>
  <c r="V109" i="3"/>
  <c r="W109" i="3" s="1"/>
  <c r="V110" i="3"/>
  <c r="W110" i="3"/>
  <c r="V111" i="3"/>
  <c r="W111" i="3" s="1"/>
  <c r="V112" i="3"/>
  <c r="W112" i="3" s="1"/>
  <c r="V113" i="3"/>
  <c r="W113" i="3" s="1"/>
  <c r="V114" i="3"/>
  <c r="W114" i="3"/>
  <c r="V115" i="3"/>
  <c r="W115" i="3" s="1"/>
  <c r="V116" i="3"/>
  <c r="W116" i="3" s="1"/>
  <c r="V117" i="3"/>
  <c r="W117" i="3" s="1"/>
  <c r="V118" i="3"/>
  <c r="W118" i="3"/>
  <c r="V119" i="3"/>
  <c r="W119" i="3" s="1"/>
  <c r="V120" i="3"/>
  <c r="W120" i="3" s="1"/>
  <c r="V121" i="3"/>
  <c r="W121" i="3" s="1"/>
  <c r="V122" i="3"/>
  <c r="W122" i="3"/>
  <c r="V123" i="3"/>
  <c r="W123" i="3" s="1"/>
  <c r="V124" i="3"/>
  <c r="W124" i="3" s="1"/>
  <c r="V125" i="3"/>
  <c r="W125" i="3" s="1"/>
  <c r="V126" i="3"/>
  <c r="W126" i="3"/>
  <c r="V127" i="3"/>
  <c r="W127" i="3" s="1"/>
  <c r="V128" i="3"/>
  <c r="W128" i="3" s="1"/>
  <c r="V129" i="3"/>
  <c r="W129" i="3" s="1"/>
  <c r="V130" i="3"/>
  <c r="W130" i="3"/>
  <c r="V131" i="3"/>
  <c r="W131" i="3" s="1"/>
  <c r="V132" i="3"/>
  <c r="W132" i="3" s="1"/>
  <c r="V133" i="3"/>
  <c r="W133" i="3" s="1"/>
  <c r="V134" i="3"/>
  <c r="W134" i="3"/>
  <c r="V135" i="3"/>
  <c r="W135" i="3" s="1"/>
  <c r="V136" i="3"/>
  <c r="W136" i="3" s="1"/>
  <c r="V137" i="3"/>
  <c r="W137" i="3" s="1"/>
  <c r="V138" i="3"/>
  <c r="W138" i="3"/>
  <c r="V139" i="3"/>
  <c r="W139" i="3" s="1"/>
  <c r="V140" i="3"/>
  <c r="W140" i="3" s="1"/>
  <c r="V141" i="3"/>
  <c r="W141" i="3" s="1"/>
  <c r="V142" i="3"/>
  <c r="W142" i="3"/>
  <c r="V143" i="3"/>
  <c r="W143" i="3" s="1"/>
  <c r="V144" i="3"/>
  <c r="W144" i="3" s="1"/>
  <c r="V145" i="3"/>
  <c r="W145" i="3" s="1"/>
  <c r="V146" i="3"/>
  <c r="W146" i="3"/>
  <c r="V147" i="3"/>
  <c r="W147" i="3" s="1"/>
  <c r="V148" i="3"/>
  <c r="W148" i="3" s="1"/>
  <c r="V149" i="3"/>
  <c r="W149" i="3" s="1"/>
  <c r="V150" i="3"/>
  <c r="W150" i="3"/>
  <c r="V151" i="3"/>
  <c r="W151" i="3" s="1"/>
  <c r="V152" i="3"/>
  <c r="W152" i="3" s="1"/>
  <c r="V153" i="3"/>
  <c r="W153" i="3" s="1"/>
  <c r="V154" i="3"/>
  <c r="W154" i="3"/>
  <c r="V155" i="3"/>
  <c r="W155" i="3" s="1"/>
  <c r="V156" i="3"/>
  <c r="W156" i="3" s="1"/>
  <c r="V157" i="3"/>
  <c r="W157" i="3" s="1"/>
  <c r="V158" i="3"/>
  <c r="W158" i="3"/>
  <c r="V159" i="3"/>
  <c r="W159" i="3" s="1"/>
  <c r="V160" i="3"/>
  <c r="W160" i="3" s="1"/>
  <c r="V161" i="3"/>
  <c r="W161" i="3" s="1"/>
  <c r="V162" i="3"/>
  <c r="W162" i="3"/>
  <c r="V163" i="3"/>
  <c r="W163" i="3" s="1"/>
  <c r="V164" i="3"/>
  <c r="W164" i="3" s="1"/>
  <c r="V165" i="3"/>
  <c r="W165" i="3" s="1"/>
  <c r="V166" i="3"/>
  <c r="W166" i="3"/>
  <c r="V167" i="3"/>
  <c r="W167" i="3" s="1"/>
  <c r="V168" i="3"/>
  <c r="W168" i="3" s="1"/>
  <c r="V169" i="3"/>
  <c r="W169" i="3" s="1"/>
  <c r="V170" i="3"/>
  <c r="W170" i="3"/>
  <c r="V171" i="3"/>
  <c r="W171" i="3" s="1"/>
  <c r="V172" i="3"/>
  <c r="W172" i="3" s="1"/>
  <c r="V173" i="3"/>
  <c r="W173" i="3" s="1"/>
  <c r="V174" i="3"/>
  <c r="W174" i="3"/>
  <c r="V175" i="3"/>
  <c r="W175" i="3"/>
  <c r="V176" i="3"/>
  <c r="W176" i="3"/>
  <c r="V177" i="3"/>
  <c r="W177" i="3"/>
  <c r="V178" i="3"/>
  <c r="W178" i="3"/>
  <c r="V179" i="3"/>
  <c r="W179" i="3"/>
  <c r="V180" i="3"/>
  <c r="W180" i="3"/>
  <c r="V181" i="3"/>
  <c r="W181" i="3"/>
  <c r="V182" i="3"/>
  <c r="W182" i="3"/>
  <c r="V183" i="3"/>
  <c r="W183" i="3"/>
  <c r="V184" i="3"/>
  <c r="W184" i="3"/>
  <c r="V185" i="3"/>
  <c r="W185" i="3"/>
  <c r="V186" i="3"/>
  <c r="W186" i="3"/>
  <c r="V187" i="3"/>
  <c r="W187" i="3"/>
  <c r="V188" i="3"/>
  <c r="W188" i="3"/>
  <c r="V189" i="3"/>
  <c r="W189" i="3"/>
  <c r="V190" i="3"/>
  <c r="W190" i="3"/>
  <c r="V191" i="3"/>
  <c r="W191" i="3"/>
  <c r="V192" i="3"/>
  <c r="W192" i="3"/>
  <c r="V193" i="3"/>
  <c r="W193" i="3"/>
  <c r="V194" i="3"/>
  <c r="W194" i="3"/>
  <c r="V195" i="3"/>
  <c r="W195" i="3"/>
  <c r="V196" i="3"/>
  <c r="W196" i="3"/>
  <c r="V197" i="3"/>
  <c r="W197" i="3"/>
  <c r="V198" i="3"/>
  <c r="W198" i="3"/>
  <c r="V199" i="3"/>
  <c r="W199" i="3"/>
  <c r="V200" i="3"/>
  <c r="W200" i="3"/>
  <c r="V201" i="3"/>
  <c r="W201" i="3"/>
  <c r="V202" i="3"/>
  <c r="W202" i="3"/>
  <c r="V203" i="3"/>
  <c r="W203" i="3"/>
  <c r="V204" i="3"/>
  <c r="W204" i="3"/>
  <c r="V205" i="3"/>
  <c r="W205" i="3"/>
  <c r="V206" i="3"/>
  <c r="W206" i="3"/>
  <c r="V207" i="3"/>
  <c r="W207" i="3"/>
  <c r="V208" i="3"/>
  <c r="W208" i="3"/>
  <c r="V209" i="3"/>
  <c r="W209" i="3"/>
  <c r="V210" i="3"/>
  <c r="W210" i="3"/>
  <c r="V211" i="3"/>
  <c r="W211" i="3"/>
  <c r="V212" i="3"/>
  <c r="W212" i="3"/>
  <c r="V213" i="3"/>
  <c r="W213" i="3"/>
  <c r="V214" i="3"/>
  <c r="W214" i="3"/>
  <c r="V215" i="3"/>
  <c r="W215" i="3"/>
  <c r="V216" i="3"/>
  <c r="W216" i="3"/>
  <c r="V217" i="3"/>
  <c r="W217" i="3"/>
  <c r="V218" i="3"/>
  <c r="W218" i="3"/>
  <c r="V219" i="3"/>
  <c r="W219" i="3"/>
  <c r="V220" i="3"/>
  <c r="W220" i="3"/>
  <c r="V221" i="3"/>
  <c r="W221" i="3"/>
  <c r="V222" i="3"/>
  <c r="W222" i="3"/>
  <c r="V223" i="3"/>
  <c r="W223" i="3"/>
  <c r="V224" i="3"/>
  <c r="W224" i="3"/>
  <c r="V225" i="3"/>
  <c r="W225" i="3"/>
  <c r="V226" i="3"/>
  <c r="W226" i="3"/>
  <c r="V227" i="3"/>
  <c r="W227" i="3"/>
  <c r="V228" i="3"/>
  <c r="W228" i="3"/>
  <c r="V229" i="3"/>
  <c r="W229" i="3"/>
  <c r="V230" i="3"/>
  <c r="W230" i="3"/>
  <c r="V231" i="3"/>
  <c r="W231" i="3"/>
  <c r="V232" i="3"/>
  <c r="W232" i="3"/>
  <c r="V233" i="3"/>
  <c r="W233" i="3"/>
  <c r="V234" i="3"/>
  <c r="W234" i="3"/>
  <c r="V235" i="3"/>
  <c r="W235" i="3"/>
  <c r="V236" i="3"/>
  <c r="W236" i="3"/>
  <c r="V237" i="3"/>
  <c r="W237" i="3"/>
  <c r="V238" i="3"/>
  <c r="W238" i="3"/>
  <c r="V239" i="3"/>
  <c r="W239" i="3"/>
  <c r="V240" i="3"/>
  <c r="W240" i="3"/>
  <c r="V241" i="3"/>
  <c r="W241" i="3"/>
  <c r="V242" i="3"/>
  <c r="W242" i="3"/>
  <c r="V243" i="3"/>
  <c r="W243" i="3"/>
  <c r="V244" i="3"/>
  <c r="W244" i="3"/>
  <c r="V245" i="3"/>
  <c r="W245" i="3"/>
  <c r="V246" i="3"/>
  <c r="W246" i="3"/>
  <c r="V247" i="3"/>
  <c r="W247" i="3"/>
  <c r="V248" i="3"/>
  <c r="W248" i="3"/>
  <c r="V249" i="3"/>
  <c r="W249" i="3"/>
  <c r="V250" i="3"/>
  <c r="W250" i="3"/>
  <c r="V251" i="3"/>
  <c r="W251" i="3"/>
  <c r="V252" i="3"/>
  <c r="W252" i="3"/>
  <c r="V253" i="3"/>
  <c r="W253" i="3"/>
  <c r="V254" i="3"/>
  <c r="W254" i="3"/>
  <c r="V255" i="3"/>
  <c r="W255" i="3"/>
  <c r="V256" i="3"/>
  <c r="W256" i="3"/>
  <c r="V257" i="3"/>
  <c r="W257" i="3"/>
  <c r="V258" i="3"/>
  <c r="W258" i="3"/>
  <c r="V259" i="3"/>
  <c r="W259" i="3"/>
  <c r="V260" i="3"/>
  <c r="W260" i="3"/>
  <c r="V261" i="3"/>
  <c r="W261" i="3"/>
  <c r="V262" i="3"/>
  <c r="W262" i="3"/>
  <c r="V263" i="3"/>
  <c r="W263" i="3"/>
  <c r="V264" i="3"/>
  <c r="W264" i="3"/>
  <c r="V265" i="3"/>
  <c r="W265" i="3"/>
  <c r="V266" i="3"/>
  <c r="W266" i="3"/>
  <c r="V267" i="3"/>
  <c r="W267" i="3"/>
  <c r="V268" i="3"/>
  <c r="W268" i="3"/>
  <c r="V269" i="3"/>
  <c r="W269" i="3"/>
  <c r="V270" i="3"/>
  <c r="W270" i="3"/>
  <c r="V271" i="3"/>
  <c r="W271" i="3"/>
  <c r="V272" i="3"/>
  <c r="W272" i="3"/>
  <c r="V273" i="3"/>
  <c r="W273" i="3"/>
  <c r="V274" i="3"/>
  <c r="W274" i="3"/>
  <c r="V275" i="3"/>
  <c r="W275" i="3"/>
  <c r="V276" i="3"/>
  <c r="W276" i="3"/>
  <c r="V277" i="3"/>
  <c r="W277" i="3"/>
  <c r="V278" i="3"/>
  <c r="W278" i="3"/>
  <c r="V279" i="3"/>
  <c r="W279" i="3"/>
  <c r="V280" i="3"/>
  <c r="W280" i="3"/>
  <c r="V281" i="3"/>
  <c r="W281" i="3"/>
  <c r="V282" i="3"/>
  <c r="W282" i="3"/>
  <c r="V283" i="3"/>
  <c r="W283" i="3"/>
  <c r="V284" i="3"/>
  <c r="W284" i="3"/>
  <c r="V285" i="3"/>
  <c r="W285" i="3"/>
  <c r="V286" i="3"/>
  <c r="W286" i="3"/>
  <c r="V287" i="3"/>
  <c r="W287" i="3"/>
  <c r="V288" i="3"/>
  <c r="W288" i="3"/>
  <c r="V289" i="3"/>
  <c r="W289" i="3"/>
  <c r="V290" i="3"/>
  <c r="W290" i="3"/>
  <c r="V291" i="3"/>
  <c r="W291" i="3"/>
  <c r="V292" i="3"/>
  <c r="W292" i="3"/>
  <c r="V293" i="3"/>
  <c r="W293" i="3"/>
  <c r="V294" i="3"/>
  <c r="W294" i="3"/>
  <c r="V295" i="3"/>
  <c r="W295" i="3"/>
  <c r="V296" i="3"/>
  <c r="W296" i="3"/>
  <c r="V297" i="3"/>
  <c r="W297" i="3"/>
  <c r="V298" i="3"/>
  <c r="W298" i="3"/>
  <c r="V299" i="3"/>
  <c r="W299" i="3"/>
  <c r="V300" i="3"/>
  <c r="W300" i="3"/>
  <c r="V301" i="3"/>
  <c r="W301" i="3"/>
  <c r="V302" i="3"/>
  <c r="W302" i="3"/>
  <c r="V303" i="3"/>
  <c r="W303" i="3"/>
  <c r="V304" i="3"/>
  <c r="W304" i="3"/>
  <c r="V305" i="3"/>
  <c r="W305" i="3"/>
  <c r="V306" i="3"/>
  <c r="W306" i="3"/>
  <c r="V307" i="3"/>
  <c r="W307" i="3"/>
  <c r="V308" i="3"/>
  <c r="W308" i="3"/>
  <c r="V309" i="3"/>
  <c r="W309" i="3"/>
  <c r="V310" i="3"/>
  <c r="W310" i="3"/>
  <c r="V311" i="3"/>
  <c r="W311" i="3"/>
  <c r="V312" i="3"/>
  <c r="W312" i="3"/>
  <c r="V313" i="3"/>
  <c r="W313" i="3"/>
  <c r="V314" i="3"/>
  <c r="W314" i="3"/>
  <c r="V315" i="3"/>
  <c r="W315" i="3"/>
  <c r="V316" i="3"/>
  <c r="W316" i="3"/>
  <c r="V317" i="3"/>
  <c r="W317" i="3"/>
  <c r="V318" i="3"/>
  <c r="W318" i="3"/>
  <c r="V319" i="3"/>
  <c r="W319" i="3"/>
  <c r="V320" i="3"/>
  <c r="W320" i="3"/>
  <c r="V321" i="3"/>
  <c r="W321" i="3"/>
  <c r="V322" i="3"/>
  <c r="W322" i="3"/>
  <c r="V323" i="3"/>
  <c r="W323" i="3"/>
  <c r="V324" i="3"/>
  <c r="W324" i="3"/>
  <c r="V325" i="3"/>
  <c r="W325" i="3"/>
  <c r="V326" i="3"/>
  <c r="W326" i="3"/>
  <c r="V327" i="3"/>
  <c r="W327" i="3"/>
  <c r="V328" i="3"/>
  <c r="W328" i="3"/>
  <c r="V329" i="3"/>
  <c r="W329" i="3"/>
  <c r="V330" i="3"/>
  <c r="W330" i="3"/>
  <c r="V331" i="3"/>
  <c r="W331" i="3"/>
  <c r="V332" i="3"/>
  <c r="W332" i="3"/>
  <c r="V333" i="3"/>
  <c r="W333" i="3"/>
  <c r="V334" i="3"/>
  <c r="W334" i="3"/>
  <c r="V335" i="3"/>
  <c r="W335" i="3"/>
  <c r="V336" i="3"/>
  <c r="W336" i="3"/>
  <c r="V337" i="3"/>
  <c r="W337" i="3"/>
  <c r="V338" i="3"/>
  <c r="W338" i="3"/>
  <c r="V339" i="3"/>
  <c r="W339" i="3"/>
  <c r="V340" i="3"/>
  <c r="W340" i="3"/>
  <c r="V341" i="3"/>
  <c r="W341" i="3"/>
  <c r="V342" i="3"/>
  <c r="W342" i="3"/>
  <c r="V343" i="3"/>
  <c r="W343" i="3"/>
  <c r="V344" i="3"/>
  <c r="W344" i="3"/>
  <c r="V345" i="3"/>
  <c r="W345" i="3"/>
  <c r="V346" i="3"/>
  <c r="W346" i="3"/>
  <c r="V347" i="3"/>
  <c r="W347" i="3"/>
  <c r="V348" i="3"/>
  <c r="W348" i="3"/>
  <c r="V349" i="3"/>
  <c r="W349" i="3"/>
  <c r="V350" i="3"/>
  <c r="W350" i="3"/>
  <c r="V351" i="3"/>
  <c r="W351" i="3"/>
  <c r="V352" i="3"/>
  <c r="W352" i="3"/>
  <c r="V353" i="3"/>
  <c r="W353" i="3"/>
  <c r="V354" i="3"/>
  <c r="W354" i="3"/>
  <c r="V355" i="3"/>
  <c r="W355" i="3"/>
  <c r="V356" i="3"/>
  <c r="W356" i="3"/>
  <c r="V357" i="3"/>
  <c r="W357" i="3"/>
  <c r="V358" i="3"/>
  <c r="W358" i="3"/>
  <c r="V359" i="3"/>
  <c r="W359" i="3"/>
  <c r="V360" i="3"/>
  <c r="W360" i="3"/>
  <c r="V361" i="3"/>
  <c r="W361" i="3"/>
  <c r="V362" i="3"/>
  <c r="W362" i="3"/>
  <c r="V363" i="3"/>
  <c r="W363" i="3"/>
  <c r="V364" i="3"/>
  <c r="W364" i="3"/>
  <c r="V365" i="3"/>
  <c r="W365" i="3"/>
  <c r="V366" i="3"/>
  <c r="W366" i="3"/>
  <c r="V367" i="3"/>
  <c r="W367" i="3"/>
  <c r="V368" i="3"/>
  <c r="W368" i="3"/>
  <c r="V369" i="3"/>
  <c r="W369" i="3"/>
  <c r="V370" i="3"/>
  <c r="W370" i="3"/>
  <c r="V371" i="3"/>
  <c r="W371" i="3"/>
  <c r="V372" i="3"/>
  <c r="W372" i="3"/>
  <c r="V373" i="3"/>
  <c r="W373" i="3"/>
  <c r="V374" i="3"/>
  <c r="W374" i="3"/>
  <c r="V375" i="3"/>
  <c r="W375" i="3"/>
  <c r="V376" i="3"/>
  <c r="W376" i="3"/>
  <c r="V377" i="3"/>
  <c r="W377" i="3"/>
  <c r="V378" i="3"/>
  <c r="W378" i="3"/>
  <c r="V379" i="3"/>
  <c r="W379" i="3"/>
  <c r="V380" i="3"/>
  <c r="W380" i="3"/>
  <c r="V381" i="3"/>
  <c r="W381" i="3"/>
  <c r="V382" i="3"/>
  <c r="W382" i="3"/>
  <c r="V383" i="3"/>
  <c r="W383" i="3"/>
  <c r="V384" i="3"/>
  <c r="W384" i="3"/>
  <c r="V385" i="3"/>
  <c r="W385" i="3"/>
  <c r="V386" i="3"/>
  <c r="W386" i="3"/>
  <c r="V387" i="3"/>
  <c r="W387" i="3"/>
  <c r="V388" i="3"/>
  <c r="W388" i="3"/>
  <c r="V389" i="3"/>
  <c r="W389" i="3"/>
  <c r="V390" i="3"/>
  <c r="W390" i="3"/>
  <c r="V391" i="3"/>
  <c r="W391" i="3"/>
  <c r="V392" i="3"/>
  <c r="W392" i="3"/>
  <c r="V393" i="3"/>
  <c r="W393" i="3"/>
  <c r="V394" i="3"/>
  <c r="W394" i="3"/>
  <c r="V395" i="3"/>
  <c r="W395" i="3"/>
  <c r="V396" i="3"/>
  <c r="W396" i="3"/>
  <c r="V397" i="3"/>
  <c r="W397" i="3"/>
  <c r="V398" i="3"/>
  <c r="W398" i="3"/>
  <c r="V399" i="3"/>
  <c r="W399" i="3"/>
  <c r="V400" i="3"/>
  <c r="W400" i="3"/>
  <c r="V401" i="3"/>
  <c r="W401" i="3"/>
  <c r="V402" i="3"/>
  <c r="W402" i="3"/>
  <c r="V403" i="3"/>
  <c r="W403" i="3"/>
  <c r="V404" i="3"/>
  <c r="W404" i="3"/>
  <c r="V405" i="3"/>
  <c r="W405" i="3"/>
  <c r="V406" i="3"/>
  <c r="W406" i="3"/>
  <c r="V407" i="3"/>
  <c r="W407" i="3"/>
  <c r="V408" i="3"/>
  <c r="W408" i="3"/>
  <c r="V409" i="3"/>
  <c r="W409" i="3"/>
  <c r="V410" i="3"/>
  <c r="W410" i="3"/>
  <c r="V411" i="3"/>
  <c r="W411" i="3"/>
  <c r="V412" i="3"/>
  <c r="W412" i="3"/>
  <c r="V413" i="3"/>
  <c r="W413" i="3"/>
  <c r="V414" i="3"/>
  <c r="W414" i="3"/>
  <c r="V415" i="3"/>
  <c r="W415" i="3"/>
  <c r="V416" i="3"/>
  <c r="W416" i="3"/>
  <c r="V417" i="3"/>
  <c r="W417" i="3"/>
  <c r="V418" i="3"/>
  <c r="W418" i="3"/>
  <c r="V419" i="3"/>
  <c r="W419" i="3"/>
  <c r="V420" i="3"/>
  <c r="W420" i="3"/>
  <c r="V421" i="3"/>
  <c r="W421" i="3"/>
  <c r="V422" i="3"/>
  <c r="W422" i="3"/>
  <c r="V423" i="3"/>
  <c r="W423" i="3"/>
  <c r="V424" i="3"/>
  <c r="W424" i="3"/>
  <c r="V425" i="3"/>
  <c r="W425" i="3"/>
  <c r="V426" i="3"/>
  <c r="W426" i="3"/>
  <c r="V427" i="3"/>
  <c r="W427" i="3"/>
  <c r="V428" i="3"/>
  <c r="W428" i="3"/>
  <c r="V429" i="3"/>
  <c r="W429" i="3"/>
  <c r="V430" i="3"/>
  <c r="W430" i="3"/>
  <c r="V431" i="3"/>
  <c r="W431" i="3"/>
  <c r="V432" i="3"/>
  <c r="W432" i="3"/>
  <c r="V433" i="3"/>
  <c r="W433" i="3"/>
  <c r="V434" i="3"/>
  <c r="W434" i="3"/>
  <c r="V435" i="3"/>
  <c r="W435" i="3"/>
  <c r="V436" i="3"/>
  <c r="W436" i="3"/>
  <c r="V437" i="3"/>
  <c r="W437" i="3"/>
  <c r="V438" i="3"/>
  <c r="W438" i="3"/>
  <c r="V439" i="3"/>
  <c r="W439" i="3"/>
  <c r="V440" i="3"/>
  <c r="W440" i="3"/>
  <c r="V441" i="3"/>
  <c r="W441" i="3"/>
  <c r="V442" i="3"/>
  <c r="W442" i="3"/>
  <c r="V443" i="3"/>
  <c r="W443" i="3"/>
  <c r="V444" i="3"/>
  <c r="W444" i="3"/>
  <c r="V445" i="3"/>
  <c r="W445" i="3"/>
  <c r="V446" i="3"/>
  <c r="W446" i="3"/>
  <c r="V447" i="3"/>
  <c r="W447" i="3"/>
  <c r="V448" i="3"/>
  <c r="W448" i="3"/>
  <c r="V449" i="3"/>
  <c r="W449" i="3"/>
  <c r="V450" i="3"/>
  <c r="W450" i="3"/>
  <c r="V451" i="3"/>
  <c r="W451" i="3"/>
  <c r="V452" i="3"/>
  <c r="W452" i="3"/>
  <c r="V453" i="3"/>
  <c r="W453" i="3"/>
  <c r="V454" i="3"/>
  <c r="W454" i="3"/>
  <c r="V455" i="3"/>
  <c r="W455" i="3"/>
  <c r="V456" i="3"/>
  <c r="W456" i="3"/>
  <c r="V457" i="3"/>
  <c r="W457" i="3"/>
  <c r="V458" i="3"/>
  <c r="W458" i="3"/>
  <c r="V459" i="3"/>
  <c r="W459" i="3"/>
  <c r="V460" i="3"/>
  <c r="W460" i="3"/>
  <c r="V461" i="3"/>
  <c r="W461" i="3"/>
  <c r="V462" i="3"/>
  <c r="W462" i="3"/>
  <c r="V463" i="3"/>
  <c r="W463" i="3"/>
  <c r="V464" i="3"/>
  <c r="W464" i="3"/>
  <c r="V465" i="3"/>
  <c r="W465" i="3"/>
  <c r="V466" i="3"/>
  <c r="W466" i="3"/>
  <c r="V467" i="3"/>
  <c r="W467" i="3"/>
  <c r="V468" i="3"/>
  <c r="W468" i="3"/>
  <c r="V469" i="3"/>
  <c r="W469" i="3"/>
  <c r="V470" i="3"/>
  <c r="W470" i="3"/>
  <c r="V471" i="3"/>
  <c r="W471" i="3"/>
  <c r="V472" i="3"/>
  <c r="W472" i="3"/>
  <c r="V473" i="3"/>
  <c r="W473" i="3"/>
  <c r="V474" i="3"/>
  <c r="W474" i="3"/>
  <c r="V475" i="3"/>
  <c r="W475" i="3"/>
  <c r="V476" i="3"/>
  <c r="W476" i="3"/>
  <c r="V477" i="3"/>
  <c r="W477" i="3"/>
  <c r="V478" i="3"/>
  <c r="W478" i="3"/>
  <c r="V479" i="3"/>
  <c r="W479" i="3"/>
  <c r="V480" i="3"/>
  <c r="W480" i="3"/>
  <c r="V481" i="3"/>
  <c r="W481" i="3"/>
  <c r="V482" i="3"/>
  <c r="W482" i="3"/>
  <c r="V483" i="3"/>
  <c r="W483" i="3"/>
  <c r="V484" i="3"/>
  <c r="W484" i="3"/>
  <c r="V485" i="3"/>
  <c r="W485" i="3"/>
  <c r="V486" i="3"/>
  <c r="W486" i="3"/>
  <c r="V487" i="3"/>
  <c r="W487" i="3"/>
  <c r="V488" i="3"/>
  <c r="W488" i="3"/>
  <c r="V489" i="3"/>
  <c r="W489" i="3"/>
  <c r="V490" i="3"/>
  <c r="W490" i="3"/>
  <c r="V491" i="3"/>
  <c r="W491" i="3"/>
  <c r="V492" i="3"/>
  <c r="W492" i="3"/>
  <c r="V493" i="3"/>
  <c r="W493" i="3"/>
  <c r="V494" i="3"/>
  <c r="W494" i="3"/>
  <c r="V495" i="3"/>
  <c r="W495" i="3"/>
  <c r="V496" i="3"/>
  <c r="W496" i="3"/>
  <c r="V497" i="3"/>
  <c r="W497" i="3"/>
  <c r="V498" i="3"/>
  <c r="W498" i="3"/>
  <c r="V499" i="3"/>
  <c r="W499" i="3"/>
  <c r="V500" i="3"/>
  <c r="W500" i="3"/>
  <c r="V501" i="3"/>
  <c r="W501" i="3"/>
  <c r="V502" i="3"/>
  <c r="W502" i="3"/>
  <c r="V503" i="3"/>
  <c r="W503" i="3"/>
  <c r="V504" i="3"/>
  <c r="W504" i="3"/>
  <c r="V505" i="3"/>
  <c r="W505" i="3"/>
  <c r="V506" i="3"/>
  <c r="W506" i="3"/>
  <c r="V507" i="3"/>
  <c r="W507" i="3"/>
  <c r="V508" i="3"/>
  <c r="W508" i="3"/>
  <c r="V509" i="3"/>
  <c r="W509" i="3"/>
  <c r="V510" i="3"/>
  <c r="W510" i="3"/>
  <c r="V511" i="3"/>
  <c r="W511" i="3"/>
  <c r="V512" i="3"/>
  <c r="W512" i="3"/>
  <c r="V513" i="3"/>
  <c r="W513" i="3"/>
  <c r="V514" i="3"/>
  <c r="W514" i="3"/>
  <c r="V515" i="3"/>
  <c r="W515" i="3"/>
  <c r="V516" i="3"/>
  <c r="W516" i="3"/>
  <c r="V517" i="3"/>
  <c r="W517" i="3"/>
  <c r="V518" i="3"/>
  <c r="W518" i="3"/>
  <c r="V519" i="3"/>
  <c r="W519" i="3"/>
  <c r="V520" i="3"/>
  <c r="W520" i="3"/>
  <c r="V521" i="3"/>
  <c r="W521" i="3"/>
  <c r="V522" i="3"/>
  <c r="W522" i="3"/>
  <c r="V523" i="3"/>
  <c r="W523" i="3"/>
  <c r="V524" i="3"/>
  <c r="W524" i="3"/>
  <c r="V525" i="3"/>
  <c r="W525" i="3"/>
  <c r="V526" i="3"/>
  <c r="W526" i="3"/>
  <c r="V527" i="3"/>
  <c r="W527" i="3"/>
  <c r="V528" i="3"/>
  <c r="W528" i="3"/>
  <c r="V529" i="3"/>
  <c r="W529" i="3"/>
  <c r="V530" i="3"/>
  <c r="W530" i="3"/>
  <c r="V531" i="3"/>
  <c r="W531" i="3"/>
  <c r="V532" i="3"/>
  <c r="W532" i="3"/>
  <c r="V533" i="3"/>
  <c r="W533" i="3"/>
  <c r="V534" i="3"/>
  <c r="W534" i="3"/>
  <c r="V535" i="3"/>
  <c r="W535" i="3"/>
  <c r="V536" i="3"/>
  <c r="W536" i="3"/>
  <c r="V537" i="3"/>
  <c r="W537" i="3"/>
  <c r="V538" i="3"/>
  <c r="W538" i="3"/>
  <c r="V539" i="3"/>
  <c r="W539" i="3"/>
  <c r="V540" i="3"/>
  <c r="W540" i="3"/>
  <c r="V541" i="3"/>
  <c r="W541" i="3"/>
  <c r="V542" i="3"/>
  <c r="W542" i="3"/>
  <c r="V543" i="3"/>
  <c r="W543" i="3"/>
  <c r="V544" i="3"/>
  <c r="W544" i="3"/>
  <c r="V545" i="3"/>
  <c r="W545" i="3"/>
  <c r="V546" i="3"/>
  <c r="W546" i="3"/>
  <c r="V547" i="3"/>
  <c r="W547" i="3"/>
  <c r="V548" i="3"/>
  <c r="W548" i="3"/>
  <c r="V549" i="3"/>
  <c r="W549" i="3"/>
  <c r="V550" i="3"/>
  <c r="W550" i="3"/>
  <c r="V551" i="3"/>
  <c r="W551" i="3"/>
  <c r="V552" i="3"/>
  <c r="W552" i="3"/>
  <c r="V553" i="3"/>
  <c r="W553" i="3"/>
  <c r="V554" i="3"/>
  <c r="W554" i="3"/>
  <c r="V555" i="3"/>
  <c r="W555" i="3"/>
  <c r="V556" i="3"/>
  <c r="W556" i="3"/>
  <c r="V557" i="3"/>
  <c r="W557" i="3"/>
  <c r="V558" i="3"/>
  <c r="W558" i="3"/>
  <c r="V559" i="3"/>
  <c r="W559" i="3"/>
  <c r="V560" i="3"/>
  <c r="W560" i="3"/>
  <c r="V561" i="3"/>
  <c r="W561" i="3"/>
  <c r="V562" i="3"/>
  <c r="W562" i="3"/>
  <c r="V563" i="3"/>
  <c r="W563" i="3"/>
  <c r="V564" i="3"/>
  <c r="W564" i="3"/>
  <c r="V565" i="3"/>
  <c r="W565" i="3"/>
  <c r="V566" i="3"/>
  <c r="W566" i="3"/>
  <c r="V567" i="3"/>
  <c r="W567" i="3"/>
  <c r="V568" i="3"/>
  <c r="W568" i="3"/>
  <c r="V569" i="3"/>
  <c r="W569" i="3"/>
  <c r="V570" i="3"/>
  <c r="W570" i="3"/>
  <c r="V571" i="3"/>
  <c r="W571" i="3"/>
  <c r="V572" i="3"/>
  <c r="W572" i="3"/>
  <c r="V573" i="3"/>
  <c r="W573" i="3"/>
  <c r="V574" i="3"/>
  <c r="W574" i="3"/>
  <c r="V575" i="3"/>
  <c r="W575" i="3"/>
  <c r="V576" i="3"/>
  <c r="W576" i="3"/>
  <c r="V577" i="3"/>
  <c r="W577" i="3"/>
  <c r="V578" i="3"/>
  <c r="W578" i="3"/>
  <c r="V579" i="3"/>
  <c r="W579" i="3"/>
  <c r="V580" i="3"/>
  <c r="W580" i="3"/>
  <c r="V581" i="3"/>
  <c r="W581" i="3"/>
  <c r="V582" i="3"/>
  <c r="W582" i="3"/>
  <c r="V583" i="3"/>
  <c r="W583" i="3"/>
  <c r="V584" i="3"/>
  <c r="W584" i="3"/>
  <c r="V585" i="3"/>
  <c r="W585" i="3"/>
  <c r="V586" i="3"/>
  <c r="W586" i="3"/>
  <c r="V587" i="3"/>
  <c r="W587" i="3"/>
  <c r="V588" i="3"/>
  <c r="W588" i="3"/>
  <c r="V589" i="3"/>
  <c r="W589" i="3"/>
  <c r="V590" i="3"/>
  <c r="W590" i="3"/>
  <c r="V591" i="3"/>
  <c r="W591" i="3"/>
  <c r="V592" i="3"/>
  <c r="W592" i="3"/>
  <c r="V593" i="3"/>
  <c r="W593" i="3"/>
  <c r="V594" i="3"/>
  <c r="W594" i="3"/>
  <c r="V595" i="3"/>
  <c r="W595" i="3"/>
  <c r="V596" i="3"/>
  <c r="W596" i="3"/>
  <c r="V597" i="3"/>
  <c r="W597" i="3"/>
  <c r="V598" i="3"/>
  <c r="W598" i="3"/>
  <c r="V599" i="3"/>
  <c r="W599" i="3"/>
  <c r="V600" i="3"/>
  <c r="W600" i="3"/>
  <c r="V601" i="3"/>
  <c r="W601" i="3"/>
  <c r="V602" i="3"/>
  <c r="W602" i="3"/>
  <c r="V603" i="3"/>
  <c r="W603" i="3"/>
  <c r="V604" i="3"/>
  <c r="W604" i="3"/>
  <c r="V605" i="3"/>
  <c r="W605" i="3"/>
  <c r="V606" i="3"/>
  <c r="W606" i="3"/>
  <c r="V607" i="3"/>
  <c r="W607" i="3"/>
  <c r="V608" i="3"/>
  <c r="W608" i="3"/>
  <c r="V609" i="3"/>
  <c r="W609" i="3"/>
  <c r="V610" i="3"/>
  <c r="W610" i="3"/>
  <c r="V611" i="3"/>
  <c r="W611" i="3"/>
  <c r="V612" i="3"/>
  <c r="W612" i="3"/>
  <c r="V613" i="3"/>
  <c r="W613" i="3"/>
  <c r="V614" i="3"/>
  <c r="W614" i="3"/>
  <c r="V615" i="3"/>
  <c r="W615" i="3"/>
  <c r="V616" i="3"/>
  <c r="W616" i="3"/>
  <c r="V617" i="3"/>
  <c r="W617" i="3"/>
  <c r="V618" i="3"/>
  <c r="W618" i="3"/>
  <c r="V619" i="3"/>
  <c r="W619" i="3"/>
  <c r="V620" i="3"/>
  <c r="W620" i="3"/>
  <c r="V621" i="3"/>
  <c r="W621" i="3"/>
  <c r="V622" i="3"/>
  <c r="W622" i="3"/>
  <c r="V623" i="3"/>
  <c r="W623" i="3"/>
  <c r="V624" i="3"/>
  <c r="W624" i="3"/>
  <c r="V625" i="3"/>
  <c r="W625" i="3"/>
  <c r="V626" i="3"/>
  <c r="W626" i="3"/>
  <c r="V627" i="3"/>
  <c r="W627" i="3"/>
  <c r="V628" i="3"/>
  <c r="W628" i="3"/>
  <c r="V629" i="3"/>
  <c r="W629" i="3"/>
  <c r="V630" i="3"/>
  <c r="W630" i="3"/>
  <c r="V631" i="3"/>
  <c r="W631" i="3"/>
  <c r="V632" i="3"/>
  <c r="W632" i="3"/>
  <c r="V633" i="3"/>
  <c r="W633" i="3"/>
  <c r="V634" i="3"/>
  <c r="W634" i="3"/>
  <c r="V635" i="3"/>
  <c r="W635" i="3"/>
  <c r="V636" i="3"/>
  <c r="W636" i="3"/>
  <c r="V637" i="3"/>
  <c r="W637" i="3"/>
  <c r="V638" i="3"/>
  <c r="W638" i="3"/>
  <c r="V639" i="3"/>
  <c r="W639" i="3"/>
  <c r="V640" i="3"/>
  <c r="W640" i="3"/>
  <c r="V641" i="3"/>
  <c r="W641" i="3"/>
  <c r="V642" i="3"/>
  <c r="W642" i="3"/>
  <c r="V643" i="3"/>
  <c r="W643" i="3"/>
  <c r="V644" i="3"/>
  <c r="W644" i="3"/>
  <c r="V645" i="3"/>
  <c r="W645" i="3"/>
  <c r="V646" i="3"/>
  <c r="W646" i="3"/>
  <c r="V647" i="3"/>
  <c r="W647" i="3"/>
  <c r="V648" i="3"/>
  <c r="W648" i="3"/>
  <c r="V649" i="3"/>
  <c r="W649" i="3"/>
  <c r="V650" i="3"/>
  <c r="W650" i="3"/>
  <c r="V651" i="3"/>
  <c r="W651" i="3"/>
  <c r="V652" i="3"/>
  <c r="W652" i="3"/>
  <c r="V653" i="3"/>
  <c r="W653" i="3"/>
  <c r="V654" i="3"/>
  <c r="W654" i="3"/>
  <c r="V655" i="3"/>
  <c r="W655" i="3"/>
  <c r="V656" i="3"/>
  <c r="W656" i="3"/>
  <c r="V657" i="3"/>
  <c r="W657" i="3"/>
  <c r="V658" i="3"/>
  <c r="W658" i="3"/>
  <c r="V659" i="3"/>
  <c r="W659" i="3"/>
  <c r="V660" i="3"/>
  <c r="W660" i="3"/>
  <c r="V661" i="3"/>
  <c r="W661" i="3"/>
  <c r="V662" i="3"/>
  <c r="W662" i="3"/>
  <c r="V663" i="3"/>
  <c r="W663" i="3"/>
  <c r="V664" i="3"/>
  <c r="W664" i="3"/>
  <c r="V665" i="3"/>
  <c r="W665" i="3"/>
  <c r="V666" i="3"/>
  <c r="W666" i="3"/>
  <c r="V667" i="3"/>
  <c r="W667" i="3"/>
  <c r="V668" i="3"/>
  <c r="W668" i="3"/>
  <c r="V669" i="3"/>
  <c r="W669" i="3"/>
  <c r="V670" i="3"/>
  <c r="W670" i="3"/>
  <c r="V671" i="3"/>
  <c r="W671" i="3"/>
  <c r="V672" i="3"/>
  <c r="W672" i="3"/>
  <c r="V673" i="3"/>
  <c r="W673" i="3"/>
  <c r="V674" i="3"/>
  <c r="W674" i="3"/>
  <c r="V675" i="3"/>
  <c r="W675" i="3"/>
  <c r="V676" i="3"/>
  <c r="W676" i="3"/>
  <c r="V677" i="3"/>
  <c r="W677" i="3"/>
  <c r="V678" i="3"/>
  <c r="W678" i="3"/>
  <c r="V679" i="3"/>
  <c r="W679" i="3"/>
  <c r="V680" i="3"/>
  <c r="W680" i="3"/>
  <c r="V681" i="3"/>
  <c r="W681" i="3"/>
  <c r="V682" i="3"/>
  <c r="W682" i="3"/>
  <c r="V683" i="3"/>
  <c r="W683" i="3"/>
  <c r="V684" i="3"/>
  <c r="W684" i="3"/>
  <c r="V685" i="3"/>
  <c r="W685" i="3"/>
  <c r="V686" i="3"/>
  <c r="W686" i="3"/>
  <c r="V687" i="3"/>
  <c r="W687" i="3"/>
  <c r="V688" i="3"/>
  <c r="W688" i="3"/>
  <c r="V689" i="3"/>
  <c r="W689" i="3"/>
  <c r="V690" i="3"/>
  <c r="W690" i="3"/>
  <c r="V691" i="3"/>
  <c r="W691" i="3"/>
  <c r="V692" i="3"/>
  <c r="W692" i="3"/>
  <c r="V693" i="3"/>
  <c r="W693" i="3"/>
  <c r="V694" i="3"/>
  <c r="W694" i="3"/>
  <c r="V695" i="3"/>
  <c r="W695" i="3"/>
  <c r="V696" i="3"/>
  <c r="W696" i="3"/>
  <c r="V697" i="3"/>
  <c r="W697" i="3"/>
  <c r="V698" i="3"/>
  <c r="W698" i="3"/>
  <c r="V699" i="3"/>
  <c r="W699" i="3"/>
  <c r="V700" i="3"/>
  <c r="W700" i="3"/>
  <c r="V701" i="3"/>
  <c r="W701" i="3"/>
  <c r="V702" i="3"/>
  <c r="W702" i="3"/>
  <c r="V703" i="3"/>
  <c r="W703" i="3"/>
  <c r="V704" i="3"/>
  <c r="W704" i="3"/>
  <c r="V705" i="3"/>
  <c r="W705" i="3"/>
  <c r="V706" i="3"/>
  <c r="W706" i="3"/>
  <c r="V707" i="3"/>
  <c r="W707" i="3"/>
  <c r="V708" i="3"/>
  <c r="W708" i="3"/>
  <c r="V709" i="3"/>
  <c r="W709" i="3"/>
  <c r="V710" i="3"/>
  <c r="W710" i="3"/>
  <c r="V711" i="3"/>
  <c r="W711" i="3"/>
  <c r="V712" i="3"/>
  <c r="W712" i="3"/>
  <c r="V713" i="3"/>
  <c r="W713" i="3"/>
  <c r="V714" i="3"/>
  <c r="W714" i="3"/>
  <c r="V715" i="3"/>
  <c r="W715" i="3"/>
  <c r="V716" i="3"/>
  <c r="W716" i="3"/>
  <c r="V717" i="3"/>
  <c r="W717" i="3"/>
  <c r="V718" i="3"/>
  <c r="W718" i="3"/>
  <c r="V719" i="3"/>
  <c r="W719" i="3"/>
  <c r="V720" i="3"/>
  <c r="W720" i="3"/>
  <c r="V721" i="3"/>
  <c r="W721" i="3"/>
  <c r="V722" i="3"/>
  <c r="W722" i="3"/>
  <c r="V723" i="3"/>
  <c r="W723" i="3"/>
  <c r="V724" i="3"/>
  <c r="W724" i="3"/>
  <c r="V725" i="3"/>
  <c r="W725" i="3"/>
  <c r="V726" i="3"/>
  <c r="W726" i="3"/>
  <c r="V727" i="3"/>
  <c r="W727" i="3"/>
  <c r="V728" i="3"/>
  <c r="W728" i="3"/>
  <c r="V729" i="3"/>
  <c r="W729" i="3"/>
  <c r="V730" i="3"/>
  <c r="W730" i="3"/>
  <c r="V731" i="3"/>
  <c r="W731" i="3"/>
  <c r="V732" i="3"/>
  <c r="W732" i="3"/>
  <c r="V733" i="3"/>
  <c r="W733" i="3"/>
  <c r="V734" i="3"/>
  <c r="W734" i="3"/>
  <c r="V735" i="3"/>
  <c r="W735" i="3"/>
  <c r="V736" i="3"/>
  <c r="W736" i="3"/>
  <c r="V737" i="3"/>
  <c r="W737" i="3"/>
  <c r="V738" i="3"/>
  <c r="W738" i="3"/>
  <c r="V739" i="3"/>
  <c r="W739" i="3"/>
  <c r="V740" i="3"/>
  <c r="W740" i="3"/>
  <c r="V741" i="3"/>
  <c r="W741" i="3"/>
  <c r="V742" i="3"/>
  <c r="W742" i="3"/>
  <c r="V743" i="3"/>
  <c r="W743" i="3"/>
  <c r="V744" i="3"/>
  <c r="W744" i="3"/>
  <c r="V745" i="3"/>
  <c r="W745" i="3"/>
  <c r="V746" i="3"/>
  <c r="W746" i="3"/>
  <c r="V747" i="3"/>
  <c r="W747" i="3"/>
  <c r="V748" i="3"/>
  <c r="W748" i="3"/>
  <c r="V749" i="3"/>
  <c r="W749" i="3"/>
  <c r="V750" i="3"/>
  <c r="W750" i="3"/>
  <c r="V751" i="3"/>
  <c r="W751" i="3"/>
  <c r="V752" i="3"/>
  <c r="W752" i="3"/>
  <c r="V753" i="3"/>
  <c r="W753" i="3"/>
  <c r="V754" i="3"/>
  <c r="W754" i="3"/>
  <c r="V755" i="3"/>
  <c r="W755" i="3"/>
  <c r="V756" i="3"/>
  <c r="W756" i="3"/>
  <c r="V757" i="3"/>
  <c r="W757" i="3"/>
  <c r="V758" i="3"/>
  <c r="W758" i="3"/>
  <c r="V759" i="3"/>
  <c r="W759" i="3"/>
  <c r="V760" i="3"/>
  <c r="W760" i="3"/>
  <c r="V761" i="3"/>
  <c r="W761" i="3"/>
  <c r="V762" i="3"/>
  <c r="W762" i="3"/>
  <c r="V763" i="3"/>
  <c r="W763" i="3"/>
  <c r="V764" i="3"/>
  <c r="W764" i="3"/>
  <c r="V765" i="3"/>
  <c r="W765" i="3"/>
  <c r="V766" i="3"/>
  <c r="W766" i="3"/>
  <c r="V767" i="3"/>
  <c r="W767" i="3"/>
  <c r="V768" i="3"/>
  <c r="W768" i="3"/>
  <c r="V769" i="3"/>
  <c r="W769" i="3"/>
  <c r="V770" i="3"/>
  <c r="W770" i="3"/>
  <c r="V771" i="3"/>
  <c r="W771" i="3"/>
  <c r="V772" i="3"/>
  <c r="W772" i="3"/>
  <c r="V773" i="3"/>
  <c r="W773" i="3"/>
  <c r="V774" i="3"/>
  <c r="W774" i="3"/>
  <c r="V775" i="3"/>
  <c r="W775" i="3"/>
  <c r="V776" i="3"/>
  <c r="W776" i="3"/>
  <c r="V777" i="3"/>
  <c r="W777" i="3"/>
  <c r="V778" i="3"/>
  <c r="W778" i="3"/>
  <c r="V779" i="3"/>
  <c r="W779" i="3"/>
  <c r="V780" i="3"/>
  <c r="W780" i="3"/>
  <c r="V781" i="3"/>
  <c r="W781" i="3"/>
  <c r="V782" i="3"/>
  <c r="W782" i="3"/>
  <c r="V783" i="3"/>
  <c r="W783" i="3"/>
  <c r="V784" i="3"/>
  <c r="W784" i="3"/>
  <c r="V785" i="3"/>
  <c r="W785" i="3"/>
  <c r="V786" i="3"/>
  <c r="W786" i="3"/>
  <c r="V787" i="3"/>
  <c r="W787" i="3"/>
  <c r="V788" i="3"/>
  <c r="W788" i="3"/>
  <c r="V789" i="3"/>
  <c r="W789" i="3"/>
  <c r="V790" i="3"/>
  <c r="W790" i="3"/>
  <c r="V791" i="3"/>
  <c r="W791" i="3"/>
  <c r="V792" i="3"/>
  <c r="W792" i="3"/>
  <c r="V793" i="3"/>
  <c r="W793" i="3"/>
  <c r="V794" i="3"/>
  <c r="W794" i="3"/>
  <c r="V795" i="3"/>
  <c r="W795" i="3"/>
  <c r="V796" i="3"/>
  <c r="W796" i="3"/>
  <c r="V797" i="3"/>
  <c r="W797" i="3"/>
  <c r="V798" i="3"/>
  <c r="W798" i="3"/>
  <c r="V799" i="3"/>
  <c r="W799" i="3"/>
  <c r="V800" i="3"/>
  <c r="W800" i="3"/>
  <c r="V801" i="3"/>
  <c r="W801" i="3"/>
  <c r="V802" i="3"/>
  <c r="W802" i="3"/>
  <c r="V803" i="3"/>
  <c r="W803" i="3"/>
  <c r="V804" i="3"/>
  <c r="W804" i="3"/>
  <c r="V805" i="3"/>
  <c r="W805" i="3"/>
  <c r="V806" i="3"/>
  <c r="W806" i="3"/>
  <c r="V807" i="3"/>
  <c r="W807" i="3"/>
  <c r="V808" i="3"/>
  <c r="W808" i="3"/>
  <c r="V809" i="3"/>
  <c r="W809" i="3"/>
  <c r="V810" i="3"/>
  <c r="W810" i="3"/>
  <c r="V811" i="3"/>
  <c r="W811" i="3"/>
  <c r="V812" i="3"/>
  <c r="W812" i="3"/>
  <c r="V813" i="3"/>
  <c r="W813" i="3"/>
  <c r="V814" i="3"/>
  <c r="W814" i="3"/>
  <c r="V815" i="3"/>
  <c r="W815" i="3"/>
  <c r="V816" i="3"/>
  <c r="W816" i="3"/>
  <c r="V817" i="3"/>
  <c r="W817" i="3"/>
  <c r="V818" i="3"/>
  <c r="W818" i="3"/>
  <c r="V819" i="3"/>
  <c r="W819" i="3"/>
  <c r="V820" i="3"/>
  <c r="W820" i="3"/>
  <c r="V821" i="3"/>
  <c r="W821" i="3"/>
  <c r="V822" i="3"/>
  <c r="W822" i="3"/>
  <c r="V823" i="3"/>
  <c r="W823" i="3"/>
  <c r="V824" i="3"/>
  <c r="W824" i="3"/>
  <c r="V825" i="3"/>
  <c r="W825" i="3"/>
  <c r="V826" i="3"/>
  <c r="W826" i="3"/>
  <c r="V827" i="3"/>
  <c r="W827" i="3"/>
  <c r="V828" i="3"/>
  <c r="W828" i="3"/>
  <c r="V829" i="3"/>
  <c r="W829" i="3"/>
  <c r="V830" i="3"/>
  <c r="W830" i="3"/>
  <c r="V831" i="3"/>
  <c r="W831" i="3"/>
  <c r="V832" i="3"/>
  <c r="W832" i="3"/>
  <c r="V833" i="3"/>
  <c r="W833" i="3"/>
  <c r="V834" i="3"/>
  <c r="W834" i="3"/>
  <c r="V835" i="3"/>
  <c r="W835" i="3"/>
  <c r="V836" i="3"/>
  <c r="W836" i="3"/>
  <c r="V837" i="3"/>
  <c r="W837" i="3"/>
  <c r="V838" i="3"/>
  <c r="W838" i="3"/>
  <c r="V839" i="3"/>
  <c r="W839" i="3"/>
  <c r="V840" i="3"/>
  <c r="W840" i="3"/>
  <c r="V841" i="3"/>
  <c r="W841" i="3"/>
  <c r="V842" i="3"/>
  <c r="W842" i="3"/>
  <c r="V843" i="3"/>
  <c r="W843" i="3"/>
  <c r="V844" i="3"/>
  <c r="W844" i="3"/>
  <c r="V845" i="3"/>
  <c r="W845" i="3"/>
  <c r="V846" i="3"/>
  <c r="W846" i="3"/>
  <c r="V847" i="3"/>
  <c r="W847" i="3"/>
  <c r="V848" i="3"/>
  <c r="W848" i="3"/>
  <c r="V849" i="3"/>
  <c r="W849" i="3"/>
  <c r="V850" i="3"/>
  <c r="W850" i="3"/>
  <c r="V851" i="3"/>
  <c r="W851" i="3"/>
  <c r="V852" i="3"/>
  <c r="W852" i="3"/>
  <c r="V853" i="3"/>
  <c r="W853" i="3"/>
  <c r="V854" i="3"/>
  <c r="W854" i="3"/>
  <c r="V855" i="3"/>
  <c r="W855" i="3"/>
  <c r="V856" i="3"/>
  <c r="W856" i="3"/>
  <c r="V857" i="3"/>
  <c r="W857" i="3"/>
  <c r="V858" i="3"/>
  <c r="W858" i="3"/>
  <c r="V859" i="3"/>
  <c r="W859" i="3"/>
  <c r="V860" i="3"/>
  <c r="W860" i="3"/>
  <c r="V861" i="3"/>
  <c r="W861" i="3"/>
  <c r="V862" i="3"/>
  <c r="W862" i="3"/>
  <c r="V863" i="3"/>
  <c r="W863" i="3"/>
  <c r="V864" i="3"/>
  <c r="W864" i="3"/>
  <c r="V865" i="3"/>
  <c r="W865" i="3"/>
  <c r="V866" i="3"/>
  <c r="W866" i="3"/>
  <c r="V867" i="3"/>
  <c r="W867" i="3"/>
  <c r="V868" i="3"/>
  <c r="W868" i="3"/>
  <c r="V869" i="3"/>
  <c r="W869" i="3"/>
  <c r="V870" i="3"/>
  <c r="W870" i="3"/>
  <c r="V871" i="3"/>
  <c r="W871" i="3"/>
  <c r="V872" i="3"/>
  <c r="W872" i="3"/>
  <c r="V873" i="3"/>
  <c r="W873" i="3"/>
  <c r="V874" i="3"/>
  <c r="W874" i="3"/>
  <c r="V875" i="3"/>
  <c r="W875" i="3"/>
  <c r="V876" i="3"/>
  <c r="W876" i="3"/>
  <c r="V877" i="3"/>
  <c r="W877" i="3"/>
  <c r="V878" i="3"/>
  <c r="W878" i="3"/>
  <c r="V879" i="3"/>
  <c r="W879" i="3"/>
  <c r="V880" i="3"/>
  <c r="W880" i="3"/>
  <c r="V881" i="3"/>
  <c r="W881" i="3"/>
  <c r="V882" i="3"/>
  <c r="W882" i="3"/>
  <c r="V883" i="3"/>
  <c r="W883" i="3"/>
  <c r="V884" i="3"/>
  <c r="W884" i="3"/>
  <c r="V885" i="3"/>
  <c r="W885" i="3"/>
  <c r="V886" i="3"/>
  <c r="W886" i="3"/>
  <c r="V887" i="3"/>
  <c r="W887" i="3"/>
  <c r="V888" i="3"/>
  <c r="W888" i="3"/>
  <c r="V889" i="3"/>
  <c r="W889" i="3"/>
  <c r="V890" i="3"/>
  <c r="W890" i="3"/>
  <c r="V891" i="3"/>
  <c r="W891" i="3"/>
  <c r="V892" i="3"/>
  <c r="W892" i="3"/>
  <c r="V893" i="3"/>
  <c r="W893" i="3"/>
  <c r="V894" i="3"/>
  <c r="W894" i="3"/>
  <c r="V895" i="3"/>
  <c r="W895" i="3"/>
  <c r="V896" i="3"/>
  <c r="W896" i="3"/>
  <c r="V897" i="3"/>
  <c r="W897" i="3"/>
  <c r="V898" i="3"/>
  <c r="W898" i="3"/>
  <c r="V899" i="3"/>
  <c r="W899" i="3"/>
  <c r="V900" i="3"/>
  <c r="W900" i="3"/>
  <c r="V901" i="3"/>
  <c r="W901" i="3"/>
  <c r="V902" i="3"/>
  <c r="W902" i="3"/>
  <c r="V903" i="3"/>
  <c r="W903" i="3"/>
  <c r="V904" i="3"/>
  <c r="W904" i="3"/>
  <c r="V905" i="3"/>
  <c r="W905" i="3"/>
  <c r="V906" i="3"/>
  <c r="W906" i="3"/>
  <c r="V907" i="3"/>
  <c r="W907" i="3"/>
  <c r="V908" i="3"/>
  <c r="W908" i="3"/>
  <c r="V909" i="3"/>
  <c r="W909" i="3"/>
  <c r="V910" i="3"/>
  <c r="W910" i="3"/>
  <c r="V911" i="3"/>
  <c r="W911" i="3"/>
  <c r="V912" i="3"/>
  <c r="W912" i="3"/>
  <c r="V913" i="3"/>
  <c r="W913" i="3"/>
  <c r="V914" i="3"/>
  <c r="W914" i="3"/>
  <c r="V915" i="3"/>
  <c r="W915" i="3"/>
  <c r="V916" i="3"/>
  <c r="W916" i="3"/>
  <c r="V917" i="3"/>
  <c r="W917" i="3"/>
  <c r="V918" i="3"/>
  <c r="W918" i="3"/>
  <c r="V919" i="3"/>
  <c r="W919" i="3"/>
  <c r="V920" i="3"/>
  <c r="W920" i="3"/>
  <c r="V921" i="3"/>
  <c r="W921" i="3"/>
  <c r="V922" i="3"/>
  <c r="W922" i="3"/>
  <c r="V923" i="3"/>
  <c r="W923" i="3"/>
  <c r="V924" i="3"/>
  <c r="W924" i="3"/>
  <c r="V925" i="3"/>
  <c r="W925" i="3"/>
  <c r="V926" i="3"/>
  <c r="W926" i="3"/>
  <c r="V927" i="3"/>
  <c r="W927" i="3"/>
  <c r="V928" i="3"/>
  <c r="W928" i="3"/>
  <c r="V929" i="3"/>
  <c r="W929" i="3"/>
  <c r="V930" i="3"/>
  <c r="W930" i="3"/>
  <c r="V931" i="3"/>
  <c r="W931" i="3"/>
  <c r="V932" i="3"/>
  <c r="W932" i="3"/>
  <c r="V933" i="3"/>
  <c r="W933" i="3"/>
  <c r="V934" i="3"/>
  <c r="W934" i="3"/>
  <c r="V935" i="3"/>
  <c r="W935" i="3"/>
  <c r="V936" i="3"/>
  <c r="W936" i="3"/>
  <c r="V937" i="3"/>
  <c r="W937" i="3"/>
  <c r="V938" i="3"/>
  <c r="W938" i="3"/>
  <c r="V939" i="3"/>
  <c r="W939" i="3"/>
  <c r="V940" i="3"/>
  <c r="W940" i="3"/>
  <c r="V941" i="3"/>
  <c r="W941" i="3"/>
  <c r="V942" i="3"/>
  <c r="W942" i="3"/>
  <c r="V943" i="3"/>
  <c r="W943" i="3"/>
  <c r="V944" i="3"/>
  <c r="W944" i="3"/>
  <c r="V945" i="3"/>
  <c r="W945" i="3"/>
  <c r="V946" i="3"/>
  <c r="W946" i="3"/>
  <c r="V947" i="3"/>
  <c r="W947" i="3"/>
  <c r="V948" i="3"/>
  <c r="W948" i="3"/>
  <c r="V949" i="3"/>
  <c r="W949" i="3"/>
  <c r="V950" i="3"/>
  <c r="W950" i="3"/>
  <c r="V951" i="3"/>
  <c r="W951" i="3"/>
  <c r="V952" i="3"/>
  <c r="W952" i="3"/>
  <c r="V953" i="3"/>
  <c r="W953" i="3"/>
  <c r="V954" i="3"/>
  <c r="W954" i="3"/>
  <c r="V955" i="3"/>
  <c r="W955" i="3"/>
  <c r="V956" i="3"/>
  <c r="W956" i="3"/>
  <c r="V957" i="3"/>
  <c r="W957" i="3"/>
  <c r="V958" i="3"/>
  <c r="W958" i="3"/>
  <c r="V959" i="3"/>
  <c r="W959" i="3"/>
  <c r="Y12" i="3"/>
  <c r="Y11" i="3"/>
  <c r="AG11" i="3" s="1"/>
  <c r="Y9" i="3"/>
  <c r="AF8" i="3"/>
  <c r="AM8" i="3" s="1"/>
  <c r="Y8" i="3"/>
  <c r="AF9" i="3" s="1"/>
  <c r="AG7" i="3"/>
  <c r="AP7" i="3" s="1"/>
  <c r="AF6" i="3"/>
  <c r="AM6" i="3" s="1"/>
  <c r="AF5" i="3"/>
  <c r="AM5" i="3" s="1"/>
  <c r="AF3" i="3"/>
  <c r="AM3" i="3" s="1"/>
  <c r="J14" i="3"/>
  <c r="K14" i="3"/>
  <c r="L14" i="3"/>
  <c r="M14" i="3"/>
  <c r="O14" i="3"/>
  <c r="P14" i="3"/>
  <c r="J15" i="3"/>
  <c r="K15" i="3"/>
  <c r="L15" i="3"/>
  <c r="M15" i="3"/>
  <c r="O15" i="3"/>
  <c r="P15" i="3"/>
  <c r="J16" i="3"/>
  <c r="K16" i="3"/>
  <c r="L16" i="3"/>
  <c r="M16" i="3"/>
  <c r="O16" i="3"/>
  <c r="P16" i="3"/>
  <c r="J17" i="3"/>
  <c r="K17" i="3"/>
  <c r="L17" i="3"/>
  <c r="M17" i="3"/>
  <c r="O17" i="3"/>
  <c r="P17" i="3"/>
  <c r="J18" i="3"/>
  <c r="K18" i="3"/>
  <c r="L18" i="3"/>
  <c r="M18" i="3"/>
  <c r="O18" i="3"/>
  <c r="P18" i="3"/>
  <c r="J19" i="3"/>
  <c r="K19" i="3"/>
  <c r="L19" i="3"/>
  <c r="M19" i="3"/>
  <c r="O19" i="3"/>
  <c r="P19" i="3"/>
  <c r="J20" i="3"/>
  <c r="K20" i="3"/>
  <c r="L20" i="3"/>
  <c r="M20" i="3"/>
  <c r="O20" i="3"/>
  <c r="P20" i="3"/>
  <c r="J21" i="3"/>
  <c r="K21" i="3"/>
  <c r="L21" i="3"/>
  <c r="M21" i="3"/>
  <c r="O21" i="3"/>
  <c r="P21" i="3" s="1"/>
  <c r="J22" i="3"/>
  <c r="K22" i="3"/>
  <c r="L22" i="3"/>
  <c r="M22" i="3"/>
  <c r="O22" i="3"/>
  <c r="P22" i="3"/>
  <c r="J23" i="3"/>
  <c r="K23" i="3"/>
  <c r="L23" i="3"/>
  <c r="M23" i="3"/>
  <c r="O23" i="3"/>
  <c r="P23" i="3"/>
  <c r="J24" i="3"/>
  <c r="K24" i="3"/>
  <c r="L24" i="3"/>
  <c r="M24" i="3"/>
  <c r="O24" i="3"/>
  <c r="P24" i="3"/>
  <c r="J25" i="3"/>
  <c r="K25" i="3"/>
  <c r="L25" i="3"/>
  <c r="M25" i="3"/>
  <c r="O25" i="3"/>
  <c r="P25" i="3"/>
  <c r="J26" i="3"/>
  <c r="K26" i="3"/>
  <c r="L26" i="3"/>
  <c r="M26" i="3"/>
  <c r="O26" i="3"/>
  <c r="P26" i="3"/>
  <c r="J27" i="3"/>
  <c r="K27" i="3"/>
  <c r="L27" i="3"/>
  <c r="M27" i="3"/>
  <c r="O27" i="3"/>
  <c r="P27" i="3"/>
  <c r="J28" i="3"/>
  <c r="K28" i="3"/>
  <c r="L28" i="3"/>
  <c r="M28" i="3"/>
  <c r="O28" i="3"/>
  <c r="P28" i="3"/>
  <c r="J29" i="3"/>
  <c r="K29" i="3"/>
  <c r="L29" i="3"/>
  <c r="M29" i="3"/>
  <c r="O29" i="3"/>
  <c r="P29" i="3" s="1"/>
  <c r="J30" i="3"/>
  <c r="K30" i="3"/>
  <c r="L30" i="3"/>
  <c r="M30" i="3"/>
  <c r="O30" i="3"/>
  <c r="P30" i="3"/>
  <c r="J31" i="3"/>
  <c r="K31" i="3"/>
  <c r="L31" i="3"/>
  <c r="M31" i="3"/>
  <c r="O31" i="3"/>
  <c r="P31" i="3" s="1"/>
  <c r="J32" i="3"/>
  <c r="K32" i="3"/>
  <c r="L32" i="3"/>
  <c r="M32" i="3"/>
  <c r="O32" i="3"/>
  <c r="P32" i="3"/>
  <c r="J33" i="3"/>
  <c r="K33" i="3"/>
  <c r="L33" i="3"/>
  <c r="M33" i="3"/>
  <c r="O33" i="3"/>
  <c r="P33" i="3" s="1"/>
  <c r="J34" i="3"/>
  <c r="K34" i="3"/>
  <c r="L34" i="3"/>
  <c r="M34" i="3"/>
  <c r="O34" i="3"/>
  <c r="P34" i="3"/>
  <c r="J35" i="3"/>
  <c r="K35" i="3"/>
  <c r="L35" i="3"/>
  <c r="M35" i="3"/>
  <c r="O35" i="3"/>
  <c r="P35" i="3" s="1"/>
  <c r="J36" i="3"/>
  <c r="K36" i="3"/>
  <c r="L36" i="3"/>
  <c r="M36" i="3"/>
  <c r="O36" i="3"/>
  <c r="P36" i="3"/>
  <c r="J37" i="3"/>
  <c r="K37" i="3"/>
  <c r="L37" i="3"/>
  <c r="M37" i="3"/>
  <c r="O37" i="3"/>
  <c r="P37" i="3" s="1"/>
  <c r="J38" i="3"/>
  <c r="K38" i="3"/>
  <c r="L38" i="3"/>
  <c r="M38" i="3"/>
  <c r="O38" i="3"/>
  <c r="P38" i="3"/>
  <c r="J39" i="3"/>
  <c r="K39" i="3"/>
  <c r="L39" i="3"/>
  <c r="M39" i="3"/>
  <c r="O39" i="3"/>
  <c r="P39" i="3" s="1"/>
  <c r="J40" i="3"/>
  <c r="K40" i="3"/>
  <c r="L40" i="3"/>
  <c r="M40" i="3"/>
  <c r="O40" i="3"/>
  <c r="P40" i="3"/>
  <c r="J41" i="3"/>
  <c r="K41" i="3"/>
  <c r="L41" i="3"/>
  <c r="M41" i="3"/>
  <c r="O41" i="3"/>
  <c r="P41" i="3" s="1"/>
  <c r="J42" i="3"/>
  <c r="K42" i="3"/>
  <c r="L42" i="3"/>
  <c r="M42" i="3"/>
  <c r="O42" i="3"/>
  <c r="P42" i="3"/>
  <c r="J43" i="3"/>
  <c r="K43" i="3"/>
  <c r="L43" i="3"/>
  <c r="M43" i="3"/>
  <c r="O43" i="3"/>
  <c r="P43" i="3" s="1"/>
  <c r="J44" i="3"/>
  <c r="K44" i="3"/>
  <c r="L44" i="3"/>
  <c r="M44" i="3"/>
  <c r="O44" i="3"/>
  <c r="P44" i="3"/>
  <c r="J45" i="3"/>
  <c r="K45" i="3"/>
  <c r="L45" i="3"/>
  <c r="M45" i="3"/>
  <c r="O45" i="3"/>
  <c r="P45" i="3" s="1"/>
  <c r="J46" i="3"/>
  <c r="K46" i="3"/>
  <c r="L46" i="3"/>
  <c r="M46" i="3"/>
  <c r="O46" i="3"/>
  <c r="P46" i="3"/>
  <c r="J47" i="3"/>
  <c r="K47" i="3"/>
  <c r="L47" i="3"/>
  <c r="M47" i="3"/>
  <c r="O47" i="3"/>
  <c r="P47" i="3" s="1"/>
  <c r="J48" i="3"/>
  <c r="K48" i="3"/>
  <c r="L48" i="3"/>
  <c r="M48" i="3"/>
  <c r="O48" i="3"/>
  <c r="P48" i="3"/>
  <c r="J49" i="3"/>
  <c r="K49" i="3"/>
  <c r="L49" i="3"/>
  <c r="M49" i="3"/>
  <c r="O49" i="3"/>
  <c r="P49" i="3" s="1"/>
  <c r="J50" i="3"/>
  <c r="K50" i="3"/>
  <c r="L50" i="3"/>
  <c r="M50" i="3"/>
  <c r="O50" i="3"/>
  <c r="P50" i="3"/>
  <c r="J51" i="3"/>
  <c r="K51" i="3"/>
  <c r="L51" i="3"/>
  <c r="M51" i="3"/>
  <c r="O51" i="3"/>
  <c r="P51" i="3" s="1"/>
  <c r="J52" i="3"/>
  <c r="K52" i="3"/>
  <c r="L52" i="3"/>
  <c r="M52" i="3"/>
  <c r="O52" i="3"/>
  <c r="P52" i="3"/>
  <c r="J53" i="3"/>
  <c r="K53" i="3"/>
  <c r="L53" i="3"/>
  <c r="M53" i="3"/>
  <c r="O53" i="3"/>
  <c r="P53" i="3" s="1"/>
  <c r="J54" i="3"/>
  <c r="K54" i="3"/>
  <c r="L54" i="3"/>
  <c r="M54" i="3"/>
  <c r="O54" i="3"/>
  <c r="P54" i="3"/>
  <c r="J55" i="3"/>
  <c r="K55" i="3"/>
  <c r="L55" i="3"/>
  <c r="M55" i="3"/>
  <c r="O55" i="3"/>
  <c r="P55" i="3" s="1"/>
  <c r="J56" i="3"/>
  <c r="K56" i="3"/>
  <c r="L56" i="3"/>
  <c r="M56" i="3"/>
  <c r="O56" i="3"/>
  <c r="P56" i="3"/>
  <c r="J57" i="3"/>
  <c r="K57" i="3"/>
  <c r="L57" i="3"/>
  <c r="M57" i="3"/>
  <c r="O57" i="3"/>
  <c r="P57" i="3" s="1"/>
  <c r="J58" i="3"/>
  <c r="K58" i="3"/>
  <c r="L58" i="3"/>
  <c r="M58" i="3"/>
  <c r="O58" i="3"/>
  <c r="P58" i="3"/>
  <c r="J59" i="3"/>
  <c r="K59" i="3"/>
  <c r="L59" i="3"/>
  <c r="M59" i="3"/>
  <c r="O59" i="3"/>
  <c r="P59" i="3" s="1"/>
  <c r="J60" i="3"/>
  <c r="K60" i="3"/>
  <c r="L60" i="3"/>
  <c r="M60" i="3"/>
  <c r="O60" i="3"/>
  <c r="P60" i="3"/>
  <c r="J61" i="3"/>
  <c r="K61" i="3"/>
  <c r="L61" i="3"/>
  <c r="M61" i="3"/>
  <c r="O61" i="3"/>
  <c r="P61" i="3" s="1"/>
  <c r="J62" i="3"/>
  <c r="K62" i="3"/>
  <c r="L62" i="3"/>
  <c r="M62" i="3"/>
  <c r="O62" i="3"/>
  <c r="P62" i="3"/>
  <c r="J63" i="3"/>
  <c r="K63" i="3"/>
  <c r="L63" i="3"/>
  <c r="M63" i="3"/>
  <c r="O63" i="3"/>
  <c r="P63" i="3" s="1"/>
  <c r="J64" i="3"/>
  <c r="K64" i="3"/>
  <c r="L64" i="3"/>
  <c r="M64" i="3"/>
  <c r="O64" i="3"/>
  <c r="P64" i="3"/>
  <c r="J65" i="3"/>
  <c r="K65" i="3"/>
  <c r="L65" i="3"/>
  <c r="M65" i="3"/>
  <c r="O65" i="3"/>
  <c r="P65" i="3" s="1"/>
  <c r="J66" i="3"/>
  <c r="K66" i="3"/>
  <c r="L66" i="3"/>
  <c r="M66" i="3"/>
  <c r="O66" i="3"/>
  <c r="P66" i="3"/>
  <c r="J67" i="3"/>
  <c r="K67" i="3"/>
  <c r="L67" i="3"/>
  <c r="M67" i="3"/>
  <c r="O67" i="3"/>
  <c r="P67" i="3" s="1"/>
  <c r="J68" i="3"/>
  <c r="K68" i="3"/>
  <c r="L68" i="3"/>
  <c r="M68" i="3"/>
  <c r="O68" i="3"/>
  <c r="P68" i="3"/>
  <c r="J69" i="3"/>
  <c r="K69" i="3"/>
  <c r="L69" i="3"/>
  <c r="M69" i="3"/>
  <c r="O69" i="3"/>
  <c r="P69" i="3" s="1"/>
  <c r="J70" i="3"/>
  <c r="K70" i="3"/>
  <c r="L70" i="3"/>
  <c r="M70" i="3"/>
  <c r="O70" i="3"/>
  <c r="P70" i="3"/>
  <c r="J71" i="3"/>
  <c r="K71" i="3"/>
  <c r="L71" i="3"/>
  <c r="M71" i="3"/>
  <c r="O71" i="3"/>
  <c r="P71" i="3" s="1"/>
  <c r="J72" i="3"/>
  <c r="K72" i="3"/>
  <c r="L72" i="3"/>
  <c r="M72" i="3"/>
  <c r="O72" i="3"/>
  <c r="P72" i="3"/>
  <c r="J73" i="3"/>
  <c r="K73" i="3"/>
  <c r="L73" i="3"/>
  <c r="M73" i="3"/>
  <c r="O73" i="3"/>
  <c r="P73" i="3" s="1"/>
  <c r="J74" i="3"/>
  <c r="K74" i="3"/>
  <c r="L74" i="3"/>
  <c r="M74" i="3"/>
  <c r="O74" i="3"/>
  <c r="P74" i="3"/>
  <c r="J75" i="3"/>
  <c r="K75" i="3"/>
  <c r="L75" i="3"/>
  <c r="M75" i="3"/>
  <c r="O75" i="3"/>
  <c r="P75" i="3" s="1"/>
  <c r="J76" i="3"/>
  <c r="K76" i="3"/>
  <c r="L76" i="3"/>
  <c r="M76" i="3"/>
  <c r="O76" i="3"/>
  <c r="P76" i="3"/>
  <c r="J77" i="3"/>
  <c r="K77" i="3"/>
  <c r="L77" i="3"/>
  <c r="M77" i="3"/>
  <c r="O77" i="3"/>
  <c r="P77" i="3" s="1"/>
  <c r="J78" i="3"/>
  <c r="K78" i="3"/>
  <c r="L78" i="3"/>
  <c r="M78" i="3"/>
  <c r="O78" i="3"/>
  <c r="P78" i="3"/>
  <c r="J79" i="3"/>
  <c r="K79" i="3"/>
  <c r="L79" i="3"/>
  <c r="M79" i="3"/>
  <c r="O79" i="3"/>
  <c r="P79" i="3" s="1"/>
  <c r="J80" i="3"/>
  <c r="K80" i="3"/>
  <c r="L80" i="3"/>
  <c r="M80" i="3"/>
  <c r="O80" i="3"/>
  <c r="P80" i="3"/>
  <c r="J81" i="3"/>
  <c r="K81" i="3"/>
  <c r="L81" i="3"/>
  <c r="M81" i="3"/>
  <c r="O81" i="3"/>
  <c r="P81" i="3" s="1"/>
  <c r="J82" i="3"/>
  <c r="K82" i="3"/>
  <c r="L82" i="3"/>
  <c r="M82" i="3"/>
  <c r="O82" i="3"/>
  <c r="P82" i="3"/>
  <c r="J83" i="3"/>
  <c r="K83" i="3"/>
  <c r="L83" i="3"/>
  <c r="M83" i="3"/>
  <c r="O83" i="3"/>
  <c r="P83" i="3" s="1"/>
  <c r="J84" i="3"/>
  <c r="K84" i="3"/>
  <c r="L84" i="3"/>
  <c r="M84" i="3"/>
  <c r="O84" i="3"/>
  <c r="P84" i="3"/>
  <c r="J85" i="3"/>
  <c r="K85" i="3"/>
  <c r="L85" i="3"/>
  <c r="M85" i="3"/>
  <c r="O85" i="3"/>
  <c r="P85" i="3" s="1"/>
  <c r="J86" i="3"/>
  <c r="K86" i="3"/>
  <c r="L86" i="3"/>
  <c r="M86" i="3"/>
  <c r="O86" i="3"/>
  <c r="P86" i="3"/>
  <c r="J87" i="3"/>
  <c r="K87" i="3"/>
  <c r="L87" i="3"/>
  <c r="M87" i="3"/>
  <c r="O87" i="3"/>
  <c r="P87" i="3" s="1"/>
  <c r="J88" i="3"/>
  <c r="K88" i="3"/>
  <c r="L88" i="3"/>
  <c r="M88" i="3"/>
  <c r="O88" i="3"/>
  <c r="P88" i="3"/>
  <c r="J89" i="3"/>
  <c r="K89" i="3"/>
  <c r="L89" i="3"/>
  <c r="M89" i="3"/>
  <c r="O89" i="3"/>
  <c r="P89" i="3"/>
  <c r="J90" i="3"/>
  <c r="K90" i="3"/>
  <c r="L90" i="3"/>
  <c r="M90" i="3"/>
  <c r="O90" i="3"/>
  <c r="P90" i="3"/>
  <c r="J91" i="3"/>
  <c r="K91" i="3"/>
  <c r="L91" i="3"/>
  <c r="M91" i="3"/>
  <c r="O91" i="3"/>
  <c r="P91" i="3"/>
  <c r="J92" i="3"/>
  <c r="K92" i="3"/>
  <c r="L92" i="3"/>
  <c r="M92" i="3"/>
  <c r="O92" i="3"/>
  <c r="P92" i="3"/>
  <c r="J93" i="3"/>
  <c r="K93" i="3"/>
  <c r="L93" i="3"/>
  <c r="M93" i="3"/>
  <c r="O93" i="3"/>
  <c r="P93" i="3"/>
  <c r="J94" i="3"/>
  <c r="K94" i="3"/>
  <c r="L94" i="3"/>
  <c r="M94" i="3"/>
  <c r="O94" i="3"/>
  <c r="P94" i="3"/>
  <c r="J95" i="3"/>
  <c r="K95" i="3"/>
  <c r="L95" i="3"/>
  <c r="M95" i="3"/>
  <c r="O95" i="3"/>
  <c r="P95" i="3"/>
  <c r="J96" i="3"/>
  <c r="K96" i="3"/>
  <c r="L96" i="3"/>
  <c r="M96" i="3"/>
  <c r="O96" i="3"/>
  <c r="P96" i="3"/>
  <c r="J97" i="3"/>
  <c r="K97" i="3"/>
  <c r="L97" i="3"/>
  <c r="M97" i="3"/>
  <c r="O97" i="3"/>
  <c r="P97" i="3"/>
  <c r="J98" i="3"/>
  <c r="K98" i="3"/>
  <c r="L98" i="3"/>
  <c r="M98" i="3"/>
  <c r="O98" i="3"/>
  <c r="P98" i="3"/>
  <c r="J99" i="3"/>
  <c r="K99" i="3"/>
  <c r="L99" i="3"/>
  <c r="M99" i="3"/>
  <c r="O99" i="3"/>
  <c r="P99" i="3"/>
  <c r="J100" i="3"/>
  <c r="K100" i="3"/>
  <c r="L100" i="3"/>
  <c r="M100" i="3"/>
  <c r="O100" i="3"/>
  <c r="P100" i="3"/>
  <c r="J101" i="3"/>
  <c r="K101" i="3"/>
  <c r="L101" i="3"/>
  <c r="M101" i="3"/>
  <c r="O101" i="3"/>
  <c r="P101" i="3"/>
  <c r="J102" i="3"/>
  <c r="K102" i="3"/>
  <c r="L102" i="3"/>
  <c r="M102" i="3"/>
  <c r="O102" i="3"/>
  <c r="P102" i="3"/>
  <c r="J103" i="3"/>
  <c r="K103" i="3"/>
  <c r="L103" i="3"/>
  <c r="M103" i="3"/>
  <c r="O103" i="3"/>
  <c r="P103" i="3"/>
  <c r="J104" i="3"/>
  <c r="K104" i="3"/>
  <c r="L104" i="3"/>
  <c r="M104" i="3"/>
  <c r="O104" i="3"/>
  <c r="P104" i="3"/>
  <c r="J105" i="3"/>
  <c r="K105" i="3"/>
  <c r="L105" i="3"/>
  <c r="M105" i="3"/>
  <c r="O105" i="3"/>
  <c r="P105" i="3"/>
  <c r="J106" i="3"/>
  <c r="K106" i="3"/>
  <c r="L106" i="3"/>
  <c r="M106" i="3"/>
  <c r="O106" i="3"/>
  <c r="P106" i="3"/>
  <c r="J107" i="3"/>
  <c r="K107" i="3"/>
  <c r="L107" i="3"/>
  <c r="M107" i="3"/>
  <c r="O107" i="3"/>
  <c r="P107" i="3"/>
  <c r="J108" i="3"/>
  <c r="K108" i="3"/>
  <c r="L108" i="3"/>
  <c r="M108" i="3"/>
  <c r="O108" i="3"/>
  <c r="P108" i="3"/>
  <c r="J109" i="3"/>
  <c r="K109" i="3"/>
  <c r="L109" i="3"/>
  <c r="M109" i="3"/>
  <c r="O109" i="3"/>
  <c r="P109" i="3"/>
  <c r="J110" i="3"/>
  <c r="K110" i="3"/>
  <c r="L110" i="3"/>
  <c r="M110" i="3"/>
  <c r="O110" i="3"/>
  <c r="P110" i="3"/>
  <c r="J111" i="3"/>
  <c r="K111" i="3"/>
  <c r="L111" i="3"/>
  <c r="M111" i="3"/>
  <c r="O111" i="3"/>
  <c r="P111" i="3"/>
  <c r="J112" i="3"/>
  <c r="K112" i="3"/>
  <c r="L112" i="3"/>
  <c r="M112" i="3"/>
  <c r="O112" i="3"/>
  <c r="P112" i="3"/>
  <c r="J113" i="3"/>
  <c r="K113" i="3"/>
  <c r="L113" i="3"/>
  <c r="M113" i="3"/>
  <c r="O113" i="3"/>
  <c r="P113" i="3"/>
  <c r="J114" i="3"/>
  <c r="K114" i="3"/>
  <c r="L114" i="3"/>
  <c r="M114" i="3"/>
  <c r="O114" i="3"/>
  <c r="P114" i="3"/>
  <c r="J115" i="3"/>
  <c r="K115" i="3"/>
  <c r="L115" i="3"/>
  <c r="M115" i="3"/>
  <c r="O115" i="3"/>
  <c r="P115" i="3"/>
  <c r="J116" i="3"/>
  <c r="K116" i="3"/>
  <c r="L116" i="3"/>
  <c r="M116" i="3"/>
  <c r="O116" i="3"/>
  <c r="P116" i="3"/>
  <c r="J117" i="3"/>
  <c r="K117" i="3"/>
  <c r="L117" i="3"/>
  <c r="M117" i="3"/>
  <c r="O117" i="3"/>
  <c r="P117" i="3"/>
  <c r="J118" i="3"/>
  <c r="K118" i="3"/>
  <c r="L118" i="3"/>
  <c r="M118" i="3"/>
  <c r="O118" i="3"/>
  <c r="P118" i="3"/>
  <c r="J119" i="3"/>
  <c r="K119" i="3"/>
  <c r="L119" i="3"/>
  <c r="M119" i="3"/>
  <c r="O119" i="3"/>
  <c r="P119" i="3"/>
  <c r="J120" i="3"/>
  <c r="K120" i="3"/>
  <c r="L120" i="3"/>
  <c r="M120" i="3"/>
  <c r="O120" i="3"/>
  <c r="P120" i="3"/>
  <c r="J121" i="3"/>
  <c r="K121" i="3"/>
  <c r="L121" i="3"/>
  <c r="M121" i="3"/>
  <c r="O121" i="3"/>
  <c r="P121" i="3"/>
  <c r="J122" i="3"/>
  <c r="K122" i="3"/>
  <c r="L122" i="3"/>
  <c r="M122" i="3"/>
  <c r="O122" i="3"/>
  <c r="P122" i="3"/>
  <c r="J123" i="3"/>
  <c r="K123" i="3"/>
  <c r="L123" i="3"/>
  <c r="M123" i="3"/>
  <c r="O123" i="3"/>
  <c r="P123" i="3"/>
  <c r="J124" i="3"/>
  <c r="K124" i="3"/>
  <c r="L124" i="3"/>
  <c r="M124" i="3"/>
  <c r="O124" i="3"/>
  <c r="P124" i="3"/>
  <c r="J125" i="3"/>
  <c r="K125" i="3"/>
  <c r="L125" i="3"/>
  <c r="M125" i="3"/>
  <c r="O125" i="3"/>
  <c r="P125" i="3"/>
  <c r="J126" i="3"/>
  <c r="K126" i="3"/>
  <c r="L126" i="3"/>
  <c r="M126" i="3"/>
  <c r="O126" i="3"/>
  <c r="P126" i="3"/>
  <c r="J127" i="3"/>
  <c r="K127" i="3"/>
  <c r="L127" i="3"/>
  <c r="M127" i="3"/>
  <c r="O127" i="3"/>
  <c r="P127" i="3" s="1"/>
  <c r="J128" i="3"/>
  <c r="K128" i="3"/>
  <c r="L128" i="3"/>
  <c r="M128" i="3"/>
  <c r="O128" i="3"/>
  <c r="P128" i="3" s="1"/>
  <c r="J129" i="3"/>
  <c r="K129" i="3"/>
  <c r="L129" i="3"/>
  <c r="M129" i="3"/>
  <c r="O129" i="3"/>
  <c r="P129" i="3" s="1"/>
  <c r="J130" i="3"/>
  <c r="K130" i="3"/>
  <c r="L130" i="3"/>
  <c r="M130" i="3"/>
  <c r="O130" i="3"/>
  <c r="P130" i="3"/>
  <c r="J131" i="3"/>
  <c r="K131" i="3"/>
  <c r="L131" i="3"/>
  <c r="M131" i="3"/>
  <c r="O131" i="3"/>
  <c r="P131" i="3" s="1"/>
  <c r="J132" i="3"/>
  <c r="K132" i="3"/>
  <c r="L132" i="3"/>
  <c r="M132" i="3"/>
  <c r="O132" i="3"/>
  <c r="P132" i="3"/>
  <c r="J133" i="3"/>
  <c r="K133" i="3"/>
  <c r="L133" i="3"/>
  <c r="M133" i="3"/>
  <c r="O133" i="3"/>
  <c r="P133" i="3" s="1"/>
  <c r="J134" i="3"/>
  <c r="K134" i="3"/>
  <c r="L134" i="3"/>
  <c r="M134" i="3"/>
  <c r="O134" i="3"/>
  <c r="P134" i="3"/>
  <c r="J135" i="3"/>
  <c r="K135" i="3"/>
  <c r="L135" i="3"/>
  <c r="M135" i="3"/>
  <c r="O135" i="3"/>
  <c r="P135" i="3" s="1"/>
  <c r="J136" i="3"/>
  <c r="K136" i="3"/>
  <c r="L136" i="3"/>
  <c r="M136" i="3"/>
  <c r="O136" i="3"/>
  <c r="P136" i="3"/>
  <c r="J137" i="3"/>
  <c r="K137" i="3"/>
  <c r="L137" i="3"/>
  <c r="M137" i="3"/>
  <c r="O137" i="3"/>
  <c r="P137" i="3" s="1"/>
  <c r="J138" i="3"/>
  <c r="K138" i="3"/>
  <c r="L138" i="3"/>
  <c r="M138" i="3"/>
  <c r="O138" i="3"/>
  <c r="P138" i="3"/>
  <c r="J139" i="3"/>
  <c r="K139" i="3"/>
  <c r="L139" i="3"/>
  <c r="M139" i="3"/>
  <c r="O139" i="3"/>
  <c r="P139" i="3" s="1"/>
  <c r="J140" i="3"/>
  <c r="K140" i="3"/>
  <c r="L140" i="3"/>
  <c r="M140" i="3"/>
  <c r="O140" i="3"/>
  <c r="P140" i="3"/>
  <c r="J141" i="3"/>
  <c r="K141" i="3"/>
  <c r="L141" i="3"/>
  <c r="M141" i="3"/>
  <c r="O141" i="3"/>
  <c r="P141" i="3" s="1"/>
  <c r="J142" i="3"/>
  <c r="K142" i="3"/>
  <c r="L142" i="3"/>
  <c r="M142" i="3"/>
  <c r="O142" i="3"/>
  <c r="P142" i="3"/>
  <c r="J143" i="3"/>
  <c r="K143" i="3"/>
  <c r="L143" i="3"/>
  <c r="M143" i="3"/>
  <c r="O143" i="3"/>
  <c r="P143" i="3" s="1"/>
  <c r="J144" i="3"/>
  <c r="K144" i="3"/>
  <c r="L144" i="3"/>
  <c r="M144" i="3"/>
  <c r="O144" i="3"/>
  <c r="P144" i="3"/>
  <c r="J145" i="3"/>
  <c r="K145" i="3"/>
  <c r="L145" i="3"/>
  <c r="M145" i="3"/>
  <c r="O145" i="3"/>
  <c r="P145" i="3" s="1"/>
  <c r="J146" i="3"/>
  <c r="K146" i="3"/>
  <c r="L146" i="3"/>
  <c r="M146" i="3"/>
  <c r="O146" i="3"/>
  <c r="P146" i="3"/>
  <c r="J147" i="3"/>
  <c r="K147" i="3"/>
  <c r="L147" i="3"/>
  <c r="M147" i="3"/>
  <c r="O147" i="3"/>
  <c r="P147" i="3" s="1"/>
  <c r="J148" i="3"/>
  <c r="K148" i="3"/>
  <c r="L148" i="3"/>
  <c r="M148" i="3"/>
  <c r="O148" i="3"/>
  <c r="P148" i="3"/>
  <c r="J149" i="3"/>
  <c r="K149" i="3"/>
  <c r="L149" i="3"/>
  <c r="M149" i="3"/>
  <c r="O149" i="3"/>
  <c r="P149" i="3" s="1"/>
  <c r="J150" i="3"/>
  <c r="K150" i="3"/>
  <c r="L150" i="3"/>
  <c r="M150" i="3"/>
  <c r="O150" i="3"/>
  <c r="P150" i="3"/>
  <c r="J151" i="3"/>
  <c r="K151" i="3"/>
  <c r="L151" i="3"/>
  <c r="M151" i="3"/>
  <c r="O151" i="3"/>
  <c r="P151" i="3" s="1"/>
  <c r="J152" i="3"/>
  <c r="K152" i="3"/>
  <c r="L152" i="3"/>
  <c r="M152" i="3"/>
  <c r="O152" i="3"/>
  <c r="P152" i="3" s="1"/>
  <c r="J153" i="3"/>
  <c r="K153" i="3"/>
  <c r="L153" i="3"/>
  <c r="M153" i="3"/>
  <c r="O153" i="3"/>
  <c r="P153" i="3" s="1"/>
  <c r="J154" i="3"/>
  <c r="K154" i="3"/>
  <c r="L154" i="3"/>
  <c r="M154" i="3"/>
  <c r="O154" i="3"/>
  <c r="P154" i="3" s="1"/>
  <c r="J155" i="3"/>
  <c r="K155" i="3"/>
  <c r="L155" i="3"/>
  <c r="M155" i="3"/>
  <c r="O155" i="3"/>
  <c r="P155" i="3" s="1"/>
  <c r="J156" i="3"/>
  <c r="K156" i="3"/>
  <c r="L156" i="3"/>
  <c r="M156" i="3"/>
  <c r="O156" i="3"/>
  <c r="P156" i="3" s="1"/>
  <c r="J157" i="3"/>
  <c r="K157" i="3"/>
  <c r="L157" i="3"/>
  <c r="M157" i="3"/>
  <c r="O157" i="3"/>
  <c r="P157" i="3" s="1"/>
  <c r="J158" i="3"/>
  <c r="K158" i="3"/>
  <c r="L158" i="3"/>
  <c r="M158" i="3"/>
  <c r="O158" i="3"/>
  <c r="P158" i="3" s="1"/>
  <c r="J159" i="3"/>
  <c r="K159" i="3"/>
  <c r="L159" i="3"/>
  <c r="M159" i="3"/>
  <c r="O159" i="3"/>
  <c r="P159" i="3" s="1"/>
  <c r="J160" i="3"/>
  <c r="K160" i="3"/>
  <c r="L160" i="3"/>
  <c r="M160" i="3"/>
  <c r="O160" i="3"/>
  <c r="P160" i="3" s="1"/>
  <c r="J161" i="3"/>
  <c r="K161" i="3"/>
  <c r="L161" i="3"/>
  <c r="M161" i="3"/>
  <c r="O161" i="3"/>
  <c r="P161" i="3" s="1"/>
  <c r="J162" i="3"/>
  <c r="K162" i="3"/>
  <c r="L162" i="3"/>
  <c r="M162" i="3"/>
  <c r="O162" i="3"/>
  <c r="P162" i="3" s="1"/>
  <c r="J163" i="3"/>
  <c r="K163" i="3"/>
  <c r="L163" i="3"/>
  <c r="M163" i="3"/>
  <c r="O163" i="3"/>
  <c r="P163" i="3" s="1"/>
  <c r="J164" i="3"/>
  <c r="K164" i="3"/>
  <c r="L164" i="3"/>
  <c r="M164" i="3"/>
  <c r="O164" i="3"/>
  <c r="P164" i="3" s="1"/>
  <c r="J165" i="3"/>
  <c r="K165" i="3"/>
  <c r="L165" i="3"/>
  <c r="M165" i="3"/>
  <c r="O165" i="3"/>
  <c r="P165" i="3" s="1"/>
  <c r="J166" i="3"/>
  <c r="K166" i="3"/>
  <c r="L166" i="3"/>
  <c r="M166" i="3"/>
  <c r="O166" i="3"/>
  <c r="P166" i="3" s="1"/>
  <c r="J167" i="3"/>
  <c r="K167" i="3"/>
  <c r="L167" i="3"/>
  <c r="M167" i="3"/>
  <c r="O167" i="3"/>
  <c r="P167" i="3" s="1"/>
  <c r="J168" i="3"/>
  <c r="K168" i="3"/>
  <c r="L168" i="3"/>
  <c r="M168" i="3"/>
  <c r="O168" i="3"/>
  <c r="P168" i="3" s="1"/>
  <c r="J169" i="3"/>
  <c r="K169" i="3"/>
  <c r="L169" i="3"/>
  <c r="M169" i="3"/>
  <c r="O169" i="3"/>
  <c r="P169" i="3" s="1"/>
  <c r="J170" i="3"/>
  <c r="K170" i="3"/>
  <c r="L170" i="3"/>
  <c r="M170" i="3"/>
  <c r="O170" i="3"/>
  <c r="P170" i="3" s="1"/>
  <c r="J171" i="3"/>
  <c r="K171" i="3"/>
  <c r="L171" i="3"/>
  <c r="M171" i="3"/>
  <c r="O171" i="3"/>
  <c r="P171" i="3" s="1"/>
  <c r="J172" i="3"/>
  <c r="K172" i="3"/>
  <c r="L172" i="3"/>
  <c r="M172" i="3"/>
  <c r="O172" i="3"/>
  <c r="P172" i="3" s="1"/>
  <c r="J173" i="3"/>
  <c r="K173" i="3"/>
  <c r="L173" i="3"/>
  <c r="M173" i="3"/>
  <c r="O173" i="3"/>
  <c r="P173" i="3" s="1"/>
  <c r="J174" i="3"/>
  <c r="K174" i="3"/>
  <c r="L174" i="3"/>
  <c r="M174" i="3"/>
  <c r="O174" i="3"/>
  <c r="P174" i="3" s="1"/>
  <c r="J175" i="3"/>
  <c r="K175" i="3"/>
  <c r="L175" i="3"/>
  <c r="M175" i="3"/>
  <c r="O175" i="3"/>
  <c r="P175" i="3" s="1"/>
  <c r="J176" i="3"/>
  <c r="K176" i="3"/>
  <c r="L176" i="3"/>
  <c r="M176" i="3"/>
  <c r="O176" i="3"/>
  <c r="P176" i="3" s="1"/>
  <c r="J177" i="3"/>
  <c r="K177" i="3"/>
  <c r="L177" i="3"/>
  <c r="M177" i="3"/>
  <c r="O177" i="3"/>
  <c r="P177" i="3" s="1"/>
  <c r="J178" i="3"/>
  <c r="K178" i="3"/>
  <c r="L178" i="3"/>
  <c r="M178" i="3"/>
  <c r="O178" i="3"/>
  <c r="P178" i="3" s="1"/>
  <c r="J179" i="3"/>
  <c r="K179" i="3"/>
  <c r="L179" i="3"/>
  <c r="M179" i="3"/>
  <c r="O179" i="3"/>
  <c r="P179" i="3" s="1"/>
  <c r="J180" i="3"/>
  <c r="K180" i="3"/>
  <c r="L180" i="3"/>
  <c r="M180" i="3"/>
  <c r="O180" i="3"/>
  <c r="P180" i="3" s="1"/>
  <c r="J181" i="3"/>
  <c r="K181" i="3"/>
  <c r="L181" i="3"/>
  <c r="M181" i="3"/>
  <c r="O181" i="3"/>
  <c r="P181" i="3" s="1"/>
  <c r="J182" i="3"/>
  <c r="K182" i="3"/>
  <c r="L182" i="3"/>
  <c r="M182" i="3"/>
  <c r="O182" i="3"/>
  <c r="P182" i="3" s="1"/>
  <c r="J183" i="3"/>
  <c r="K183" i="3"/>
  <c r="L183" i="3"/>
  <c r="M183" i="3"/>
  <c r="O183" i="3"/>
  <c r="P183" i="3" s="1"/>
  <c r="J184" i="3"/>
  <c r="K184" i="3"/>
  <c r="L184" i="3"/>
  <c r="M184" i="3"/>
  <c r="O184" i="3"/>
  <c r="P184" i="3" s="1"/>
  <c r="J185" i="3"/>
  <c r="K185" i="3"/>
  <c r="L185" i="3"/>
  <c r="M185" i="3"/>
  <c r="O185" i="3"/>
  <c r="P185" i="3" s="1"/>
  <c r="J186" i="3"/>
  <c r="K186" i="3"/>
  <c r="L186" i="3"/>
  <c r="M186" i="3"/>
  <c r="O186" i="3"/>
  <c r="P186" i="3" s="1"/>
  <c r="J187" i="3"/>
  <c r="K187" i="3"/>
  <c r="L187" i="3"/>
  <c r="M187" i="3"/>
  <c r="O187" i="3"/>
  <c r="P187" i="3" s="1"/>
  <c r="J188" i="3"/>
  <c r="K188" i="3"/>
  <c r="L188" i="3"/>
  <c r="M188" i="3"/>
  <c r="O188" i="3"/>
  <c r="P188" i="3" s="1"/>
  <c r="J189" i="3"/>
  <c r="K189" i="3"/>
  <c r="L189" i="3"/>
  <c r="M189" i="3"/>
  <c r="O189" i="3"/>
  <c r="P189" i="3" s="1"/>
  <c r="J190" i="3"/>
  <c r="K190" i="3"/>
  <c r="L190" i="3"/>
  <c r="M190" i="3"/>
  <c r="O190" i="3"/>
  <c r="P190" i="3" s="1"/>
  <c r="J191" i="3"/>
  <c r="K191" i="3"/>
  <c r="L191" i="3"/>
  <c r="M191" i="3"/>
  <c r="O191" i="3"/>
  <c r="P191" i="3" s="1"/>
  <c r="J192" i="3"/>
  <c r="K192" i="3"/>
  <c r="L192" i="3"/>
  <c r="M192" i="3"/>
  <c r="O192" i="3"/>
  <c r="P192" i="3" s="1"/>
  <c r="J193" i="3"/>
  <c r="K193" i="3"/>
  <c r="L193" i="3"/>
  <c r="M193" i="3"/>
  <c r="O193" i="3"/>
  <c r="P193" i="3" s="1"/>
  <c r="J194" i="3"/>
  <c r="K194" i="3"/>
  <c r="L194" i="3"/>
  <c r="M194" i="3"/>
  <c r="O194" i="3"/>
  <c r="P194" i="3" s="1"/>
  <c r="J195" i="3"/>
  <c r="K195" i="3"/>
  <c r="L195" i="3"/>
  <c r="M195" i="3"/>
  <c r="O195" i="3"/>
  <c r="P195" i="3" s="1"/>
  <c r="J196" i="3"/>
  <c r="K196" i="3"/>
  <c r="L196" i="3"/>
  <c r="M196" i="3"/>
  <c r="O196" i="3"/>
  <c r="P196" i="3" s="1"/>
  <c r="J197" i="3"/>
  <c r="K197" i="3"/>
  <c r="L197" i="3"/>
  <c r="M197" i="3"/>
  <c r="O197" i="3"/>
  <c r="P197" i="3" s="1"/>
  <c r="J198" i="3"/>
  <c r="K198" i="3"/>
  <c r="L198" i="3"/>
  <c r="M198" i="3"/>
  <c r="O198" i="3"/>
  <c r="P198" i="3" s="1"/>
  <c r="J199" i="3"/>
  <c r="K199" i="3"/>
  <c r="L199" i="3"/>
  <c r="M199" i="3"/>
  <c r="O199" i="3"/>
  <c r="P199" i="3" s="1"/>
  <c r="J200" i="3"/>
  <c r="K200" i="3"/>
  <c r="L200" i="3"/>
  <c r="M200" i="3"/>
  <c r="O200" i="3"/>
  <c r="P200" i="3" s="1"/>
  <c r="J201" i="3"/>
  <c r="K201" i="3"/>
  <c r="L201" i="3"/>
  <c r="M201" i="3"/>
  <c r="O201" i="3"/>
  <c r="P201" i="3" s="1"/>
  <c r="J202" i="3"/>
  <c r="K202" i="3"/>
  <c r="L202" i="3"/>
  <c r="M202" i="3"/>
  <c r="O202" i="3"/>
  <c r="P202" i="3" s="1"/>
  <c r="J203" i="3"/>
  <c r="K203" i="3"/>
  <c r="L203" i="3"/>
  <c r="M203" i="3"/>
  <c r="O203" i="3"/>
  <c r="P203" i="3" s="1"/>
  <c r="J204" i="3"/>
  <c r="K204" i="3"/>
  <c r="L204" i="3"/>
  <c r="M204" i="3"/>
  <c r="O204" i="3"/>
  <c r="P204" i="3" s="1"/>
  <c r="J205" i="3"/>
  <c r="K205" i="3"/>
  <c r="L205" i="3"/>
  <c r="M205" i="3"/>
  <c r="O205" i="3"/>
  <c r="P205" i="3" s="1"/>
  <c r="J206" i="3"/>
  <c r="K206" i="3"/>
  <c r="L206" i="3"/>
  <c r="M206" i="3"/>
  <c r="O206" i="3"/>
  <c r="P206" i="3" s="1"/>
  <c r="J207" i="3"/>
  <c r="K207" i="3"/>
  <c r="L207" i="3"/>
  <c r="M207" i="3"/>
  <c r="O207" i="3"/>
  <c r="P207" i="3" s="1"/>
  <c r="J208" i="3"/>
  <c r="K208" i="3"/>
  <c r="L208" i="3"/>
  <c r="M208" i="3"/>
  <c r="O208" i="3"/>
  <c r="P208" i="3" s="1"/>
  <c r="J209" i="3"/>
  <c r="K209" i="3"/>
  <c r="L209" i="3"/>
  <c r="M209" i="3"/>
  <c r="O209" i="3"/>
  <c r="P209" i="3" s="1"/>
  <c r="J210" i="3"/>
  <c r="K210" i="3"/>
  <c r="L210" i="3"/>
  <c r="M210" i="3"/>
  <c r="O210" i="3"/>
  <c r="P210" i="3" s="1"/>
  <c r="J211" i="3"/>
  <c r="K211" i="3"/>
  <c r="L211" i="3"/>
  <c r="M211" i="3"/>
  <c r="O211" i="3"/>
  <c r="P211" i="3" s="1"/>
  <c r="J212" i="3"/>
  <c r="K212" i="3"/>
  <c r="L212" i="3"/>
  <c r="M212" i="3"/>
  <c r="O212" i="3"/>
  <c r="P212" i="3" s="1"/>
  <c r="J213" i="3"/>
  <c r="K213" i="3"/>
  <c r="L213" i="3"/>
  <c r="M213" i="3"/>
  <c r="O213" i="3"/>
  <c r="P213" i="3" s="1"/>
  <c r="J214" i="3"/>
  <c r="K214" i="3"/>
  <c r="L214" i="3"/>
  <c r="M214" i="3"/>
  <c r="O214" i="3"/>
  <c r="P214" i="3" s="1"/>
  <c r="J215" i="3"/>
  <c r="K215" i="3"/>
  <c r="L215" i="3"/>
  <c r="M215" i="3"/>
  <c r="O215" i="3"/>
  <c r="P215" i="3" s="1"/>
  <c r="J216" i="3"/>
  <c r="K216" i="3"/>
  <c r="L216" i="3"/>
  <c r="M216" i="3"/>
  <c r="O216" i="3"/>
  <c r="P216" i="3" s="1"/>
  <c r="J217" i="3"/>
  <c r="K217" i="3"/>
  <c r="L217" i="3"/>
  <c r="M217" i="3"/>
  <c r="O217" i="3"/>
  <c r="P217" i="3" s="1"/>
  <c r="J218" i="3"/>
  <c r="K218" i="3"/>
  <c r="L218" i="3"/>
  <c r="M218" i="3"/>
  <c r="O218" i="3"/>
  <c r="P218" i="3" s="1"/>
  <c r="J219" i="3"/>
  <c r="K219" i="3"/>
  <c r="L219" i="3"/>
  <c r="M219" i="3"/>
  <c r="O219" i="3"/>
  <c r="P219" i="3" s="1"/>
  <c r="J220" i="3"/>
  <c r="K220" i="3"/>
  <c r="L220" i="3"/>
  <c r="M220" i="3"/>
  <c r="O220" i="3"/>
  <c r="P220" i="3" s="1"/>
  <c r="J221" i="3"/>
  <c r="K221" i="3"/>
  <c r="L221" i="3"/>
  <c r="M221" i="3"/>
  <c r="O221" i="3"/>
  <c r="P221" i="3" s="1"/>
  <c r="J222" i="3"/>
  <c r="K222" i="3"/>
  <c r="L222" i="3"/>
  <c r="M222" i="3"/>
  <c r="O222" i="3"/>
  <c r="P222" i="3" s="1"/>
  <c r="J223" i="3"/>
  <c r="K223" i="3"/>
  <c r="L223" i="3"/>
  <c r="M223" i="3"/>
  <c r="O223" i="3"/>
  <c r="P223" i="3" s="1"/>
  <c r="J224" i="3"/>
  <c r="K224" i="3"/>
  <c r="L224" i="3"/>
  <c r="M224" i="3"/>
  <c r="O224" i="3"/>
  <c r="P224" i="3" s="1"/>
  <c r="J225" i="3"/>
  <c r="K225" i="3"/>
  <c r="L225" i="3"/>
  <c r="M225" i="3"/>
  <c r="O225" i="3"/>
  <c r="P225" i="3" s="1"/>
  <c r="J226" i="3"/>
  <c r="K226" i="3"/>
  <c r="L226" i="3"/>
  <c r="M226" i="3"/>
  <c r="O226" i="3"/>
  <c r="P226" i="3" s="1"/>
  <c r="J227" i="3"/>
  <c r="K227" i="3"/>
  <c r="L227" i="3"/>
  <c r="M227" i="3"/>
  <c r="O227" i="3"/>
  <c r="P227" i="3" s="1"/>
  <c r="J228" i="3"/>
  <c r="K228" i="3"/>
  <c r="L228" i="3"/>
  <c r="M228" i="3"/>
  <c r="O228" i="3"/>
  <c r="P228" i="3" s="1"/>
  <c r="J229" i="3"/>
  <c r="K229" i="3"/>
  <c r="L229" i="3"/>
  <c r="M229" i="3"/>
  <c r="O229" i="3"/>
  <c r="P229" i="3" s="1"/>
  <c r="J230" i="3"/>
  <c r="K230" i="3"/>
  <c r="L230" i="3"/>
  <c r="M230" i="3"/>
  <c r="O230" i="3"/>
  <c r="P230" i="3" s="1"/>
  <c r="J231" i="3"/>
  <c r="K231" i="3"/>
  <c r="L231" i="3"/>
  <c r="M231" i="3"/>
  <c r="O231" i="3"/>
  <c r="P231" i="3" s="1"/>
  <c r="J232" i="3"/>
  <c r="K232" i="3"/>
  <c r="L232" i="3"/>
  <c r="M232" i="3"/>
  <c r="O232" i="3"/>
  <c r="P232" i="3" s="1"/>
  <c r="J233" i="3"/>
  <c r="K233" i="3"/>
  <c r="L233" i="3"/>
  <c r="M233" i="3"/>
  <c r="O233" i="3"/>
  <c r="P233" i="3" s="1"/>
  <c r="J234" i="3"/>
  <c r="K234" i="3"/>
  <c r="L234" i="3"/>
  <c r="M234" i="3"/>
  <c r="O234" i="3" s="1"/>
  <c r="P234" i="3" s="1"/>
  <c r="J235" i="3"/>
  <c r="K235" i="3"/>
  <c r="O235" i="3" s="1"/>
  <c r="P235" i="3" s="1"/>
  <c r="L235" i="3"/>
  <c r="M235" i="3"/>
  <c r="J236" i="3"/>
  <c r="K236" i="3"/>
  <c r="O236" i="3" s="1"/>
  <c r="P236" i="3" s="1"/>
  <c r="L236" i="3"/>
  <c r="M236" i="3"/>
  <c r="J237" i="3"/>
  <c r="K237" i="3"/>
  <c r="O237" i="3" s="1"/>
  <c r="P237" i="3" s="1"/>
  <c r="L237" i="3"/>
  <c r="M237" i="3"/>
  <c r="J238" i="3"/>
  <c r="K238" i="3"/>
  <c r="O238" i="3" s="1"/>
  <c r="P238" i="3" s="1"/>
  <c r="L238" i="3"/>
  <c r="M238" i="3"/>
  <c r="J239" i="3"/>
  <c r="K239" i="3"/>
  <c r="L239" i="3"/>
  <c r="M239" i="3"/>
  <c r="O239" i="3"/>
  <c r="P239" i="3" s="1"/>
  <c r="J240" i="3"/>
  <c r="K240" i="3"/>
  <c r="O240" i="3" s="1"/>
  <c r="P240" i="3" s="1"/>
  <c r="L240" i="3"/>
  <c r="M240" i="3"/>
  <c r="J241" i="3"/>
  <c r="K241" i="3"/>
  <c r="L241" i="3"/>
  <c r="M241" i="3"/>
  <c r="O241" i="3"/>
  <c r="P241" i="3" s="1"/>
  <c r="J242" i="3"/>
  <c r="K242" i="3"/>
  <c r="O242" i="3" s="1"/>
  <c r="P242" i="3" s="1"/>
  <c r="L242" i="3"/>
  <c r="M242" i="3"/>
  <c r="J243" i="3"/>
  <c r="K243" i="3"/>
  <c r="L243" i="3"/>
  <c r="M243" i="3"/>
  <c r="O243" i="3"/>
  <c r="P243" i="3" s="1"/>
  <c r="J244" i="3"/>
  <c r="K244" i="3"/>
  <c r="O244" i="3" s="1"/>
  <c r="P244" i="3" s="1"/>
  <c r="L244" i="3"/>
  <c r="M244" i="3"/>
  <c r="J245" i="3"/>
  <c r="K245" i="3"/>
  <c r="L245" i="3"/>
  <c r="M245" i="3"/>
  <c r="O245" i="3"/>
  <c r="P245" i="3" s="1"/>
  <c r="J246" i="3"/>
  <c r="K246" i="3"/>
  <c r="O246" i="3" s="1"/>
  <c r="P246" i="3" s="1"/>
  <c r="L246" i="3"/>
  <c r="M246" i="3"/>
  <c r="J247" i="3"/>
  <c r="K247" i="3"/>
  <c r="L247" i="3"/>
  <c r="M247" i="3"/>
  <c r="O247" i="3"/>
  <c r="P247" i="3" s="1"/>
  <c r="J248" i="3"/>
  <c r="K248" i="3"/>
  <c r="O248" i="3" s="1"/>
  <c r="P248" i="3" s="1"/>
  <c r="L248" i="3"/>
  <c r="M248" i="3"/>
  <c r="J249" i="3"/>
  <c r="K249" i="3"/>
  <c r="L249" i="3"/>
  <c r="M249" i="3"/>
  <c r="O249" i="3"/>
  <c r="P249" i="3" s="1"/>
  <c r="J250" i="3"/>
  <c r="K250" i="3"/>
  <c r="L250" i="3"/>
  <c r="M250" i="3"/>
  <c r="O250" i="3" s="1"/>
  <c r="P250" i="3" s="1"/>
  <c r="J251" i="3"/>
  <c r="K251" i="3"/>
  <c r="L251" i="3"/>
  <c r="M251" i="3"/>
  <c r="O251" i="3"/>
  <c r="P251" i="3" s="1"/>
  <c r="J252" i="3"/>
  <c r="K252" i="3"/>
  <c r="L252" i="3"/>
  <c r="M252" i="3"/>
  <c r="O252" i="3" s="1"/>
  <c r="P252" i="3" s="1"/>
  <c r="J253" i="3"/>
  <c r="K253" i="3"/>
  <c r="L253" i="3"/>
  <c r="M253" i="3"/>
  <c r="O253" i="3"/>
  <c r="P253" i="3" s="1"/>
  <c r="J254" i="3"/>
  <c r="K254" i="3"/>
  <c r="L254" i="3"/>
  <c r="M254" i="3"/>
  <c r="O254" i="3" s="1"/>
  <c r="P254" i="3" s="1"/>
  <c r="J255" i="3"/>
  <c r="K255" i="3"/>
  <c r="L255" i="3"/>
  <c r="M255" i="3"/>
  <c r="O255" i="3"/>
  <c r="P255" i="3" s="1"/>
  <c r="J256" i="3"/>
  <c r="K256" i="3"/>
  <c r="L256" i="3"/>
  <c r="M256" i="3"/>
  <c r="O256" i="3"/>
  <c r="P256" i="3" s="1"/>
  <c r="J257" i="3"/>
  <c r="K257" i="3"/>
  <c r="L257" i="3"/>
  <c r="M257" i="3"/>
  <c r="O257" i="3"/>
  <c r="P257" i="3" s="1"/>
  <c r="J258" i="3"/>
  <c r="K258" i="3"/>
  <c r="L258" i="3"/>
  <c r="M258" i="3"/>
  <c r="O258" i="3"/>
  <c r="P258" i="3" s="1"/>
  <c r="J259" i="3"/>
  <c r="K259" i="3"/>
  <c r="L259" i="3"/>
  <c r="M259" i="3"/>
  <c r="O259" i="3"/>
  <c r="P259" i="3" s="1"/>
  <c r="J260" i="3"/>
  <c r="K260" i="3"/>
  <c r="L260" i="3"/>
  <c r="M260" i="3"/>
  <c r="O260" i="3"/>
  <c r="P260" i="3" s="1"/>
  <c r="J261" i="3"/>
  <c r="K261" i="3"/>
  <c r="L261" i="3"/>
  <c r="M261" i="3"/>
  <c r="O261" i="3"/>
  <c r="P261" i="3" s="1"/>
  <c r="J262" i="3"/>
  <c r="K262" i="3"/>
  <c r="L262" i="3"/>
  <c r="M262" i="3"/>
  <c r="O262" i="3"/>
  <c r="P262" i="3" s="1"/>
  <c r="J263" i="3"/>
  <c r="K263" i="3"/>
  <c r="L263" i="3"/>
  <c r="M263" i="3"/>
  <c r="O263" i="3"/>
  <c r="P263" i="3" s="1"/>
  <c r="J264" i="3"/>
  <c r="K264" i="3"/>
  <c r="L264" i="3"/>
  <c r="M264" i="3"/>
  <c r="O264" i="3"/>
  <c r="P264" i="3" s="1"/>
  <c r="J265" i="3"/>
  <c r="K265" i="3"/>
  <c r="L265" i="3"/>
  <c r="M265" i="3"/>
  <c r="O265" i="3"/>
  <c r="P265" i="3" s="1"/>
  <c r="J266" i="3"/>
  <c r="K266" i="3"/>
  <c r="L266" i="3"/>
  <c r="M266" i="3"/>
  <c r="O266" i="3"/>
  <c r="P266" i="3" s="1"/>
  <c r="J267" i="3"/>
  <c r="K267" i="3"/>
  <c r="L267" i="3"/>
  <c r="M267" i="3"/>
  <c r="O267" i="3"/>
  <c r="P267" i="3" s="1"/>
  <c r="J268" i="3"/>
  <c r="K268" i="3"/>
  <c r="L268" i="3"/>
  <c r="M268" i="3"/>
  <c r="O268" i="3"/>
  <c r="P268" i="3" s="1"/>
  <c r="J269" i="3"/>
  <c r="K269" i="3"/>
  <c r="L269" i="3"/>
  <c r="M269" i="3"/>
  <c r="O269" i="3"/>
  <c r="P269" i="3" s="1"/>
  <c r="J270" i="3"/>
  <c r="K270" i="3"/>
  <c r="L270" i="3"/>
  <c r="M270" i="3"/>
  <c r="O270" i="3"/>
  <c r="P270" i="3" s="1"/>
  <c r="J271" i="3"/>
  <c r="K271" i="3"/>
  <c r="L271" i="3"/>
  <c r="M271" i="3"/>
  <c r="O271" i="3"/>
  <c r="P271" i="3" s="1"/>
  <c r="J272" i="3"/>
  <c r="K272" i="3"/>
  <c r="L272" i="3"/>
  <c r="M272" i="3"/>
  <c r="O272" i="3"/>
  <c r="P272" i="3" s="1"/>
  <c r="J273" i="3"/>
  <c r="K273" i="3"/>
  <c r="L273" i="3"/>
  <c r="M273" i="3"/>
  <c r="O273" i="3"/>
  <c r="P273" i="3" s="1"/>
  <c r="J274" i="3"/>
  <c r="K274" i="3"/>
  <c r="L274" i="3"/>
  <c r="M274" i="3"/>
  <c r="O274" i="3"/>
  <c r="P274" i="3" s="1"/>
  <c r="J275" i="3"/>
  <c r="K275" i="3"/>
  <c r="L275" i="3"/>
  <c r="M275" i="3"/>
  <c r="O275" i="3"/>
  <c r="P275" i="3" s="1"/>
  <c r="J276" i="3"/>
  <c r="K276" i="3"/>
  <c r="L276" i="3"/>
  <c r="M276" i="3"/>
  <c r="O276" i="3"/>
  <c r="P276" i="3" s="1"/>
  <c r="J277" i="3"/>
  <c r="K277" i="3"/>
  <c r="L277" i="3"/>
  <c r="M277" i="3"/>
  <c r="O277" i="3"/>
  <c r="P277" i="3" s="1"/>
  <c r="J278" i="3"/>
  <c r="K278" i="3"/>
  <c r="L278" i="3"/>
  <c r="M278" i="3"/>
  <c r="O278" i="3"/>
  <c r="P278" i="3" s="1"/>
  <c r="J279" i="3"/>
  <c r="K279" i="3"/>
  <c r="L279" i="3"/>
  <c r="M279" i="3"/>
  <c r="O279" i="3"/>
  <c r="P279" i="3" s="1"/>
  <c r="J280" i="3"/>
  <c r="K280" i="3"/>
  <c r="L280" i="3"/>
  <c r="M280" i="3"/>
  <c r="O280" i="3"/>
  <c r="P280" i="3" s="1"/>
  <c r="J281" i="3"/>
  <c r="K281" i="3"/>
  <c r="L281" i="3"/>
  <c r="M281" i="3"/>
  <c r="O281" i="3"/>
  <c r="P281" i="3" s="1"/>
  <c r="J282" i="3"/>
  <c r="K282" i="3"/>
  <c r="L282" i="3"/>
  <c r="M282" i="3"/>
  <c r="O282" i="3"/>
  <c r="P282" i="3" s="1"/>
  <c r="J283" i="3"/>
  <c r="K283" i="3"/>
  <c r="L283" i="3"/>
  <c r="M283" i="3"/>
  <c r="O283" i="3"/>
  <c r="P283" i="3" s="1"/>
  <c r="J284" i="3"/>
  <c r="K284" i="3"/>
  <c r="L284" i="3"/>
  <c r="M284" i="3"/>
  <c r="O284" i="3"/>
  <c r="P284" i="3" s="1"/>
  <c r="J285" i="3"/>
  <c r="K285" i="3"/>
  <c r="L285" i="3"/>
  <c r="M285" i="3"/>
  <c r="O285" i="3"/>
  <c r="P285" i="3" s="1"/>
  <c r="J286" i="3"/>
  <c r="K286" i="3"/>
  <c r="L286" i="3"/>
  <c r="M286" i="3"/>
  <c r="O286" i="3"/>
  <c r="P286" i="3" s="1"/>
  <c r="J287" i="3"/>
  <c r="K287" i="3"/>
  <c r="L287" i="3"/>
  <c r="M287" i="3"/>
  <c r="O287" i="3"/>
  <c r="P287" i="3" s="1"/>
  <c r="J288" i="3"/>
  <c r="K288" i="3"/>
  <c r="L288" i="3"/>
  <c r="M288" i="3"/>
  <c r="O288" i="3"/>
  <c r="P288" i="3" s="1"/>
  <c r="J289" i="3"/>
  <c r="K289" i="3"/>
  <c r="L289" i="3"/>
  <c r="M289" i="3"/>
  <c r="O289" i="3"/>
  <c r="P289" i="3" s="1"/>
  <c r="J290" i="3"/>
  <c r="K290" i="3"/>
  <c r="L290" i="3"/>
  <c r="M290" i="3"/>
  <c r="O290" i="3"/>
  <c r="P290" i="3" s="1"/>
  <c r="J291" i="3"/>
  <c r="K291" i="3"/>
  <c r="L291" i="3"/>
  <c r="M291" i="3"/>
  <c r="O291" i="3"/>
  <c r="P291" i="3" s="1"/>
  <c r="J292" i="3"/>
  <c r="K292" i="3"/>
  <c r="L292" i="3"/>
  <c r="M292" i="3"/>
  <c r="O292" i="3"/>
  <c r="P292" i="3" s="1"/>
  <c r="J293" i="3"/>
  <c r="K293" i="3"/>
  <c r="L293" i="3"/>
  <c r="M293" i="3"/>
  <c r="O293" i="3"/>
  <c r="P293" i="3" s="1"/>
  <c r="J294" i="3"/>
  <c r="K294" i="3"/>
  <c r="L294" i="3"/>
  <c r="M294" i="3"/>
  <c r="O294" i="3"/>
  <c r="P294" i="3" s="1"/>
  <c r="J295" i="3"/>
  <c r="K295" i="3"/>
  <c r="L295" i="3"/>
  <c r="M295" i="3"/>
  <c r="O295" i="3"/>
  <c r="P295" i="3" s="1"/>
  <c r="J296" i="3"/>
  <c r="K296" i="3"/>
  <c r="L296" i="3"/>
  <c r="M296" i="3"/>
  <c r="O296" i="3"/>
  <c r="P296" i="3" s="1"/>
  <c r="J297" i="3"/>
  <c r="K297" i="3"/>
  <c r="L297" i="3"/>
  <c r="M297" i="3"/>
  <c r="O297" i="3"/>
  <c r="P297" i="3" s="1"/>
  <c r="J298" i="3"/>
  <c r="K298" i="3"/>
  <c r="L298" i="3"/>
  <c r="M298" i="3"/>
  <c r="O298" i="3"/>
  <c r="P298" i="3" s="1"/>
  <c r="J299" i="3"/>
  <c r="K299" i="3"/>
  <c r="L299" i="3"/>
  <c r="M299" i="3"/>
  <c r="O299" i="3"/>
  <c r="P299" i="3" s="1"/>
  <c r="J300" i="3"/>
  <c r="K300" i="3"/>
  <c r="L300" i="3"/>
  <c r="M300" i="3"/>
  <c r="O300" i="3"/>
  <c r="P300" i="3" s="1"/>
  <c r="J301" i="3"/>
  <c r="K301" i="3"/>
  <c r="L301" i="3"/>
  <c r="M301" i="3"/>
  <c r="O301" i="3"/>
  <c r="P301" i="3" s="1"/>
  <c r="J302" i="3"/>
  <c r="K302" i="3"/>
  <c r="L302" i="3"/>
  <c r="M302" i="3"/>
  <c r="O302" i="3"/>
  <c r="P302" i="3" s="1"/>
  <c r="J303" i="3"/>
  <c r="K303" i="3"/>
  <c r="L303" i="3"/>
  <c r="M303" i="3"/>
  <c r="O303" i="3"/>
  <c r="P303" i="3" s="1"/>
  <c r="J304" i="3"/>
  <c r="K304" i="3"/>
  <c r="L304" i="3"/>
  <c r="M304" i="3"/>
  <c r="O304" i="3"/>
  <c r="P304" i="3" s="1"/>
  <c r="J305" i="3"/>
  <c r="K305" i="3"/>
  <c r="L305" i="3"/>
  <c r="M305" i="3"/>
  <c r="O305" i="3"/>
  <c r="P305" i="3" s="1"/>
  <c r="J306" i="3"/>
  <c r="K306" i="3"/>
  <c r="L306" i="3"/>
  <c r="M306" i="3"/>
  <c r="O306" i="3"/>
  <c r="P306" i="3" s="1"/>
  <c r="J307" i="3"/>
  <c r="K307" i="3"/>
  <c r="L307" i="3"/>
  <c r="M307" i="3"/>
  <c r="O307" i="3"/>
  <c r="P307" i="3" s="1"/>
  <c r="J308" i="3"/>
  <c r="K308" i="3"/>
  <c r="L308" i="3"/>
  <c r="M308" i="3"/>
  <c r="O308" i="3"/>
  <c r="P308" i="3" s="1"/>
  <c r="J309" i="3"/>
  <c r="K309" i="3"/>
  <c r="L309" i="3"/>
  <c r="M309" i="3"/>
  <c r="O309" i="3"/>
  <c r="P309" i="3" s="1"/>
  <c r="J310" i="3"/>
  <c r="K310" i="3"/>
  <c r="L310" i="3"/>
  <c r="M310" i="3"/>
  <c r="O310" i="3"/>
  <c r="P310" i="3" s="1"/>
  <c r="J311" i="3"/>
  <c r="K311" i="3"/>
  <c r="L311" i="3"/>
  <c r="M311" i="3"/>
  <c r="O311" i="3"/>
  <c r="P311" i="3" s="1"/>
  <c r="J312" i="3"/>
  <c r="K312" i="3"/>
  <c r="L312" i="3"/>
  <c r="M312" i="3"/>
  <c r="O312" i="3"/>
  <c r="P312" i="3" s="1"/>
  <c r="J313" i="3"/>
  <c r="K313" i="3"/>
  <c r="L313" i="3"/>
  <c r="M313" i="3"/>
  <c r="O313" i="3"/>
  <c r="P313" i="3" s="1"/>
  <c r="J314" i="3"/>
  <c r="K314" i="3"/>
  <c r="L314" i="3"/>
  <c r="M314" i="3"/>
  <c r="O314" i="3"/>
  <c r="P314" i="3" s="1"/>
  <c r="J315" i="3"/>
  <c r="K315" i="3"/>
  <c r="L315" i="3"/>
  <c r="M315" i="3"/>
  <c r="O315" i="3"/>
  <c r="P315" i="3" s="1"/>
  <c r="J316" i="3"/>
  <c r="K316" i="3"/>
  <c r="L316" i="3"/>
  <c r="M316" i="3"/>
  <c r="O316" i="3"/>
  <c r="P316" i="3" s="1"/>
  <c r="J317" i="3"/>
  <c r="K317" i="3"/>
  <c r="L317" i="3"/>
  <c r="M317" i="3"/>
  <c r="O317" i="3"/>
  <c r="P317" i="3" s="1"/>
  <c r="J318" i="3"/>
  <c r="K318" i="3"/>
  <c r="L318" i="3"/>
  <c r="M318" i="3"/>
  <c r="O318" i="3"/>
  <c r="P318" i="3" s="1"/>
  <c r="J319" i="3"/>
  <c r="K319" i="3"/>
  <c r="L319" i="3"/>
  <c r="M319" i="3"/>
  <c r="O319" i="3"/>
  <c r="P319" i="3" s="1"/>
  <c r="J320" i="3"/>
  <c r="K320" i="3"/>
  <c r="L320" i="3"/>
  <c r="M320" i="3"/>
  <c r="O320" i="3"/>
  <c r="P320" i="3" s="1"/>
  <c r="J321" i="3"/>
  <c r="K321" i="3"/>
  <c r="L321" i="3"/>
  <c r="M321" i="3"/>
  <c r="O321" i="3"/>
  <c r="P321" i="3" s="1"/>
  <c r="J322" i="3"/>
  <c r="K322" i="3"/>
  <c r="L322" i="3"/>
  <c r="M322" i="3"/>
  <c r="O322" i="3"/>
  <c r="P322" i="3" s="1"/>
  <c r="J323" i="3"/>
  <c r="K323" i="3"/>
  <c r="L323" i="3"/>
  <c r="M323" i="3"/>
  <c r="O323" i="3"/>
  <c r="P323" i="3" s="1"/>
  <c r="J324" i="3"/>
  <c r="K324" i="3"/>
  <c r="L324" i="3"/>
  <c r="M324" i="3"/>
  <c r="O324" i="3"/>
  <c r="P324" i="3" s="1"/>
  <c r="J325" i="3"/>
  <c r="K325" i="3"/>
  <c r="L325" i="3"/>
  <c r="M325" i="3"/>
  <c r="O325" i="3"/>
  <c r="P325" i="3" s="1"/>
  <c r="J326" i="3"/>
  <c r="K326" i="3"/>
  <c r="L326" i="3"/>
  <c r="M326" i="3"/>
  <c r="O326" i="3"/>
  <c r="P326" i="3" s="1"/>
  <c r="J327" i="3"/>
  <c r="K327" i="3"/>
  <c r="L327" i="3"/>
  <c r="M327" i="3"/>
  <c r="O327" i="3"/>
  <c r="P327" i="3" s="1"/>
  <c r="J328" i="3"/>
  <c r="K328" i="3"/>
  <c r="L328" i="3"/>
  <c r="M328" i="3"/>
  <c r="O328" i="3"/>
  <c r="P328" i="3" s="1"/>
  <c r="J329" i="3"/>
  <c r="K329" i="3"/>
  <c r="L329" i="3"/>
  <c r="M329" i="3"/>
  <c r="O329" i="3"/>
  <c r="P329" i="3" s="1"/>
  <c r="J330" i="3"/>
  <c r="K330" i="3"/>
  <c r="L330" i="3"/>
  <c r="M330" i="3"/>
  <c r="O330" i="3"/>
  <c r="P330" i="3" s="1"/>
  <c r="J331" i="3"/>
  <c r="K331" i="3"/>
  <c r="L331" i="3"/>
  <c r="M331" i="3"/>
  <c r="O331" i="3"/>
  <c r="P331" i="3" s="1"/>
  <c r="J332" i="3"/>
  <c r="K332" i="3"/>
  <c r="L332" i="3"/>
  <c r="M332" i="3"/>
  <c r="O332" i="3"/>
  <c r="P332" i="3" s="1"/>
  <c r="J333" i="3"/>
  <c r="K333" i="3"/>
  <c r="L333" i="3"/>
  <c r="M333" i="3"/>
  <c r="O333" i="3"/>
  <c r="P333" i="3" s="1"/>
  <c r="J334" i="3"/>
  <c r="K334" i="3"/>
  <c r="L334" i="3"/>
  <c r="M334" i="3"/>
  <c r="O334" i="3"/>
  <c r="P334" i="3" s="1"/>
  <c r="J335" i="3"/>
  <c r="K335" i="3"/>
  <c r="L335" i="3"/>
  <c r="M335" i="3"/>
  <c r="O335" i="3"/>
  <c r="P335" i="3" s="1"/>
  <c r="J336" i="3"/>
  <c r="K336" i="3"/>
  <c r="L336" i="3"/>
  <c r="M336" i="3"/>
  <c r="O336" i="3"/>
  <c r="P336" i="3" s="1"/>
  <c r="J337" i="3"/>
  <c r="K337" i="3"/>
  <c r="L337" i="3"/>
  <c r="M337" i="3"/>
  <c r="O337" i="3"/>
  <c r="P337" i="3" s="1"/>
  <c r="J338" i="3"/>
  <c r="K338" i="3"/>
  <c r="L338" i="3"/>
  <c r="M338" i="3"/>
  <c r="O338" i="3"/>
  <c r="P338" i="3" s="1"/>
  <c r="J339" i="3"/>
  <c r="K339" i="3"/>
  <c r="L339" i="3"/>
  <c r="M339" i="3"/>
  <c r="O339" i="3"/>
  <c r="P339" i="3" s="1"/>
  <c r="J340" i="3"/>
  <c r="K340" i="3"/>
  <c r="L340" i="3"/>
  <c r="M340" i="3"/>
  <c r="O340" i="3"/>
  <c r="P340" i="3" s="1"/>
  <c r="J341" i="3"/>
  <c r="K341" i="3"/>
  <c r="L341" i="3"/>
  <c r="M341" i="3"/>
  <c r="O341" i="3"/>
  <c r="P341" i="3" s="1"/>
  <c r="J342" i="3"/>
  <c r="K342" i="3"/>
  <c r="L342" i="3"/>
  <c r="M342" i="3"/>
  <c r="O342" i="3"/>
  <c r="P342" i="3" s="1"/>
  <c r="J343" i="3"/>
  <c r="K343" i="3"/>
  <c r="L343" i="3"/>
  <c r="M343" i="3"/>
  <c r="O343" i="3"/>
  <c r="P343" i="3" s="1"/>
  <c r="J344" i="3"/>
  <c r="K344" i="3"/>
  <c r="L344" i="3"/>
  <c r="M344" i="3"/>
  <c r="O344" i="3"/>
  <c r="P344" i="3" s="1"/>
  <c r="J345" i="3"/>
  <c r="K345" i="3"/>
  <c r="L345" i="3"/>
  <c r="M345" i="3"/>
  <c r="O345" i="3"/>
  <c r="P345" i="3" s="1"/>
  <c r="J346" i="3"/>
  <c r="K346" i="3"/>
  <c r="L346" i="3"/>
  <c r="M346" i="3"/>
  <c r="O346" i="3"/>
  <c r="P346" i="3" s="1"/>
  <c r="J347" i="3"/>
  <c r="K347" i="3"/>
  <c r="L347" i="3"/>
  <c r="M347" i="3"/>
  <c r="O347" i="3"/>
  <c r="P347" i="3" s="1"/>
  <c r="J348" i="3"/>
  <c r="K348" i="3"/>
  <c r="L348" i="3"/>
  <c r="M348" i="3"/>
  <c r="O348" i="3"/>
  <c r="P348" i="3" s="1"/>
  <c r="J349" i="3"/>
  <c r="K349" i="3"/>
  <c r="L349" i="3"/>
  <c r="M349" i="3"/>
  <c r="O349" i="3"/>
  <c r="P349" i="3" s="1"/>
  <c r="J350" i="3"/>
  <c r="K350" i="3"/>
  <c r="L350" i="3"/>
  <c r="M350" i="3"/>
  <c r="O350" i="3"/>
  <c r="P350" i="3" s="1"/>
  <c r="J351" i="3"/>
  <c r="K351" i="3"/>
  <c r="L351" i="3"/>
  <c r="M351" i="3"/>
  <c r="O351" i="3"/>
  <c r="P351" i="3" s="1"/>
  <c r="J352" i="3"/>
  <c r="K352" i="3"/>
  <c r="L352" i="3"/>
  <c r="M352" i="3"/>
  <c r="O352" i="3"/>
  <c r="P352" i="3" s="1"/>
  <c r="J353" i="3"/>
  <c r="K353" i="3"/>
  <c r="L353" i="3"/>
  <c r="M353" i="3"/>
  <c r="O353" i="3"/>
  <c r="P353" i="3" s="1"/>
  <c r="J354" i="3"/>
  <c r="K354" i="3"/>
  <c r="L354" i="3"/>
  <c r="M354" i="3"/>
  <c r="O354" i="3"/>
  <c r="P354" i="3" s="1"/>
  <c r="J355" i="3"/>
  <c r="K355" i="3"/>
  <c r="L355" i="3"/>
  <c r="M355" i="3"/>
  <c r="O355" i="3"/>
  <c r="P355" i="3" s="1"/>
  <c r="J356" i="3"/>
  <c r="K356" i="3"/>
  <c r="L356" i="3"/>
  <c r="M356" i="3"/>
  <c r="O356" i="3"/>
  <c r="P356" i="3" s="1"/>
  <c r="J357" i="3"/>
  <c r="K357" i="3"/>
  <c r="L357" i="3"/>
  <c r="M357" i="3"/>
  <c r="O357" i="3"/>
  <c r="P357" i="3" s="1"/>
  <c r="J358" i="3"/>
  <c r="K358" i="3"/>
  <c r="L358" i="3"/>
  <c r="M358" i="3"/>
  <c r="O358" i="3"/>
  <c r="P358" i="3" s="1"/>
  <c r="J359" i="3"/>
  <c r="K359" i="3"/>
  <c r="L359" i="3"/>
  <c r="M359" i="3"/>
  <c r="O359" i="3"/>
  <c r="P359" i="3" s="1"/>
  <c r="J360" i="3"/>
  <c r="K360" i="3"/>
  <c r="L360" i="3"/>
  <c r="M360" i="3"/>
  <c r="O360" i="3"/>
  <c r="P360" i="3" s="1"/>
  <c r="J361" i="3"/>
  <c r="K361" i="3"/>
  <c r="L361" i="3"/>
  <c r="M361" i="3"/>
  <c r="O361" i="3"/>
  <c r="P361" i="3" s="1"/>
  <c r="J362" i="3"/>
  <c r="K362" i="3"/>
  <c r="L362" i="3"/>
  <c r="M362" i="3"/>
  <c r="O362" i="3"/>
  <c r="P362" i="3" s="1"/>
  <c r="J363" i="3"/>
  <c r="K363" i="3"/>
  <c r="L363" i="3"/>
  <c r="M363" i="3"/>
  <c r="O363" i="3"/>
  <c r="P363" i="3" s="1"/>
  <c r="J364" i="3"/>
  <c r="K364" i="3"/>
  <c r="L364" i="3"/>
  <c r="M364" i="3"/>
  <c r="O364" i="3"/>
  <c r="P364" i="3" s="1"/>
  <c r="J365" i="3"/>
  <c r="K365" i="3"/>
  <c r="L365" i="3"/>
  <c r="M365" i="3"/>
  <c r="O365" i="3"/>
  <c r="P365" i="3" s="1"/>
  <c r="J366" i="3"/>
  <c r="K366" i="3"/>
  <c r="L366" i="3"/>
  <c r="M366" i="3"/>
  <c r="O366" i="3"/>
  <c r="P366" i="3" s="1"/>
  <c r="J367" i="3"/>
  <c r="K367" i="3"/>
  <c r="L367" i="3"/>
  <c r="M367" i="3"/>
  <c r="O367" i="3"/>
  <c r="P367" i="3" s="1"/>
  <c r="J368" i="3"/>
  <c r="K368" i="3"/>
  <c r="L368" i="3"/>
  <c r="M368" i="3"/>
  <c r="O368" i="3"/>
  <c r="P368" i="3" s="1"/>
  <c r="J369" i="3"/>
  <c r="K369" i="3"/>
  <c r="L369" i="3"/>
  <c r="M369" i="3"/>
  <c r="O369" i="3"/>
  <c r="P369" i="3" s="1"/>
  <c r="J370" i="3"/>
  <c r="K370" i="3"/>
  <c r="L370" i="3"/>
  <c r="M370" i="3"/>
  <c r="O370" i="3"/>
  <c r="P370" i="3" s="1"/>
  <c r="J371" i="3"/>
  <c r="K371" i="3"/>
  <c r="L371" i="3"/>
  <c r="M371" i="3"/>
  <c r="O371" i="3"/>
  <c r="P371" i="3" s="1"/>
  <c r="J372" i="3"/>
  <c r="K372" i="3"/>
  <c r="L372" i="3"/>
  <c r="M372" i="3"/>
  <c r="O372" i="3"/>
  <c r="P372" i="3" s="1"/>
  <c r="J373" i="3"/>
  <c r="K373" i="3"/>
  <c r="L373" i="3"/>
  <c r="M373" i="3"/>
  <c r="O373" i="3"/>
  <c r="P373" i="3" s="1"/>
  <c r="J374" i="3"/>
  <c r="K374" i="3"/>
  <c r="L374" i="3"/>
  <c r="M374" i="3"/>
  <c r="O374" i="3"/>
  <c r="P374" i="3" s="1"/>
  <c r="J375" i="3"/>
  <c r="K375" i="3"/>
  <c r="L375" i="3"/>
  <c r="M375" i="3"/>
  <c r="O375" i="3"/>
  <c r="P375" i="3" s="1"/>
  <c r="J376" i="3"/>
  <c r="K376" i="3"/>
  <c r="L376" i="3"/>
  <c r="M376" i="3"/>
  <c r="O376" i="3"/>
  <c r="P376" i="3" s="1"/>
  <c r="J377" i="3"/>
  <c r="K377" i="3"/>
  <c r="L377" i="3"/>
  <c r="M377" i="3"/>
  <c r="O377" i="3"/>
  <c r="P377" i="3" s="1"/>
  <c r="J378" i="3"/>
  <c r="K378" i="3"/>
  <c r="L378" i="3"/>
  <c r="M378" i="3"/>
  <c r="O378" i="3"/>
  <c r="P378" i="3" s="1"/>
  <c r="J379" i="3"/>
  <c r="K379" i="3"/>
  <c r="L379" i="3"/>
  <c r="M379" i="3"/>
  <c r="O379" i="3"/>
  <c r="P379" i="3" s="1"/>
  <c r="J380" i="3"/>
  <c r="K380" i="3"/>
  <c r="L380" i="3"/>
  <c r="M380" i="3"/>
  <c r="O380" i="3"/>
  <c r="P380" i="3" s="1"/>
  <c r="J381" i="3"/>
  <c r="K381" i="3"/>
  <c r="L381" i="3"/>
  <c r="M381" i="3"/>
  <c r="O381" i="3"/>
  <c r="P381" i="3" s="1"/>
  <c r="J382" i="3"/>
  <c r="K382" i="3"/>
  <c r="L382" i="3"/>
  <c r="M382" i="3"/>
  <c r="O382" i="3"/>
  <c r="P382" i="3" s="1"/>
  <c r="J383" i="3"/>
  <c r="K383" i="3"/>
  <c r="L383" i="3"/>
  <c r="M383" i="3"/>
  <c r="O383" i="3"/>
  <c r="P383" i="3" s="1"/>
  <c r="J384" i="3"/>
  <c r="K384" i="3"/>
  <c r="L384" i="3"/>
  <c r="M384" i="3"/>
  <c r="O384" i="3"/>
  <c r="P384" i="3" s="1"/>
  <c r="J385" i="3"/>
  <c r="K385" i="3"/>
  <c r="L385" i="3"/>
  <c r="M385" i="3"/>
  <c r="O385" i="3"/>
  <c r="P385" i="3" s="1"/>
  <c r="J386" i="3"/>
  <c r="K386" i="3"/>
  <c r="L386" i="3"/>
  <c r="M386" i="3"/>
  <c r="O386" i="3"/>
  <c r="P386" i="3" s="1"/>
  <c r="J387" i="3"/>
  <c r="K387" i="3"/>
  <c r="L387" i="3"/>
  <c r="M387" i="3"/>
  <c r="O387" i="3"/>
  <c r="P387" i="3" s="1"/>
  <c r="J388" i="3"/>
  <c r="K388" i="3"/>
  <c r="L388" i="3"/>
  <c r="M388" i="3"/>
  <c r="O388" i="3"/>
  <c r="P388" i="3" s="1"/>
  <c r="J389" i="3"/>
  <c r="K389" i="3"/>
  <c r="L389" i="3"/>
  <c r="M389" i="3"/>
  <c r="O389" i="3"/>
  <c r="P389" i="3" s="1"/>
  <c r="J390" i="3"/>
  <c r="K390" i="3"/>
  <c r="L390" i="3"/>
  <c r="M390" i="3"/>
  <c r="O390" i="3"/>
  <c r="P390" i="3" s="1"/>
  <c r="J391" i="3"/>
  <c r="K391" i="3"/>
  <c r="L391" i="3"/>
  <c r="M391" i="3"/>
  <c r="O391" i="3"/>
  <c r="P391" i="3" s="1"/>
  <c r="J392" i="3"/>
  <c r="K392" i="3"/>
  <c r="L392" i="3"/>
  <c r="M392" i="3"/>
  <c r="O392" i="3"/>
  <c r="P392" i="3" s="1"/>
  <c r="J393" i="3"/>
  <c r="K393" i="3"/>
  <c r="L393" i="3"/>
  <c r="M393" i="3"/>
  <c r="O393" i="3"/>
  <c r="P393" i="3" s="1"/>
  <c r="J394" i="3"/>
  <c r="K394" i="3"/>
  <c r="L394" i="3"/>
  <c r="M394" i="3"/>
  <c r="O394" i="3"/>
  <c r="P394" i="3" s="1"/>
  <c r="J395" i="3"/>
  <c r="K395" i="3"/>
  <c r="L395" i="3"/>
  <c r="M395" i="3"/>
  <c r="O395" i="3"/>
  <c r="P395" i="3" s="1"/>
  <c r="J396" i="3"/>
  <c r="K396" i="3"/>
  <c r="L396" i="3"/>
  <c r="M396" i="3"/>
  <c r="O396" i="3"/>
  <c r="P396" i="3" s="1"/>
  <c r="J397" i="3"/>
  <c r="K397" i="3"/>
  <c r="L397" i="3"/>
  <c r="M397" i="3"/>
  <c r="O397" i="3"/>
  <c r="P397" i="3" s="1"/>
  <c r="J398" i="3"/>
  <c r="K398" i="3"/>
  <c r="L398" i="3"/>
  <c r="M398" i="3"/>
  <c r="O398" i="3"/>
  <c r="P398" i="3" s="1"/>
  <c r="J399" i="3"/>
  <c r="K399" i="3"/>
  <c r="L399" i="3"/>
  <c r="M399" i="3"/>
  <c r="O399" i="3"/>
  <c r="P399" i="3" s="1"/>
  <c r="J400" i="3"/>
  <c r="K400" i="3"/>
  <c r="L400" i="3"/>
  <c r="M400" i="3"/>
  <c r="O400" i="3"/>
  <c r="P400" i="3" s="1"/>
  <c r="J401" i="3"/>
  <c r="K401" i="3"/>
  <c r="L401" i="3"/>
  <c r="M401" i="3"/>
  <c r="O401" i="3"/>
  <c r="P401" i="3" s="1"/>
  <c r="J402" i="3"/>
  <c r="K402" i="3"/>
  <c r="L402" i="3"/>
  <c r="M402" i="3"/>
  <c r="O402" i="3"/>
  <c r="P402" i="3" s="1"/>
  <c r="J403" i="3"/>
  <c r="K403" i="3"/>
  <c r="L403" i="3"/>
  <c r="M403" i="3"/>
  <c r="O403" i="3" s="1"/>
  <c r="P403" i="3" s="1"/>
  <c r="J404" i="3"/>
  <c r="K404" i="3"/>
  <c r="L404" i="3"/>
  <c r="M404" i="3"/>
  <c r="O404" i="3"/>
  <c r="P404" i="3" s="1"/>
  <c r="J405" i="3"/>
  <c r="K405" i="3"/>
  <c r="L405" i="3"/>
  <c r="M405" i="3"/>
  <c r="O405" i="3" s="1"/>
  <c r="P405" i="3" s="1"/>
  <c r="J406" i="3"/>
  <c r="K406" i="3"/>
  <c r="L406" i="3"/>
  <c r="M406" i="3"/>
  <c r="O406" i="3"/>
  <c r="P406" i="3" s="1"/>
  <c r="J407" i="3"/>
  <c r="K407" i="3"/>
  <c r="L407" i="3"/>
  <c r="M407" i="3"/>
  <c r="O407" i="3" s="1"/>
  <c r="P407" i="3" s="1"/>
  <c r="J408" i="3"/>
  <c r="K408" i="3"/>
  <c r="L408" i="3"/>
  <c r="M408" i="3"/>
  <c r="O408" i="3"/>
  <c r="P408" i="3" s="1"/>
  <c r="J409" i="3"/>
  <c r="K409" i="3"/>
  <c r="L409" i="3"/>
  <c r="M409" i="3"/>
  <c r="O409" i="3" s="1"/>
  <c r="P409" i="3" s="1"/>
  <c r="J410" i="3"/>
  <c r="K410" i="3"/>
  <c r="L410" i="3"/>
  <c r="M410" i="3"/>
  <c r="O410" i="3"/>
  <c r="P410" i="3" s="1"/>
  <c r="J411" i="3"/>
  <c r="K411" i="3"/>
  <c r="L411" i="3"/>
  <c r="M411" i="3"/>
  <c r="O411" i="3" s="1"/>
  <c r="P411" i="3" s="1"/>
  <c r="J412" i="3"/>
  <c r="K412" i="3"/>
  <c r="L412" i="3"/>
  <c r="M412" i="3"/>
  <c r="O412" i="3"/>
  <c r="P412" i="3" s="1"/>
  <c r="J413" i="3"/>
  <c r="K413" i="3"/>
  <c r="L413" i="3"/>
  <c r="M413" i="3"/>
  <c r="O413" i="3" s="1"/>
  <c r="P413" i="3" s="1"/>
  <c r="J414" i="3"/>
  <c r="K414" i="3"/>
  <c r="L414" i="3"/>
  <c r="M414" i="3"/>
  <c r="O414" i="3"/>
  <c r="P414" i="3" s="1"/>
  <c r="J415" i="3"/>
  <c r="K415" i="3"/>
  <c r="L415" i="3"/>
  <c r="M415" i="3"/>
  <c r="O415" i="3" s="1"/>
  <c r="P415" i="3" s="1"/>
  <c r="J416" i="3"/>
  <c r="K416" i="3"/>
  <c r="L416" i="3"/>
  <c r="M416" i="3"/>
  <c r="O416" i="3"/>
  <c r="P416" i="3" s="1"/>
  <c r="J417" i="3"/>
  <c r="K417" i="3"/>
  <c r="L417" i="3"/>
  <c r="M417" i="3"/>
  <c r="O417" i="3"/>
  <c r="P417" i="3" s="1"/>
  <c r="J418" i="3"/>
  <c r="K418" i="3"/>
  <c r="L418" i="3"/>
  <c r="M418" i="3"/>
  <c r="O418" i="3"/>
  <c r="P418" i="3" s="1"/>
  <c r="J419" i="3"/>
  <c r="K419" i="3"/>
  <c r="L419" i="3"/>
  <c r="M419" i="3"/>
  <c r="O419" i="3"/>
  <c r="P419" i="3" s="1"/>
  <c r="J420" i="3"/>
  <c r="K420" i="3"/>
  <c r="L420" i="3"/>
  <c r="M420" i="3"/>
  <c r="O420" i="3"/>
  <c r="P420" i="3" s="1"/>
  <c r="J421" i="3"/>
  <c r="K421" i="3"/>
  <c r="L421" i="3"/>
  <c r="M421" i="3"/>
  <c r="O421" i="3"/>
  <c r="P421" i="3" s="1"/>
  <c r="J422" i="3"/>
  <c r="K422" i="3"/>
  <c r="L422" i="3"/>
  <c r="M422" i="3"/>
  <c r="O422" i="3"/>
  <c r="P422" i="3" s="1"/>
  <c r="J423" i="3"/>
  <c r="K423" i="3"/>
  <c r="L423" i="3"/>
  <c r="M423" i="3"/>
  <c r="O423" i="3"/>
  <c r="P423" i="3" s="1"/>
  <c r="J424" i="3"/>
  <c r="K424" i="3"/>
  <c r="L424" i="3"/>
  <c r="M424" i="3"/>
  <c r="O424" i="3"/>
  <c r="P424" i="3" s="1"/>
  <c r="J425" i="3"/>
  <c r="K425" i="3"/>
  <c r="L425" i="3"/>
  <c r="M425" i="3"/>
  <c r="O425" i="3"/>
  <c r="P425" i="3" s="1"/>
  <c r="J426" i="3"/>
  <c r="K426" i="3"/>
  <c r="L426" i="3"/>
  <c r="M426" i="3"/>
  <c r="O426" i="3"/>
  <c r="P426" i="3" s="1"/>
  <c r="J427" i="3"/>
  <c r="K427" i="3"/>
  <c r="L427" i="3"/>
  <c r="M427" i="3"/>
  <c r="O427" i="3"/>
  <c r="P427" i="3" s="1"/>
  <c r="J428" i="3"/>
  <c r="K428" i="3"/>
  <c r="L428" i="3"/>
  <c r="M428" i="3"/>
  <c r="O428" i="3"/>
  <c r="P428" i="3" s="1"/>
  <c r="J429" i="3"/>
  <c r="K429" i="3"/>
  <c r="L429" i="3"/>
  <c r="M429" i="3"/>
  <c r="O429" i="3"/>
  <c r="P429" i="3" s="1"/>
  <c r="J430" i="3"/>
  <c r="K430" i="3"/>
  <c r="L430" i="3"/>
  <c r="M430" i="3"/>
  <c r="O430" i="3"/>
  <c r="P430" i="3" s="1"/>
  <c r="J431" i="3"/>
  <c r="K431" i="3"/>
  <c r="L431" i="3"/>
  <c r="M431" i="3"/>
  <c r="O431" i="3"/>
  <c r="P431" i="3" s="1"/>
  <c r="J432" i="3"/>
  <c r="K432" i="3"/>
  <c r="L432" i="3"/>
  <c r="M432" i="3"/>
  <c r="O432" i="3"/>
  <c r="P432" i="3" s="1"/>
  <c r="J433" i="3"/>
  <c r="K433" i="3"/>
  <c r="L433" i="3"/>
  <c r="M433" i="3"/>
  <c r="O433" i="3"/>
  <c r="P433" i="3" s="1"/>
  <c r="J434" i="3"/>
  <c r="K434" i="3"/>
  <c r="L434" i="3"/>
  <c r="M434" i="3"/>
  <c r="O434" i="3"/>
  <c r="P434" i="3" s="1"/>
  <c r="J435" i="3"/>
  <c r="K435" i="3"/>
  <c r="L435" i="3"/>
  <c r="M435" i="3"/>
  <c r="O435" i="3"/>
  <c r="P435" i="3" s="1"/>
  <c r="J436" i="3"/>
  <c r="K436" i="3"/>
  <c r="L436" i="3"/>
  <c r="M436" i="3"/>
  <c r="O436" i="3"/>
  <c r="P436" i="3" s="1"/>
  <c r="J437" i="3"/>
  <c r="K437" i="3"/>
  <c r="L437" i="3"/>
  <c r="M437" i="3"/>
  <c r="O437" i="3"/>
  <c r="P437" i="3" s="1"/>
  <c r="J438" i="3"/>
  <c r="K438" i="3"/>
  <c r="L438" i="3"/>
  <c r="M438" i="3"/>
  <c r="O438" i="3"/>
  <c r="P438" i="3" s="1"/>
  <c r="J439" i="3"/>
  <c r="K439" i="3"/>
  <c r="L439" i="3"/>
  <c r="M439" i="3"/>
  <c r="O439" i="3"/>
  <c r="P439" i="3" s="1"/>
  <c r="J440" i="3"/>
  <c r="K440" i="3"/>
  <c r="L440" i="3"/>
  <c r="M440" i="3"/>
  <c r="O440" i="3"/>
  <c r="P440" i="3" s="1"/>
  <c r="J441" i="3"/>
  <c r="K441" i="3"/>
  <c r="L441" i="3"/>
  <c r="M441" i="3"/>
  <c r="O441" i="3"/>
  <c r="P441" i="3" s="1"/>
  <c r="J442" i="3"/>
  <c r="K442" i="3"/>
  <c r="L442" i="3"/>
  <c r="M442" i="3"/>
  <c r="O442" i="3"/>
  <c r="P442" i="3" s="1"/>
  <c r="J443" i="3"/>
  <c r="K443" i="3"/>
  <c r="L443" i="3"/>
  <c r="M443" i="3"/>
  <c r="O443" i="3"/>
  <c r="P443" i="3" s="1"/>
  <c r="J444" i="3"/>
  <c r="K444" i="3"/>
  <c r="L444" i="3"/>
  <c r="M444" i="3"/>
  <c r="O444" i="3"/>
  <c r="P444" i="3" s="1"/>
  <c r="J445" i="3"/>
  <c r="K445" i="3"/>
  <c r="L445" i="3"/>
  <c r="M445" i="3"/>
  <c r="O445" i="3"/>
  <c r="P445" i="3" s="1"/>
  <c r="J446" i="3"/>
  <c r="K446" i="3"/>
  <c r="L446" i="3"/>
  <c r="M446" i="3"/>
  <c r="O446" i="3"/>
  <c r="P446" i="3" s="1"/>
  <c r="J447" i="3"/>
  <c r="K447" i="3"/>
  <c r="L447" i="3"/>
  <c r="M447" i="3"/>
  <c r="O447" i="3"/>
  <c r="P447" i="3" s="1"/>
  <c r="J448" i="3"/>
  <c r="K448" i="3"/>
  <c r="L448" i="3"/>
  <c r="M448" i="3"/>
  <c r="O448" i="3"/>
  <c r="P448" i="3" s="1"/>
  <c r="J449" i="3"/>
  <c r="K449" i="3"/>
  <c r="L449" i="3"/>
  <c r="M449" i="3"/>
  <c r="O449" i="3"/>
  <c r="P449" i="3" s="1"/>
  <c r="J450" i="3"/>
  <c r="K450" i="3"/>
  <c r="L450" i="3"/>
  <c r="M450" i="3"/>
  <c r="O450" i="3"/>
  <c r="P450" i="3" s="1"/>
  <c r="J451" i="3"/>
  <c r="K451" i="3"/>
  <c r="L451" i="3"/>
  <c r="M451" i="3"/>
  <c r="O451" i="3"/>
  <c r="P451" i="3" s="1"/>
  <c r="J452" i="3"/>
  <c r="K452" i="3"/>
  <c r="L452" i="3"/>
  <c r="M452" i="3"/>
  <c r="O452" i="3"/>
  <c r="P452" i="3" s="1"/>
  <c r="J453" i="3"/>
  <c r="K453" i="3"/>
  <c r="L453" i="3"/>
  <c r="M453" i="3"/>
  <c r="O453" i="3"/>
  <c r="P453" i="3" s="1"/>
  <c r="J454" i="3"/>
  <c r="K454" i="3"/>
  <c r="L454" i="3"/>
  <c r="M454" i="3"/>
  <c r="O454" i="3"/>
  <c r="P454" i="3" s="1"/>
  <c r="J455" i="3"/>
  <c r="K455" i="3"/>
  <c r="L455" i="3"/>
  <c r="M455" i="3"/>
  <c r="O455" i="3"/>
  <c r="P455" i="3" s="1"/>
  <c r="J456" i="3"/>
  <c r="K456" i="3"/>
  <c r="L456" i="3"/>
  <c r="M456" i="3"/>
  <c r="O456" i="3"/>
  <c r="P456" i="3" s="1"/>
  <c r="J457" i="3"/>
  <c r="K457" i="3"/>
  <c r="L457" i="3"/>
  <c r="M457" i="3"/>
  <c r="O457" i="3"/>
  <c r="P457" i="3" s="1"/>
  <c r="J458" i="3"/>
  <c r="K458" i="3"/>
  <c r="L458" i="3"/>
  <c r="M458" i="3"/>
  <c r="O458" i="3"/>
  <c r="P458" i="3" s="1"/>
  <c r="J459" i="3"/>
  <c r="K459" i="3"/>
  <c r="L459" i="3"/>
  <c r="M459" i="3"/>
  <c r="O459" i="3"/>
  <c r="P459" i="3" s="1"/>
  <c r="J460" i="3"/>
  <c r="K460" i="3"/>
  <c r="L460" i="3"/>
  <c r="M460" i="3"/>
  <c r="O460" i="3"/>
  <c r="P460" i="3" s="1"/>
  <c r="J461" i="3"/>
  <c r="K461" i="3"/>
  <c r="L461" i="3"/>
  <c r="M461" i="3"/>
  <c r="O461" i="3"/>
  <c r="P461" i="3" s="1"/>
  <c r="J462" i="3"/>
  <c r="K462" i="3"/>
  <c r="L462" i="3"/>
  <c r="M462" i="3"/>
  <c r="O462" i="3"/>
  <c r="P462" i="3" s="1"/>
  <c r="J463" i="3"/>
  <c r="K463" i="3"/>
  <c r="L463" i="3"/>
  <c r="M463" i="3"/>
  <c r="O463" i="3"/>
  <c r="P463" i="3" s="1"/>
  <c r="J464" i="3"/>
  <c r="K464" i="3"/>
  <c r="L464" i="3"/>
  <c r="M464" i="3"/>
  <c r="O464" i="3"/>
  <c r="P464" i="3" s="1"/>
  <c r="J465" i="3"/>
  <c r="K465" i="3"/>
  <c r="L465" i="3"/>
  <c r="M465" i="3"/>
  <c r="O465" i="3"/>
  <c r="P465" i="3" s="1"/>
  <c r="J466" i="3"/>
  <c r="K466" i="3"/>
  <c r="L466" i="3"/>
  <c r="M466" i="3"/>
  <c r="O466" i="3"/>
  <c r="P466" i="3" s="1"/>
  <c r="J467" i="3"/>
  <c r="K467" i="3"/>
  <c r="L467" i="3"/>
  <c r="M467" i="3"/>
  <c r="O467" i="3"/>
  <c r="P467" i="3" s="1"/>
  <c r="J468" i="3"/>
  <c r="K468" i="3"/>
  <c r="L468" i="3"/>
  <c r="M468" i="3"/>
  <c r="O468" i="3"/>
  <c r="P468" i="3" s="1"/>
  <c r="J469" i="3"/>
  <c r="K469" i="3"/>
  <c r="L469" i="3"/>
  <c r="M469" i="3"/>
  <c r="O469" i="3"/>
  <c r="P469" i="3" s="1"/>
  <c r="J470" i="3"/>
  <c r="K470" i="3"/>
  <c r="L470" i="3"/>
  <c r="M470" i="3"/>
  <c r="O470" i="3"/>
  <c r="P470" i="3" s="1"/>
  <c r="J471" i="3"/>
  <c r="K471" i="3"/>
  <c r="L471" i="3"/>
  <c r="M471" i="3"/>
  <c r="O471" i="3"/>
  <c r="P471" i="3" s="1"/>
  <c r="J472" i="3"/>
  <c r="K472" i="3"/>
  <c r="L472" i="3"/>
  <c r="M472" i="3"/>
  <c r="O472" i="3"/>
  <c r="P472" i="3" s="1"/>
  <c r="J473" i="3"/>
  <c r="K473" i="3"/>
  <c r="L473" i="3"/>
  <c r="M473" i="3"/>
  <c r="O473" i="3"/>
  <c r="P473" i="3" s="1"/>
  <c r="J474" i="3"/>
  <c r="K474" i="3"/>
  <c r="L474" i="3"/>
  <c r="M474" i="3"/>
  <c r="O474" i="3"/>
  <c r="P474" i="3" s="1"/>
  <c r="J475" i="3"/>
  <c r="K475" i="3"/>
  <c r="L475" i="3"/>
  <c r="M475" i="3"/>
  <c r="O475" i="3"/>
  <c r="P475" i="3" s="1"/>
  <c r="J476" i="3"/>
  <c r="K476" i="3"/>
  <c r="L476" i="3"/>
  <c r="M476" i="3"/>
  <c r="O476" i="3"/>
  <c r="P476" i="3" s="1"/>
  <c r="J477" i="3"/>
  <c r="K477" i="3"/>
  <c r="L477" i="3"/>
  <c r="M477" i="3"/>
  <c r="O477" i="3"/>
  <c r="P477" i="3" s="1"/>
  <c r="J478" i="3"/>
  <c r="K478" i="3"/>
  <c r="L478" i="3"/>
  <c r="M478" i="3"/>
  <c r="O478" i="3"/>
  <c r="P478" i="3" s="1"/>
  <c r="J479" i="3"/>
  <c r="K479" i="3"/>
  <c r="L479" i="3"/>
  <c r="M479" i="3"/>
  <c r="O479" i="3"/>
  <c r="P479" i="3" s="1"/>
  <c r="J480" i="3"/>
  <c r="K480" i="3"/>
  <c r="L480" i="3"/>
  <c r="M480" i="3"/>
  <c r="O480" i="3"/>
  <c r="P480" i="3" s="1"/>
  <c r="J481" i="3"/>
  <c r="K481" i="3"/>
  <c r="L481" i="3"/>
  <c r="M481" i="3"/>
  <c r="O481" i="3"/>
  <c r="P481" i="3" s="1"/>
  <c r="J482" i="3"/>
  <c r="K482" i="3"/>
  <c r="L482" i="3"/>
  <c r="M482" i="3"/>
  <c r="O482" i="3"/>
  <c r="P482" i="3" s="1"/>
  <c r="J483" i="3"/>
  <c r="K483" i="3"/>
  <c r="L483" i="3"/>
  <c r="M483" i="3"/>
  <c r="O483" i="3"/>
  <c r="P483" i="3" s="1"/>
  <c r="J484" i="3"/>
  <c r="K484" i="3"/>
  <c r="L484" i="3"/>
  <c r="M484" i="3"/>
  <c r="O484" i="3"/>
  <c r="P484" i="3" s="1"/>
  <c r="J485" i="3"/>
  <c r="K485" i="3"/>
  <c r="L485" i="3"/>
  <c r="M485" i="3"/>
  <c r="O485" i="3"/>
  <c r="P485" i="3" s="1"/>
  <c r="J486" i="3"/>
  <c r="K486" i="3"/>
  <c r="L486" i="3"/>
  <c r="M486" i="3"/>
  <c r="O486" i="3"/>
  <c r="P486" i="3" s="1"/>
  <c r="J487" i="3"/>
  <c r="K487" i="3"/>
  <c r="L487" i="3"/>
  <c r="M487" i="3"/>
  <c r="O487" i="3"/>
  <c r="P487" i="3" s="1"/>
  <c r="J488" i="3"/>
  <c r="K488" i="3"/>
  <c r="L488" i="3"/>
  <c r="M488" i="3"/>
  <c r="O488" i="3"/>
  <c r="P488" i="3" s="1"/>
  <c r="J489" i="3"/>
  <c r="K489" i="3"/>
  <c r="L489" i="3"/>
  <c r="M489" i="3"/>
  <c r="O489" i="3"/>
  <c r="P489" i="3" s="1"/>
  <c r="J490" i="3"/>
  <c r="K490" i="3"/>
  <c r="L490" i="3"/>
  <c r="M490" i="3"/>
  <c r="O490" i="3"/>
  <c r="P490" i="3" s="1"/>
  <c r="J491" i="3"/>
  <c r="K491" i="3"/>
  <c r="L491" i="3"/>
  <c r="M491" i="3"/>
  <c r="O491" i="3"/>
  <c r="P491" i="3" s="1"/>
  <c r="J492" i="3"/>
  <c r="K492" i="3"/>
  <c r="L492" i="3"/>
  <c r="M492" i="3"/>
  <c r="O492" i="3"/>
  <c r="P492" i="3" s="1"/>
  <c r="J493" i="3"/>
  <c r="K493" i="3"/>
  <c r="L493" i="3"/>
  <c r="M493" i="3"/>
  <c r="O493" i="3"/>
  <c r="P493" i="3" s="1"/>
  <c r="J494" i="3"/>
  <c r="K494" i="3"/>
  <c r="L494" i="3"/>
  <c r="M494" i="3"/>
  <c r="O494" i="3"/>
  <c r="P494" i="3" s="1"/>
  <c r="J495" i="3"/>
  <c r="K495" i="3"/>
  <c r="L495" i="3"/>
  <c r="M495" i="3"/>
  <c r="O495" i="3"/>
  <c r="P495" i="3" s="1"/>
  <c r="J496" i="3"/>
  <c r="K496" i="3"/>
  <c r="L496" i="3"/>
  <c r="M496" i="3"/>
  <c r="O496" i="3"/>
  <c r="P496" i="3" s="1"/>
  <c r="J497" i="3"/>
  <c r="K497" i="3"/>
  <c r="L497" i="3"/>
  <c r="M497" i="3"/>
  <c r="O497" i="3"/>
  <c r="P497" i="3" s="1"/>
  <c r="J498" i="3"/>
  <c r="K498" i="3"/>
  <c r="L498" i="3"/>
  <c r="M498" i="3"/>
  <c r="O498" i="3"/>
  <c r="P498" i="3" s="1"/>
  <c r="J499" i="3"/>
  <c r="K499" i="3"/>
  <c r="L499" i="3"/>
  <c r="M499" i="3"/>
  <c r="O499" i="3"/>
  <c r="P499" i="3" s="1"/>
  <c r="J500" i="3"/>
  <c r="K500" i="3"/>
  <c r="L500" i="3"/>
  <c r="M500" i="3"/>
  <c r="O500" i="3"/>
  <c r="P500" i="3" s="1"/>
  <c r="J501" i="3"/>
  <c r="K501" i="3"/>
  <c r="L501" i="3"/>
  <c r="M501" i="3"/>
  <c r="O501" i="3"/>
  <c r="P501" i="3" s="1"/>
  <c r="J502" i="3"/>
  <c r="K502" i="3"/>
  <c r="L502" i="3"/>
  <c r="M502" i="3"/>
  <c r="O502" i="3"/>
  <c r="P502" i="3" s="1"/>
  <c r="J503" i="3"/>
  <c r="K503" i="3"/>
  <c r="L503" i="3"/>
  <c r="M503" i="3"/>
  <c r="O503" i="3"/>
  <c r="P503" i="3" s="1"/>
  <c r="J504" i="3"/>
  <c r="K504" i="3"/>
  <c r="L504" i="3"/>
  <c r="M504" i="3"/>
  <c r="O504" i="3"/>
  <c r="P504" i="3" s="1"/>
  <c r="J505" i="3"/>
  <c r="K505" i="3"/>
  <c r="L505" i="3"/>
  <c r="M505" i="3"/>
  <c r="O505" i="3"/>
  <c r="P505" i="3" s="1"/>
  <c r="J506" i="3"/>
  <c r="K506" i="3"/>
  <c r="L506" i="3"/>
  <c r="M506" i="3"/>
  <c r="O506" i="3"/>
  <c r="P506" i="3" s="1"/>
  <c r="J507" i="3"/>
  <c r="K507" i="3"/>
  <c r="L507" i="3"/>
  <c r="M507" i="3"/>
  <c r="O507" i="3"/>
  <c r="P507" i="3" s="1"/>
  <c r="J508" i="3"/>
  <c r="K508" i="3"/>
  <c r="L508" i="3"/>
  <c r="M508" i="3"/>
  <c r="O508" i="3"/>
  <c r="P508" i="3" s="1"/>
  <c r="J509" i="3"/>
  <c r="K509" i="3"/>
  <c r="L509" i="3"/>
  <c r="M509" i="3"/>
  <c r="O509" i="3"/>
  <c r="P509" i="3" s="1"/>
  <c r="J510" i="3"/>
  <c r="K510" i="3"/>
  <c r="L510" i="3"/>
  <c r="M510" i="3"/>
  <c r="O510" i="3"/>
  <c r="P510" i="3" s="1"/>
  <c r="J511" i="3"/>
  <c r="K511" i="3"/>
  <c r="L511" i="3"/>
  <c r="M511" i="3"/>
  <c r="O511" i="3"/>
  <c r="P511" i="3" s="1"/>
  <c r="J512" i="3"/>
  <c r="K512" i="3"/>
  <c r="L512" i="3"/>
  <c r="M512" i="3"/>
  <c r="O512" i="3"/>
  <c r="P512" i="3" s="1"/>
  <c r="J513" i="3"/>
  <c r="K513" i="3"/>
  <c r="L513" i="3"/>
  <c r="M513" i="3"/>
  <c r="O513" i="3"/>
  <c r="P513" i="3" s="1"/>
  <c r="J514" i="3"/>
  <c r="K514" i="3"/>
  <c r="L514" i="3"/>
  <c r="M514" i="3"/>
  <c r="O514" i="3"/>
  <c r="P514" i="3" s="1"/>
  <c r="J515" i="3"/>
  <c r="K515" i="3"/>
  <c r="L515" i="3"/>
  <c r="M515" i="3"/>
  <c r="O515" i="3"/>
  <c r="P515" i="3" s="1"/>
  <c r="J516" i="3"/>
  <c r="K516" i="3"/>
  <c r="L516" i="3"/>
  <c r="M516" i="3"/>
  <c r="O516" i="3"/>
  <c r="P516" i="3" s="1"/>
  <c r="J517" i="3"/>
  <c r="K517" i="3"/>
  <c r="L517" i="3"/>
  <c r="M517" i="3"/>
  <c r="O517" i="3"/>
  <c r="P517" i="3" s="1"/>
  <c r="J518" i="3"/>
  <c r="K518" i="3"/>
  <c r="L518" i="3"/>
  <c r="M518" i="3"/>
  <c r="O518" i="3"/>
  <c r="P518" i="3" s="1"/>
  <c r="J519" i="3"/>
  <c r="K519" i="3"/>
  <c r="L519" i="3"/>
  <c r="M519" i="3"/>
  <c r="O519" i="3"/>
  <c r="P519" i="3" s="1"/>
  <c r="J520" i="3"/>
  <c r="K520" i="3"/>
  <c r="L520" i="3"/>
  <c r="M520" i="3"/>
  <c r="O520" i="3"/>
  <c r="P520" i="3" s="1"/>
  <c r="J521" i="3"/>
  <c r="K521" i="3"/>
  <c r="L521" i="3"/>
  <c r="M521" i="3"/>
  <c r="O521" i="3"/>
  <c r="P521" i="3" s="1"/>
  <c r="J522" i="3"/>
  <c r="K522" i="3"/>
  <c r="L522" i="3"/>
  <c r="M522" i="3"/>
  <c r="O522" i="3"/>
  <c r="P522" i="3" s="1"/>
  <c r="J523" i="3"/>
  <c r="K523" i="3"/>
  <c r="L523" i="3"/>
  <c r="M523" i="3"/>
  <c r="O523" i="3"/>
  <c r="P523" i="3" s="1"/>
  <c r="J524" i="3"/>
  <c r="K524" i="3"/>
  <c r="L524" i="3"/>
  <c r="M524" i="3"/>
  <c r="O524" i="3"/>
  <c r="P524" i="3" s="1"/>
  <c r="J525" i="3"/>
  <c r="K525" i="3"/>
  <c r="L525" i="3"/>
  <c r="M525" i="3"/>
  <c r="O525" i="3"/>
  <c r="P525" i="3" s="1"/>
  <c r="J526" i="3"/>
  <c r="K526" i="3"/>
  <c r="L526" i="3"/>
  <c r="M526" i="3"/>
  <c r="O526" i="3"/>
  <c r="P526" i="3" s="1"/>
  <c r="J527" i="3"/>
  <c r="K527" i="3"/>
  <c r="L527" i="3"/>
  <c r="M527" i="3"/>
  <c r="O527" i="3"/>
  <c r="P527" i="3" s="1"/>
  <c r="J528" i="3"/>
  <c r="K528" i="3"/>
  <c r="L528" i="3"/>
  <c r="M528" i="3"/>
  <c r="O528" i="3"/>
  <c r="P528" i="3" s="1"/>
  <c r="J529" i="3"/>
  <c r="K529" i="3"/>
  <c r="L529" i="3"/>
  <c r="M529" i="3"/>
  <c r="O529" i="3"/>
  <c r="P529" i="3" s="1"/>
  <c r="J530" i="3"/>
  <c r="K530" i="3"/>
  <c r="L530" i="3"/>
  <c r="M530" i="3"/>
  <c r="O530" i="3"/>
  <c r="P530" i="3" s="1"/>
  <c r="J531" i="3"/>
  <c r="K531" i="3"/>
  <c r="L531" i="3"/>
  <c r="M531" i="3"/>
  <c r="O531" i="3"/>
  <c r="P531" i="3" s="1"/>
  <c r="J532" i="3"/>
  <c r="K532" i="3"/>
  <c r="L532" i="3"/>
  <c r="M532" i="3"/>
  <c r="O532" i="3"/>
  <c r="P532" i="3" s="1"/>
  <c r="J533" i="3"/>
  <c r="K533" i="3"/>
  <c r="L533" i="3"/>
  <c r="M533" i="3"/>
  <c r="O533" i="3"/>
  <c r="P533" i="3" s="1"/>
  <c r="J534" i="3"/>
  <c r="K534" i="3"/>
  <c r="L534" i="3"/>
  <c r="M534" i="3"/>
  <c r="O534" i="3"/>
  <c r="P534" i="3" s="1"/>
  <c r="J535" i="3"/>
  <c r="K535" i="3"/>
  <c r="L535" i="3"/>
  <c r="M535" i="3"/>
  <c r="O535" i="3"/>
  <c r="P535" i="3" s="1"/>
  <c r="J536" i="3"/>
  <c r="K536" i="3"/>
  <c r="L536" i="3"/>
  <c r="M536" i="3"/>
  <c r="O536" i="3"/>
  <c r="P536" i="3" s="1"/>
  <c r="J537" i="3"/>
  <c r="K537" i="3"/>
  <c r="L537" i="3"/>
  <c r="M537" i="3"/>
  <c r="O537" i="3"/>
  <c r="P537" i="3" s="1"/>
  <c r="J538" i="3"/>
  <c r="K538" i="3"/>
  <c r="L538" i="3"/>
  <c r="M538" i="3"/>
  <c r="O538" i="3"/>
  <c r="P538" i="3" s="1"/>
  <c r="J539" i="3"/>
  <c r="K539" i="3"/>
  <c r="L539" i="3"/>
  <c r="M539" i="3"/>
  <c r="O539" i="3"/>
  <c r="P539" i="3" s="1"/>
  <c r="J540" i="3"/>
  <c r="K540" i="3"/>
  <c r="L540" i="3"/>
  <c r="M540" i="3"/>
  <c r="O540" i="3"/>
  <c r="P540" i="3" s="1"/>
  <c r="J541" i="3"/>
  <c r="K541" i="3"/>
  <c r="L541" i="3"/>
  <c r="M541" i="3"/>
  <c r="O541" i="3"/>
  <c r="P541" i="3" s="1"/>
  <c r="J542" i="3"/>
  <c r="K542" i="3"/>
  <c r="L542" i="3"/>
  <c r="M542" i="3"/>
  <c r="O542" i="3"/>
  <c r="P542" i="3" s="1"/>
  <c r="J543" i="3"/>
  <c r="K543" i="3"/>
  <c r="L543" i="3"/>
  <c r="M543" i="3"/>
  <c r="O543" i="3"/>
  <c r="P543" i="3" s="1"/>
  <c r="J544" i="3"/>
  <c r="K544" i="3"/>
  <c r="L544" i="3"/>
  <c r="M544" i="3"/>
  <c r="O544" i="3"/>
  <c r="P544" i="3" s="1"/>
  <c r="J545" i="3"/>
  <c r="K545" i="3"/>
  <c r="L545" i="3"/>
  <c r="M545" i="3"/>
  <c r="O545" i="3"/>
  <c r="P545" i="3" s="1"/>
  <c r="J546" i="3"/>
  <c r="K546" i="3"/>
  <c r="L546" i="3"/>
  <c r="M546" i="3"/>
  <c r="O546" i="3"/>
  <c r="P546" i="3" s="1"/>
  <c r="J547" i="3"/>
  <c r="K547" i="3"/>
  <c r="L547" i="3"/>
  <c r="M547" i="3"/>
  <c r="O547" i="3"/>
  <c r="P547" i="3" s="1"/>
  <c r="J548" i="3"/>
  <c r="K548" i="3"/>
  <c r="L548" i="3"/>
  <c r="M548" i="3"/>
  <c r="O548" i="3"/>
  <c r="P548" i="3" s="1"/>
  <c r="J549" i="3"/>
  <c r="K549" i="3"/>
  <c r="L549" i="3"/>
  <c r="M549" i="3"/>
  <c r="O549" i="3"/>
  <c r="P549" i="3" s="1"/>
  <c r="J550" i="3"/>
  <c r="K550" i="3"/>
  <c r="L550" i="3"/>
  <c r="M550" i="3"/>
  <c r="O550" i="3"/>
  <c r="P550" i="3" s="1"/>
  <c r="J551" i="3"/>
  <c r="K551" i="3"/>
  <c r="L551" i="3"/>
  <c r="M551" i="3"/>
  <c r="O551" i="3"/>
  <c r="P551" i="3" s="1"/>
  <c r="J552" i="3"/>
  <c r="K552" i="3"/>
  <c r="L552" i="3"/>
  <c r="M552" i="3"/>
  <c r="O552" i="3"/>
  <c r="P552" i="3" s="1"/>
  <c r="J553" i="3"/>
  <c r="K553" i="3"/>
  <c r="L553" i="3"/>
  <c r="M553" i="3"/>
  <c r="O553" i="3"/>
  <c r="P553" i="3" s="1"/>
  <c r="J554" i="3"/>
  <c r="K554" i="3"/>
  <c r="L554" i="3"/>
  <c r="M554" i="3"/>
  <c r="O554" i="3"/>
  <c r="P554" i="3" s="1"/>
  <c r="J555" i="3"/>
  <c r="K555" i="3"/>
  <c r="L555" i="3"/>
  <c r="M555" i="3"/>
  <c r="O555" i="3"/>
  <c r="P555" i="3" s="1"/>
  <c r="J556" i="3"/>
  <c r="K556" i="3"/>
  <c r="L556" i="3"/>
  <c r="M556" i="3"/>
  <c r="O556" i="3"/>
  <c r="P556" i="3" s="1"/>
  <c r="J557" i="3"/>
  <c r="K557" i="3"/>
  <c r="L557" i="3"/>
  <c r="M557" i="3"/>
  <c r="O557" i="3"/>
  <c r="P557" i="3" s="1"/>
  <c r="J558" i="3"/>
  <c r="K558" i="3"/>
  <c r="L558" i="3"/>
  <c r="M558" i="3"/>
  <c r="O558" i="3"/>
  <c r="P558" i="3" s="1"/>
  <c r="J559" i="3"/>
  <c r="K559" i="3"/>
  <c r="L559" i="3"/>
  <c r="M559" i="3"/>
  <c r="O559" i="3"/>
  <c r="P559" i="3" s="1"/>
  <c r="J560" i="3"/>
  <c r="K560" i="3"/>
  <c r="L560" i="3"/>
  <c r="M560" i="3"/>
  <c r="O560" i="3"/>
  <c r="P560" i="3" s="1"/>
  <c r="J561" i="3"/>
  <c r="K561" i="3"/>
  <c r="L561" i="3"/>
  <c r="M561" i="3"/>
  <c r="O561" i="3"/>
  <c r="P561" i="3" s="1"/>
  <c r="J562" i="3"/>
  <c r="K562" i="3"/>
  <c r="L562" i="3"/>
  <c r="M562" i="3"/>
  <c r="O562" i="3"/>
  <c r="P562" i="3" s="1"/>
  <c r="J563" i="3"/>
  <c r="K563" i="3"/>
  <c r="L563" i="3"/>
  <c r="M563" i="3"/>
  <c r="O563" i="3"/>
  <c r="P563" i="3" s="1"/>
  <c r="J564" i="3"/>
  <c r="K564" i="3"/>
  <c r="L564" i="3"/>
  <c r="M564" i="3"/>
  <c r="O564" i="3"/>
  <c r="P564" i="3" s="1"/>
  <c r="J565" i="3"/>
  <c r="K565" i="3"/>
  <c r="L565" i="3"/>
  <c r="M565" i="3"/>
  <c r="O565" i="3"/>
  <c r="P565" i="3" s="1"/>
  <c r="J566" i="3"/>
  <c r="K566" i="3"/>
  <c r="L566" i="3"/>
  <c r="M566" i="3"/>
  <c r="O566" i="3"/>
  <c r="P566" i="3" s="1"/>
  <c r="J567" i="3"/>
  <c r="K567" i="3"/>
  <c r="L567" i="3"/>
  <c r="M567" i="3"/>
  <c r="O567" i="3"/>
  <c r="P567" i="3" s="1"/>
  <c r="J568" i="3"/>
  <c r="K568" i="3"/>
  <c r="L568" i="3"/>
  <c r="M568" i="3"/>
  <c r="O568" i="3"/>
  <c r="P568" i="3" s="1"/>
  <c r="J569" i="3"/>
  <c r="K569" i="3"/>
  <c r="L569" i="3"/>
  <c r="M569" i="3"/>
  <c r="O569" i="3"/>
  <c r="P569" i="3" s="1"/>
  <c r="J570" i="3"/>
  <c r="K570" i="3"/>
  <c r="L570" i="3"/>
  <c r="M570" i="3"/>
  <c r="O570" i="3"/>
  <c r="P570" i="3" s="1"/>
  <c r="J571" i="3"/>
  <c r="K571" i="3"/>
  <c r="L571" i="3"/>
  <c r="M571" i="3"/>
  <c r="O571" i="3"/>
  <c r="P571" i="3" s="1"/>
  <c r="J572" i="3"/>
  <c r="K572" i="3"/>
  <c r="L572" i="3"/>
  <c r="M572" i="3"/>
  <c r="O572" i="3"/>
  <c r="P572" i="3" s="1"/>
  <c r="J573" i="3"/>
  <c r="K573" i="3"/>
  <c r="L573" i="3"/>
  <c r="M573" i="3"/>
  <c r="O573" i="3"/>
  <c r="P573" i="3" s="1"/>
  <c r="J574" i="3"/>
  <c r="K574" i="3"/>
  <c r="L574" i="3"/>
  <c r="M574" i="3"/>
  <c r="O574" i="3"/>
  <c r="P574" i="3" s="1"/>
  <c r="J575" i="3"/>
  <c r="K575" i="3"/>
  <c r="L575" i="3"/>
  <c r="M575" i="3"/>
  <c r="O575" i="3"/>
  <c r="P575" i="3" s="1"/>
  <c r="J576" i="3"/>
  <c r="K576" i="3"/>
  <c r="L576" i="3"/>
  <c r="M576" i="3"/>
  <c r="O576" i="3"/>
  <c r="P576" i="3" s="1"/>
  <c r="J577" i="3"/>
  <c r="K577" i="3"/>
  <c r="L577" i="3"/>
  <c r="M577" i="3"/>
  <c r="O577" i="3"/>
  <c r="P577" i="3" s="1"/>
  <c r="J578" i="3"/>
  <c r="K578" i="3"/>
  <c r="L578" i="3"/>
  <c r="M578" i="3"/>
  <c r="O578" i="3"/>
  <c r="P578" i="3" s="1"/>
  <c r="J579" i="3"/>
  <c r="K579" i="3"/>
  <c r="L579" i="3"/>
  <c r="M579" i="3"/>
  <c r="O579" i="3"/>
  <c r="P579" i="3" s="1"/>
  <c r="J580" i="3"/>
  <c r="K580" i="3"/>
  <c r="L580" i="3"/>
  <c r="M580" i="3"/>
  <c r="O580" i="3"/>
  <c r="P580" i="3" s="1"/>
  <c r="J581" i="3"/>
  <c r="K581" i="3"/>
  <c r="L581" i="3"/>
  <c r="M581" i="3"/>
  <c r="O581" i="3"/>
  <c r="P581" i="3" s="1"/>
  <c r="J582" i="3"/>
  <c r="K582" i="3"/>
  <c r="L582" i="3"/>
  <c r="M582" i="3"/>
  <c r="O582" i="3"/>
  <c r="P582" i="3" s="1"/>
  <c r="J583" i="3"/>
  <c r="K583" i="3"/>
  <c r="L583" i="3"/>
  <c r="M583" i="3"/>
  <c r="O583" i="3"/>
  <c r="P583" i="3" s="1"/>
  <c r="J584" i="3"/>
  <c r="K584" i="3"/>
  <c r="L584" i="3"/>
  <c r="M584" i="3"/>
  <c r="O584" i="3"/>
  <c r="P584" i="3" s="1"/>
  <c r="J585" i="3"/>
  <c r="K585" i="3"/>
  <c r="L585" i="3"/>
  <c r="M585" i="3"/>
  <c r="O585" i="3"/>
  <c r="P585" i="3" s="1"/>
  <c r="J586" i="3"/>
  <c r="K586" i="3"/>
  <c r="L586" i="3"/>
  <c r="M586" i="3"/>
  <c r="O586" i="3"/>
  <c r="P586" i="3" s="1"/>
  <c r="J587" i="3"/>
  <c r="K587" i="3"/>
  <c r="L587" i="3"/>
  <c r="M587" i="3"/>
  <c r="O587" i="3"/>
  <c r="P587" i="3" s="1"/>
  <c r="J588" i="3"/>
  <c r="K588" i="3"/>
  <c r="L588" i="3"/>
  <c r="M588" i="3"/>
  <c r="O588" i="3"/>
  <c r="P588" i="3" s="1"/>
  <c r="J589" i="3"/>
  <c r="K589" i="3"/>
  <c r="L589" i="3"/>
  <c r="M589" i="3"/>
  <c r="O589" i="3"/>
  <c r="P589" i="3" s="1"/>
  <c r="J590" i="3"/>
  <c r="K590" i="3"/>
  <c r="L590" i="3"/>
  <c r="M590" i="3"/>
  <c r="O590" i="3"/>
  <c r="P590" i="3" s="1"/>
  <c r="J591" i="3"/>
  <c r="K591" i="3"/>
  <c r="L591" i="3"/>
  <c r="M591" i="3"/>
  <c r="O591" i="3"/>
  <c r="P591" i="3" s="1"/>
  <c r="J592" i="3"/>
  <c r="K592" i="3"/>
  <c r="L592" i="3"/>
  <c r="M592" i="3"/>
  <c r="O592" i="3"/>
  <c r="P592" i="3" s="1"/>
  <c r="J593" i="3"/>
  <c r="K593" i="3"/>
  <c r="L593" i="3"/>
  <c r="M593" i="3"/>
  <c r="O593" i="3"/>
  <c r="P593" i="3" s="1"/>
  <c r="J594" i="3"/>
  <c r="K594" i="3"/>
  <c r="L594" i="3"/>
  <c r="M594" i="3"/>
  <c r="O594" i="3"/>
  <c r="P594" i="3" s="1"/>
  <c r="J595" i="3"/>
  <c r="K595" i="3"/>
  <c r="L595" i="3"/>
  <c r="M595" i="3"/>
  <c r="O595" i="3"/>
  <c r="P595" i="3" s="1"/>
  <c r="J596" i="3"/>
  <c r="K596" i="3"/>
  <c r="L596" i="3"/>
  <c r="M596" i="3"/>
  <c r="O596" i="3"/>
  <c r="P596" i="3" s="1"/>
  <c r="J597" i="3"/>
  <c r="K597" i="3"/>
  <c r="L597" i="3"/>
  <c r="M597" i="3"/>
  <c r="O597" i="3"/>
  <c r="P597" i="3" s="1"/>
  <c r="J598" i="3"/>
  <c r="K598" i="3"/>
  <c r="L598" i="3"/>
  <c r="M598" i="3"/>
  <c r="O598" i="3"/>
  <c r="P598" i="3" s="1"/>
  <c r="J599" i="3"/>
  <c r="K599" i="3"/>
  <c r="L599" i="3"/>
  <c r="M599" i="3"/>
  <c r="O599" i="3"/>
  <c r="P599" i="3" s="1"/>
  <c r="J600" i="3"/>
  <c r="K600" i="3"/>
  <c r="L600" i="3"/>
  <c r="M600" i="3"/>
  <c r="O600" i="3"/>
  <c r="P600" i="3" s="1"/>
  <c r="J601" i="3"/>
  <c r="K601" i="3"/>
  <c r="L601" i="3"/>
  <c r="M601" i="3"/>
  <c r="O601" i="3"/>
  <c r="P601" i="3" s="1"/>
  <c r="J602" i="3"/>
  <c r="K602" i="3"/>
  <c r="L602" i="3"/>
  <c r="M602" i="3"/>
  <c r="O602" i="3"/>
  <c r="P602" i="3" s="1"/>
  <c r="J603" i="3"/>
  <c r="K603" i="3"/>
  <c r="L603" i="3"/>
  <c r="M603" i="3"/>
  <c r="O603" i="3"/>
  <c r="P603" i="3" s="1"/>
  <c r="J604" i="3"/>
  <c r="K604" i="3"/>
  <c r="L604" i="3"/>
  <c r="M604" i="3"/>
  <c r="O604" i="3"/>
  <c r="P604" i="3" s="1"/>
  <c r="J605" i="3"/>
  <c r="K605" i="3"/>
  <c r="L605" i="3"/>
  <c r="M605" i="3"/>
  <c r="O605" i="3"/>
  <c r="P605" i="3" s="1"/>
  <c r="J606" i="3"/>
  <c r="K606" i="3"/>
  <c r="L606" i="3"/>
  <c r="M606" i="3"/>
  <c r="O606" i="3"/>
  <c r="P606" i="3" s="1"/>
  <c r="J607" i="3"/>
  <c r="K607" i="3"/>
  <c r="L607" i="3"/>
  <c r="M607" i="3"/>
  <c r="O607" i="3"/>
  <c r="P607" i="3" s="1"/>
  <c r="J608" i="3"/>
  <c r="K608" i="3"/>
  <c r="L608" i="3"/>
  <c r="M608" i="3"/>
  <c r="O608" i="3"/>
  <c r="P608" i="3" s="1"/>
  <c r="J609" i="3"/>
  <c r="K609" i="3"/>
  <c r="L609" i="3"/>
  <c r="M609" i="3"/>
  <c r="O609" i="3"/>
  <c r="P609" i="3" s="1"/>
  <c r="J610" i="3"/>
  <c r="K610" i="3"/>
  <c r="L610" i="3"/>
  <c r="M610" i="3"/>
  <c r="O610" i="3"/>
  <c r="P610" i="3" s="1"/>
  <c r="J611" i="3"/>
  <c r="K611" i="3"/>
  <c r="L611" i="3"/>
  <c r="M611" i="3"/>
  <c r="O611" i="3"/>
  <c r="P611" i="3" s="1"/>
  <c r="J612" i="3"/>
  <c r="K612" i="3"/>
  <c r="L612" i="3"/>
  <c r="M612" i="3"/>
  <c r="O612" i="3"/>
  <c r="P612" i="3" s="1"/>
  <c r="J613" i="3"/>
  <c r="K613" i="3"/>
  <c r="L613" i="3"/>
  <c r="M613" i="3"/>
  <c r="O613" i="3"/>
  <c r="P613" i="3" s="1"/>
  <c r="J614" i="3"/>
  <c r="K614" i="3"/>
  <c r="L614" i="3"/>
  <c r="M614" i="3"/>
  <c r="O614" i="3"/>
  <c r="P614" i="3" s="1"/>
  <c r="J615" i="3"/>
  <c r="K615" i="3"/>
  <c r="L615" i="3"/>
  <c r="M615" i="3"/>
  <c r="O615" i="3"/>
  <c r="P615" i="3" s="1"/>
  <c r="J616" i="3"/>
  <c r="K616" i="3"/>
  <c r="L616" i="3"/>
  <c r="M616" i="3"/>
  <c r="O616" i="3"/>
  <c r="P616" i="3" s="1"/>
  <c r="J617" i="3"/>
  <c r="K617" i="3"/>
  <c r="L617" i="3"/>
  <c r="M617" i="3"/>
  <c r="O617" i="3"/>
  <c r="P617" i="3" s="1"/>
  <c r="J618" i="3"/>
  <c r="K618" i="3"/>
  <c r="L618" i="3"/>
  <c r="M618" i="3"/>
  <c r="O618" i="3"/>
  <c r="P618" i="3" s="1"/>
  <c r="J619" i="3"/>
  <c r="K619" i="3"/>
  <c r="L619" i="3"/>
  <c r="M619" i="3"/>
  <c r="O619" i="3"/>
  <c r="P619" i="3" s="1"/>
  <c r="J620" i="3"/>
  <c r="K620" i="3"/>
  <c r="L620" i="3"/>
  <c r="M620" i="3"/>
  <c r="O620" i="3"/>
  <c r="P620" i="3" s="1"/>
  <c r="J621" i="3"/>
  <c r="K621" i="3"/>
  <c r="L621" i="3"/>
  <c r="M621" i="3"/>
  <c r="O621" i="3"/>
  <c r="P621" i="3" s="1"/>
  <c r="J622" i="3"/>
  <c r="K622" i="3"/>
  <c r="L622" i="3"/>
  <c r="M622" i="3"/>
  <c r="O622" i="3"/>
  <c r="P622" i="3" s="1"/>
  <c r="J623" i="3"/>
  <c r="K623" i="3"/>
  <c r="L623" i="3"/>
  <c r="M623" i="3"/>
  <c r="O623" i="3"/>
  <c r="P623" i="3" s="1"/>
  <c r="J624" i="3"/>
  <c r="K624" i="3"/>
  <c r="L624" i="3"/>
  <c r="M624" i="3"/>
  <c r="O624" i="3"/>
  <c r="P624" i="3" s="1"/>
  <c r="J625" i="3"/>
  <c r="K625" i="3"/>
  <c r="L625" i="3"/>
  <c r="M625" i="3"/>
  <c r="O625" i="3"/>
  <c r="P625" i="3" s="1"/>
  <c r="J626" i="3"/>
  <c r="K626" i="3"/>
  <c r="L626" i="3"/>
  <c r="M626" i="3"/>
  <c r="O626" i="3"/>
  <c r="P626" i="3" s="1"/>
  <c r="J627" i="3"/>
  <c r="K627" i="3"/>
  <c r="L627" i="3"/>
  <c r="M627" i="3"/>
  <c r="O627" i="3"/>
  <c r="P627" i="3" s="1"/>
  <c r="J628" i="3"/>
  <c r="K628" i="3"/>
  <c r="L628" i="3"/>
  <c r="M628" i="3"/>
  <c r="O628" i="3"/>
  <c r="P628" i="3" s="1"/>
  <c r="J629" i="3"/>
  <c r="K629" i="3"/>
  <c r="L629" i="3"/>
  <c r="M629" i="3"/>
  <c r="O629" i="3"/>
  <c r="P629" i="3" s="1"/>
  <c r="J630" i="3"/>
  <c r="K630" i="3"/>
  <c r="L630" i="3"/>
  <c r="M630" i="3"/>
  <c r="O630" i="3"/>
  <c r="P630" i="3" s="1"/>
  <c r="J631" i="3"/>
  <c r="K631" i="3"/>
  <c r="L631" i="3"/>
  <c r="M631" i="3"/>
  <c r="O631" i="3"/>
  <c r="P631" i="3" s="1"/>
  <c r="J632" i="3"/>
  <c r="K632" i="3"/>
  <c r="L632" i="3"/>
  <c r="M632" i="3"/>
  <c r="O632" i="3"/>
  <c r="P632" i="3" s="1"/>
  <c r="J633" i="3"/>
  <c r="K633" i="3"/>
  <c r="L633" i="3"/>
  <c r="M633" i="3"/>
  <c r="O633" i="3"/>
  <c r="P633" i="3" s="1"/>
  <c r="J634" i="3"/>
  <c r="K634" i="3"/>
  <c r="L634" i="3"/>
  <c r="M634" i="3"/>
  <c r="O634" i="3"/>
  <c r="P634" i="3" s="1"/>
  <c r="J635" i="3"/>
  <c r="K635" i="3"/>
  <c r="L635" i="3"/>
  <c r="M635" i="3"/>
  <c r="O635" i="3"/>
  <c r="P635" i="3" s="1"/>
  <c r="J636" i="3"/>
  <c r="K636" i="3"/>
  <c r="L636" i="3"/>
  <c r="M636" i="3"/>
  <c r="O636" i="3"/>
  <c r="P636" i="3" s="1"/>
  <c r="J637" i="3"/>
  <c r="K637" i="3"/>
  <c r="L637" i="3"/>
  <c r="M637" i="3"/>
  <c r="O637" i="3"/>
  <c r="P637" i="3" s="1"/>
  <c r="J638" i="3"/>
  <c r="K638" i="3"/>
  <c r="L638" i="3"/>
  <c r="M638" i="3"/>
  <c r="O638" i="3"/>
  <c r="P638" i="3" s="1"/>
  <c r="J639" i="3"/>
  <c r="K639" i="3"/>
  <c r="L639" i="3"/>
  <c r="M639" i="3"/>
  <c r="O639" i="3"/>
  <c r="P639" i="3" s="1"/>
  <c r="J640" i="3"/>
  <c r="K640" i="3"/>
  <c r="L640" i="3"/>
  <c r="M640" i="3"/>
  <c r="O640" i="3"/>
  <c r="P640" i="3" s="1"/>
  <c r="J641" i="3"/>
  <c r="K641" i="3"/>
  <c r="L641" i="3"/>
  <c r="M641" i="3"/>
  <c r="O641" i="3"/>
  <c r="P641" i="3" s="1"/>
  <c r="J642" i="3"/>
  <c r="K642" i="3"/>
  <c r="L642" i="3"/>
  <c r="M642" i="3"/>
  <c r="O642" i="3"/>
  <c r="P642" i="3" s="1"/>
  <c r="J643" i="3"/>
  <c r="K643" i="3"/>
  <c r="L643" i="3"/>
  <c r="M643" i="3"/>
  <c r="O643" i="3"/>
  <c r="P643" i="3" s="1"/>
  <c r="J644" i="3"/>
  <c r="K644" i="3"/>
  <c r="L644" i="3"/>
  <c r="M644" i="3"/>
  <c r="O644" i="3"/>
  <c r="P644" i="3" s="1"/>
  <c r="J645" i="3"/>
  <c r="K645" i="3"/>
  <c r="L645" i="3"/>
  <c r="M645" i="3"/>
  <c r="O645" i="3"/>
  <c r="P645" i="3" s="1"/>
  <c r="J646" i="3"/>
  <c r="K646" i="3"/>
  <c r="L646" i="3"/>
  <c r="M646" i="3"/>
  <c r="O646" i="3"/>
  <c r="P646" i="3" s="1"/>
  <c r="J647" i="3"/>
  <c r="K647" i="3"/>
  <c r="L647" i="3"/>
  <c r="M647" i="3"/>
  <c r="O647" i="3"/>
  <c r="P647" i="3" s="1"/>
  <c r="J648" i="3"/>
  <c r="K648" i="3"/>
  <c r="L648" i="3"/>
  <c r="M648" i="3"/>
  <c r="O648" i="3"/>
  <c r="P648" i="3" s="1"/>
  <c r="J649" i="3"/>
  <c r="K649" i="3"/>
  <c r="L649" i="3"/>
  <c r="M649" i="3"/>
  <c r="O649" i="3"/>
  <c r="P649" i="3" s="1"/>
  <c r="J650" i="3"/>
  <c r="K650" i="3"/>
  <c r="L650" i="3"/>
  <c r="M650" i="3"/>
  <c r="O650" i="3"/>
  <c r="P650" i="3" s="1"/>
  <c r="J651" i="3"/>
  <c r="K651" i="3"/>
  <c r="L651" i="3"/>
  <c r="M651" i="3"/>
  <c r="O651" i="3"/>
  <c r="P651" i="3" s="1"/>
  <c r="J652" i="3"/>
  <c r="K652" i="3"/>
  <c r="L652" i="3"/>
  <c r="M652" i="3"/>
  <c r="O652" i="3"/>
  <c r="P652" i="3" s="1"/>
  <c r="J653" i="3"/>
  <c r="K653" i="3"/>
  <c r="L653" i="3"/>
  <c r="M653" i="3"/>
  <c r="O653" i="3"/>
  <c r="P653" i="3" s="1"/>
  <c r="J654" i="3"/>
  <c r="K654" i="3"/>
  <c r="L654" i="3"/>
  <c r="M654" i="3"/>
  <c r="O654" i="3"/>
  <c r="P654" i="3" s="1"/>
  <c r="J655" i="3"/>
  <c r="K655" i="3"/>
  <c r="L655" i="3"/>
  <c r="M655" i="3"/>
  <c r="O655" i="3"/>
  <c r="P655" i="3" s="1"/>
  <c r="J656" i="3"/>
  <c r="K656" i="3"/>
  <c r="L656" i="3"/>
  <c r="M656" i="3"/>
  <c r="O656" i="3"/>
  <c r="P656" i="3" s="1"/>
  <c r="J657" i="3"/>
  <c r="K657" i="3"/>
  <c r="L657" i="3"/>
  <c r="M657" i="3"/>
  <c r="O657" i="3"/>
  <c r="P657" i="3" s="1"/>
  <c r="J658" i="3"/>
  <c r="K658" i="3"/>
  <c r="L658" i="3"/>
  <c r="M658" i="3"/>
  <c r="O658" i="3"/>
  <c r="P658" i="3" s="1"/>
  <c r="J659" i="3"/>
  <c r="K659" i="3"/>
  <c r="L659" i="3"/>
  <c r="M659" i="3"/>
  <c r="O659" i="3"/>
  <c r="P659" i="3" s="1"/>
  <c r="J660" i="3"/>
  <c r="K660" i="3"/>
  <c r="L660" i="3"/>
  <c r="M660" i="3"/>
  <c r="O660" i="3"/>
  <c r="P660" i="3" s="1"/>
  <c r="J661" i="3"/>
  <c r="K661" i="3"/>
  <c r="L661" i="3"/>
  <c r="M661" i="3"/>
  <c r="O661" i="3"/>
  <c r="P661" i="3" s="1"/>
  <c r="J662" i="3"/>
  <c r="K662" i="3"/>
  <c r="L662" i="3"/>
  <c r="M662" i="3"/>
  <c r="O662" i="3"/>
  <c r="P662" i="3" s="1"/>
  <c r="J663" i="3"/>
  <c r="K663" i="3"/>
  <c r="L663" i="3"/>
  <c r="M663" i="3"/>
  <c r="O663" i="3"/>
  <c r="P663" i="3" s="1"/>
  <c r="J664" i="3"/>
  <c r="K664" i="3"/>
  <c r="L664" i="3"/>
  <c r="M664" i="3"/>
  <c r="O664" i="3"/>
  <c r="P664" i="3" s="1"/>
  <c r="J665" i="3"/>
  <c r="K665" i="3"/>
  <c r="L665" i="3"/>
  <c r="M665" i="3"/>
  <c r="O665" i="3"/>
  <c r="P665" i="3" s="1"/>
  <c r="J666" i="3"/>
  <c r="K666" i="3"/>
  <c r="L666" i="3"/>
  <c r="M666" i="3"/>
  <c r="O666" i="3"/>
  <c r="P666" i="3" s="1"/>
  <c r="J667" i="3"/>
  <c r="K667" i="3"/>
  <c r="L667" i="3"/>
  <c r="M667" i="3"/>
  <c r="O667" i="3"/>
  <c r="P667" i="3" s="1"/>
  <c r="J668" i="3"/>
  <c r="K668" i="3"/>
  <c r="L668" i="3"/>
  <c r="M668" i="3"/>
  <c r="O668" i="3"/>
  <c r="P668" i="3" s="1"/>
  <c r="J669" i="3"/>
  <c r="K669" i="3"/>
  <c r="L669" i="3"/>
  <c r="M669" i="3"/>
  <c r="O669" i="3"/>
  <c r="P669" i="3" s="1"/>
  <c r="J670" i="3"/>
  <c r="K670" i="3"/>
  <c r="L670" i="3"/>
  <c r="M670" i="3"/>
  <c r="O670" i="3"/>
  <c r="P670" i="3" s="1"/>
  <c r="J671" i="3"/>
  <c r="K671" i="3"/>
  <c r="L671" i="3"/>
  <c r="M671" i="3"/>
  <c r="O671" i="3"/>
  <c r="P671" i="3" s="1"/>
  <c r="J672" i="3"/>
  <c r="K672" i="3"/>
  <c r="L672" i="3"/>
  <c r="M672" i="3"/>
  <c r="O672" i="3"/>
  <c r="P672" i="3" s="1"/>
  <c r="J673" i="3"/>
  <c r="K673" i="3"/>
  <c r="L673" i="3"/>
  <c r="M673" i="3"/>
  <c r="O673" i="3"/>
  <c r="P673" i="3" s="1"/>
  <c r="J674" i="3"/>
  <c r="K674" i="3"/>
  <c r="L674" i="3"/>
  <c r="M674" i="3"/>
  <c r="O674" i="3"/>
  <c r="P674" i="3" s="1"/>
  <c r="J675" i="3"/>
  <c r="K675" i="3"/>
  <c r="L675" i="3"/>
  <c r="M675" i="3"/>
  <c r="O675" i="3"/>
  <c r="P675" i="3" s="1"/>
  <c r="J676" i="3"/>
  <c r="K676" i="3"/>
  <c r="L676" i="3"/>
  <c r="M676" i="3"/>
  <c r="O676" i="3"/>
  <c r="P676" i="3" s="1"/>
  <c r="J677" i="3"/>
  <c r="K677" i="3"/>
  <c r="L677" i="3"/>
  <c r="M677" i="3"/>
  <c r="O677" i="3"/>
  <c r="P677" i="3" s="1"/>
  <c r="J678" i="3"/>
  <c r="K678" i="3"/>
  <c r="L678" i="3"/>
  <c r="M678" i="3"/>
  <c r="O678" i="3"/>
  <c r="P678" i="3" s="1"/>
  <c r="J679" i="3"/>
  <c r="K679" i="3"/>
  <c r="L679" i="3"/>
  <c r="M679" i="3"/>
  <c r="O679" i="3"/>
  <c r="P679" i="3" s="1"/>
  <c r="J680" i="3"/>
  <c r="K680" i="3"/>
  <c r="L680" i="3"/>
  <c r="M680" i="3"/>
  <c r="O680" i="3"/>
  <c r="P680" i="3" s="1"/>
  <c r="J681" i="3"/>
  <c r="K681" i="3"/>
  <c r="L681" i="3"/>
  <c r="M681" i="3"/>
  <c r="O681" i="3"/>
  <c r="P681" i="3" s="1"/>
  <c r="J682" i="3"/>
  <c r="K682" i="3"/>
  <c r="L682" i="3"/>
  <c r="M682" i="3"/>
  <c r="O682" i="3"/>
  <c r="P682" i="3" s="1"/>
  <c r="J683" i="3"/>
  <c r="K683" i="3"/>
  <c r="L683" i="3"/>
  <c r="M683" i="3"/>
  <c r="O683" i="3"/>
  <c r="P683" i="3" s="1"/>
  <c r="J684" i="3"/>
  <c r="K684" i="3"/>
  <c r="L684" i="3"/>
  <c r="M684" i="3"/>
  <c r="O684" i="3"/>
  <c r="P684" i="3" s="1"/>
  <c r="J685" i="3"/>
  <c r="K685" i="3"/>
  <c r="L685" i="3"/>
  <c r="M685" i="3"/>
  <c r="O685" i="3"/>
  <c r="P685" i="3" s="1"/>
  <c r="J686" i="3"/>
  <c r="K686" i="3"/>
  <c r="L686" i="3"/>
  <c r="M686" i="3"/>
  <c r="O686" i="3"/>
  <c r="P686" i="3" s="1"/>
  <c r="J687" i="3"/>
  <c r="K687" i="3"/>
  <c r="L687" i="3"/>
  <c r="M687" i="3"/>
  <c r="O687" i="3"/>
  <c r="P687" i="3" s="1"/>
  <c r="J688" i="3"/>
  <c r="K688" i="3"/>
  <c r="L688" i="3"/>
  <c r="M688" i="3"/>
  <c r="O688" i="3"/>
  <c r="P688" i="3" s="1"/>
  <c r="J689" i="3"/>
  <c r="K689" i="3"/>
  <c r="L689" i="3"/>
  <c r="M689" i="3"/>
  <c r="O689" i="3"/>
  <c r="P689" i="3" s="1"/>
  <c r="J690" i="3"/>
  <c r="K690" i="3"/>
  <c r="L690" i="3"/>
  <c r="M690" i="3"/>
  <c r="O690" i="3"/>
  <c r="P690" i="3" s="1"/>
  <c r="J691" i="3"/>
  <c r="K691" i="3"/>
  <c r="L691" i="3"/>
  <c r="M691" i="3"/>
  <c r="O691" i="3"/>
  <c r="P691" i="3" s="1"/>
  <c r="J692" i="3"/>
  <c r="K692" i="3"/>
  <c r="L692" i="3"/>
  <c r="M692" i="3"/>
  <c r="O692" i="3"/>
  <c r="P692" i="3" s="1"/>
  <c r="J693" i="3"/>
  <c r="K693" i="3"/>
  <c r="L693" i="3"/>
  <c r="M693" i="3"/>
  <c r="O693" i="3"/>
  <c r="P693" i="3" s="1"/>
  <c r="J694" i="3"/>
  <c r="K694" i="3"/>
  <c r="L694" i="3"/>
  <c r="M694" i="3"/>
  <c r="O694" i="3"/>
  <c r="P694" i="3" s="1"/>
  <c r="J695" i="3"/>
  <c r="K695" i="3"/>
  <c r="L695" i="3"/>
  <c r="M695" i="3"/>
  <c r="O695" i="3"/>
  <c r="P695" i="3" s="1"/>
  <c r="J696" i="3"/>
  <c r="K696" i="3"/>
  <c r="L696" i="3"/>
  <c r="M696" i="3"/>
  <c r="O696" i="3"/>
  <c r="P696" i="3" s="1"/>
  <c r="J697" i="3"/>
  <c r="K697" i="3"/>
  <c r="L697" i="3"/>
  <c r="M697" i="3"/>
  <c r="O697" i="3"/>
  <c r="P697" i="3" s="1"/>
  <c r="J698" i="3"/>
  <c r="K698" i="3"/>
  <c r="L698" i="3"/>
  <c r="M698" i="3"/>
  <c r="O698" i="3"/>
  <c r="P698" i="3" s="1"/>
  <c r="J699" i="3"/>
  <c r="K699" i="3"/>
  <c r="L699" i="3"/>
  <c r="M699" i="3"/>
  <c r="O699" i="3"/>
  <c r="P699" i="3" s="1"/>
  <c r="J700" i="3"/>
  <c r="K700" i="3"/>
  <c r="L700" i="3"/>
  <c r="M700" i="3"/>
  <c r="O700" i="3"/>
  <c r="P700" i="3" s="1"/>
  <c r="J701" i="3"/>
  <c r="K701" i="3"/>
  <c r="L701" i="3"/>
  <c r="M701" i="3"/>
  <c r="O701" i="3"/>
  <c r="P701" i="3" s="1"/>
  <c r="J702" i="3"/>
  <c r="K702" i="3"/>
  <c r="L702" i="3"/>
  <c r="M702" i="3"/>
  <c r="O702" i="3"/>
  <c r="P702" i="3" s="1"/>
  <c r="J703" i="3"/>
  <c r="K703" i="3"/>
  <c r="L703" i="3"/>
  <c r="M703" i="3"/>
  <c r="O703" i="3"/>
  <c r="P703" i="3" s="1"/>
  <c r="J704" i="3"/>
  <c r="K704" i="3"/>
  <c r="L704" i="3"/>
  <c r="M704" i="3"/>
  <c r="O704" i="3"/>
  <c r="P704" i="3" s="1"/>
  <c r="J705" i="3"/>
  <c r="K705" i="3"/>
  <c r="L705" i="3"/>
  <c r="M705" i="3"/>
  <c r="O705" i="3"/>
  <c r="P705" i="3" s="1"/>
  <c r="J706" i="3"/>
  <c r="K706" i="3"/>
  <c r="L706" i="3"/>
  <c r="M706" i="3"/>
  <c r="O706" i="3"/>
  <c r="P706" i="3" s="1"/>
  <c r="J707" i="3"/>
  <c r="K707" i="3"/>
  <c r="L707" i="3"/>
  <c r="M707" i="3"/>
  <c r="O707" i="3"/>
  <c r="P707" i="3" s="1"/>
  <c r="J708" i="3"/>
  <c r="K708" i="3"/>
  <c r="L708" i="3"/>
  <c r="M708" i="3"/>
  <c r="O708" i="3"/>
  <c r="P708" i="3" s="1"/>
  <c r="J709" i="3"/>
  <c r="K709" i="3"/>
  <c r="L709" i="3"/>
  <c r="M709" i="3"/>
  <c r="O709" i="3"/>
  <c r="P709" i="3" s="1"/>
  <c r="J710" i="3"/>
  <c r="K710" i="3"/>
  <c r="L710" i="3"/>
  <c r="M710" i="3"/>
  <c r="O710" i="3"/>
  <c r="P710" i="3" s="1"/>
  <c r="J711" i="3"/>
  <c r="K711" i="3"/>
  <c r="L711" i="3"/>
  <c r="M711" i="3"/>
  <c r="O711" i="3"/>
  <c r="P711" i="3" s="1"/>
  <c r="J712" i="3"/>
  <c r="K712" i="3"/>
  <c r="L712" i="3"/>
  <c r="M712" i="3"/>
  <c r="O712" i="3"/>
  <c r="P712" i="3" s="1"/>
  <c r="J713" i="3"/>
  <c r="K713" i="3"/>
  <c r="L713" i="3"/>
  <c r="M713" i="3"/>
  <c r="O713" i="3"/>
  <c r="P713" i="3" s="1"/>
  <c r="J714" i="3"/>
  <c r="K714" i="3"/>
  <c r="L714" i="3"/>
  <c r="M714" i="3"/>
  <c r="O714" i="3"/>
  <c r="P714" i="3" s="1"/>
  <c r="J715" i="3"/>
  <c r="K715" i="3"/>
  <c r="L715" i="3"/>
  <c r="M715" i="3"/>
  <c r="O715" i="3"/>
  <c r="P715" i="3" s="1"/>
  <c r="J716" i="3"/>
  <c r="K716" i="3"/>
  <c r="L716" i="3"/>
  <c r="M716" i="3"/>
  <c r="O716" i="3"/>
  <c r="P716" i="3" s="1"/>
  <c r="J717" i="3"/>
  <c r="K717" i="3"/>
  <c r="L717" i="3"/>
  <c r="M717" i="3"/>
  <c r="O717" i="3"/>
  <c r="P717" i="3" s="1"/>
  <c r="J718" i="3"/>
  <c r="K718" i="3"/>
  <c r="L718" i="3"/>
  <c r="M718" i="3"/>
  <c r="O718" i="3"/>
  <c r="P718" i="3" s="1"/>
  <c r="J719" i="3"/>
  <c r="K719" i="3"/>
  <c r="L719" i="3"/>
  <c r="M719" i="3"/>
  <c r="O719" i="3"/>
  <c r="P719" i="3" s="1"/>
  <c r="J720" i="3"/>
  <c r="K720" i="3"/>
  <c r="L720" i="3"/>
  <c r="M720" i="3"/>
  <c r="O720" i="3"/>
  <c r="P720" i="3" s="1"/>
  <c r="J721" i="3"/>
  <c r="K721" i="3"/>
  <c r="L721" i="3"/>
  <c r="M721" i="3"/>
  <c r="O721" i="3"/>
  <c r="P721" i="3" s="1"/>
  <c r="J722" i="3"/>
  <c r="K722" i="3"/>
  <c r="L722" i="3"/>
  <c r="M722" i="3"/>
  <c r="O722" i="3"/>
  <c r="P722" i="3" s="1"/>
  <c r="J723" i="3"/>
  <c r="K723" i="3"/>
  <c r="L723" i="3"/>
  <c r="M723" i="3"/>
  <c r="O723" i="3"/>
  <c r="P723" i="3" s="1"/>
  <c r="J724" i="3"/>
  <c r="K724" i="3"/>
  <c r="L724" i="3"/>
  <c r="M724" i="3"/>
  <c r="O724" i="3"/>
  <c r="P724" i="3" s="1"/>
  <c r="J725" i="3"/>
  <c r="K725" i="3"/>
  <c r="L725" i="3"/>
  <c r="M725" i="3"/>
  <c r="O725" i="3"/>
  <c r="P725" i="3" s="1"/>
  <c r="J726" i="3"/>
  <c r="K726" i="3"/>
  <c r="L726" i="3"/>
  <c r="M726" i="3"/>
  <c r="O726" i="3"/>
  <c r="P726" i="3" s="1"/>
  <c r="J727" i="3"/>
  <c r="K727" i="3"/>
  <c r="L727" i="3"/>
  <c r="M727" i="3"/>
  <c r="O727" i="3"/>
  <c r="P727" i="3" s="1"/>
  <c r="J728" i="3"/>
  <c r="K728" i="3"/>
  <c r="L728" i="3"/>
  <c r="M728" i="3"/>
  <c r="O728" i="3"/>
  <c r="P728" i="3" s="1"/>
  <c r="J729" i="3"/>
  <c r="K729" i="3"/>
  <c r="L729" i="3"/>
  <c r="M729" i="3"/>
  <c r="O729" i="3"/>
  <c r="P729" i="3" s="1"/>
  <c r="J730" i="3"/>
  <c r="K730" i="3"/>
  <c r="L730" i="3"/>
  <c r="M730" i="3"/>
  <c r="O730" i="3"/>
  <c r="P730" i="3" s="1"/>
  <c r="J731" i="3"/>
  <c r="K731" i="3"/>
  <c r="L731" i="3"/>
  <c r="M731" i="3"/>
  <c r="O731" i="3"/>
  <c r="P731" i="3" s="1"/>
  <c r="J732" i="3"/>
  <c r="K732" i="3"/>
  <c r="L732" i="3"/>
  <c r="M732" i="3"/>
  <c r="O732" i="3"/>
  <c r="P732" i="3" s="1"/>
  <c r="J733" i="3"/>
  <c r="K733" i="3"/>
  <c r="L733" i="3"/>
  <c r="M733" i="3"/>
  <c r="O733" i="3"/>
  <c r="P733" i="3" s="1"/>
  <c r="J734" i="3"/>
  <c r="K734" i="3"/>
  <c r="L734" i="3"/>
  <c r="M734" i="3"/>
  <c r="O734" i="3"/>
  <c r="P734" i="3" s="1"/>
  <c r="J735" i="3"/>
  <c r="K735" i="3"/>
  <c r="L735" i="3"/>
  <c r="M735" i="3"/>
  <c r="O735" i="3"/>
  <c r="P735" i="3" s="1"/>
  <c r="J736" i="3"/>
  <c r="K736" i="3"/>
  <c r="L736" i="3"/>
  <c r="M736" i="3"/>
  <c r="O736" i="3"/>
  <c r="P736" i="3" s="1"/>
  <c r="J737" i="3"/>
  <c r="K737" i="3"/>
  <c r="L737" i="3"/>
  <c r="M737" i="3"/>
  <c r="O737" i="3"/>
  <c r="P737" i="3" s="1"/>
  <c r="J738" i="3"/>
  <c r="K738" i="3"/>
  <c r="L738" i="3"/>
  <c r="M738" i="3"/>
  <c r="O738" i="3"/>
  <c r="P738" i="3" s="1"/>
  <c r="J739" i="3"/>
  <c r="K739" i="3"/>
  <c r="L739" i="3"/>
  <c r="M739" i="3"/>
  <c r="O739" i="3"/>
  <c r="P739" i="3" s="1"/>
  <c r="J740" i="3"/>
  <c r="K740" i="3"/>
  <c r="L740" i="3"/>
  <c r="M740" i="3"/>
  <c r="O740" i="3"/>
  <c r="P740" i="3" s="1"/>
  <c r="J741" i="3"/>
  <c r="K741" i="3"/>
  <c r="L741" i="3"/>
  <c r="M741" i="3"/>
  <c r="O741" i="3"/>
  <c r="P741" i="3" s="1"/>
  <c r="J742" i="3"/>
  <c r="K742" i="3"/>
  <c r="O742" i="3" s="1"/>
  <c r="P742" i="3" s="1"/>
  <c r="L742" i="3"/>
  <c r="M742" i="3"/>
  <c r="J743" i="3"/>
  <c r="K743" i="3"/>
  <c r="L743" i="3"/>
  <c r="M743" i="3"/>
  <c r="O743" i="3"/>
  <c r="P743" i="3" s="1"/>
  <c r="J744" i="3"/>
  <c r="K744" i="3"/>
  <c r="O744" i="3" s="1"/>
  <c r="P744" i="3" s="1"/>
  <c r="L744" i="3"/>
  <c r="M744" i="3"/>
  <c r="J745" i="3"/>
  <c r="K745" i="3"/>
  <c r="L745" i="3"/>
  <c r="M745" i="3"/>
  <c r="O745" i="3"/>
  <c r="P745" i="3" s="1"/>
  <c r="J746" i="3"/>
  <c r="K746" i="3"/>
  <c r="O746" i="3" s="1"/>
  <c r="P746" i="3" s="1"/>
  <c r="L746" i="3"/>
  <c r="M746" i="3"/>
  <c r="J747" i="3"/>
  <c r="K747" i="3"/>
  <c r="L747" i="3"/>
  <c r="M747" i="3"/>
  <c r="O747" i="3"/>
  <c r="P747" i="3" s="1"/>
  <c r="J748" i="3"/>
  <c r="K748" i="3"/>
  <c r="O748" i="3" s="1"/>
  <c r="P748" i="3" s="1"/>
  <c r="L748" i="3"/>
  <c r="M748" i="3"/>
  <c r="J749" i="3"/>
  <c r="K749" i="3"/>
  <c r="L749" i="3"/>
  <c r="M749" i="3"/>
  <c r="O749" i="3"/>
  <c r="P749" i="3" s="1"/>
  <c r="J750" i="3"/>
  <c r="K750" i="3"/>
  <c r="O750" i="3" s="1"/>
  <c r="P750" i="3" s="1"/>
  <c r="L750" i="3"/>
  <c r="M750" i="3"/>
  <c r="J751" i="3"/>
  <c r="K751" i="3"/>
  <c r="L751" i="3"/>
  <c r="M751" i="3"/>
  <c r="O751" i="3"/>
  <c r="P751" i="3" s="1"/>
  <c r="J752" i="3"/>
  <c r="K752" i="3"/>
  <c r="O752" i="3" s="1"/>
  <c r="P752" i="3" s="1"/>
  <c r="L752" i="3"/>
  <c r="M752" i="3"/>
  <c r="J753" i="3"/>
  <c r="K753" i="3"/>
  <c r="L753" i="3"/>
  <c r="M753" i="3"/>
  <c r="O753" i="3"/>
  <c r="P753" i="3" s="1"/>
  <c r="J754" i="3"/>
  <c r="K754" i="3"/>
  <c r="O754" i="3" s="1"/>
  <c r="P754" i="3" s="1"/>
  <c r="L754" i="3"/>
  <c r="M754" i="3"/>
  <c r="J755" i="3"/>
  <c r="K755" i="3"/>
  <c r="L755" i="3"/>
  <c r="M755" i="3"/>
  <c r="O755" i="3"/>
  <c r="P755" i="3" s="1"/>
  <c r="J756" i="3"/>
  <c r="K756" i="3"/>
  <c r="O756" i="3" s="1"/>
  <c r="P756" i="3" s="1"/>
  <c r="L756" i="3"/>
  <c r="M756" i="3"/>
  <c r="J757" i="3"/>
  <c r="K757" i="3"/>
  <c r="L757" i="3"/>
  <c r="M757" i="3"/>
  <c r="O757" i="3"/>
  <c r="P757" i="3" s="1"/>
  <c r="J758" i="3"/>
  <c r="K758" i="3"/>
  <c r="O758" i="3" s="1"/>
  <c r="P758" i="3" s="1"/>
  <c r="L758" i="3"/>
  <c r="M758" i="3"/>
  <c r="J759" i="3"/>
  <c r="K759" i="3"/>
  <c r="L759" i="3"/>
  <c r="M759" i="3"/>
  <c r="O759" i="3"/>
  <c r="P759" i="3" s="1"/>
  <c r="J760" i="3"/>
  <c r="K760" i="3"/>
  <c r="O760" i="3" s="1"/>
  <c r="P760" i="3" s="1"/>
  <c r="L760" i="3"/>
  <c r="M760" i="3"/>
  <c r="J761" i="3"/>
  <c r="K761" i="3"/>
  <c r="L761" i="3"/>
  <c r="M761" i="3"/>
  <c r="O761" i="3"/>
  <c r="P761" i="3" s="1"/>
  <c r="J762" i="3"/>
  <c r="K762" i="3"/>
  <c r="O762" i="3" s="1"/>
  <c r="P762" i="3" s="1"/>
  <c r="L762" i="3"/>
  <c r="M762" i="3"/>
  <c r="J763" i="3"/>
  <c r="K763" i="3"/>
  <c r="L763" i="3"/>
  <c r="M763" i="3"/>
  <c r="O763" i="3"/>
  <c r="P763" i="3" s="1"/>
  <c r="J764" i="3"/>
  <c r="K764" i="3"/>
  <c r="L764" i="3"/>
  <c r="M764" i="3"/>
  <c r="O764" i="3"/>
  <c r="P764" i="3" s="1"/>
  <c r="J765" i="3"/>
  <c r="K765" i="3"/>
  <c r="L765" i="3"/>
  <c r="M765" i="3"/>
  <c r="O765" i="3"/>
  <c r="P765" i="3" s="1"/>
  <c r="J766" i="3"/>
  <c r="K766" i="3"/>
  <c r="L766" i="3"/>
  <c r="M766" i="3"/>
  <c r="O766" i="3"/>
  <c r="P766" i="3" s="1"/>
  <c r="J767" i="3"/>
  <c r="K767" i="3"/>
  <c r="L767" i="3"/>
  <c r="M767" i="3"/>
  <c r="O767" i="3"/>
  <c r="P767" i="3" s="1"/>
  <c r="J768" i="3"/>
  <c r="K768" i="3"/>
  <c r="L768" i="3"/>
  <c r="M768" i="3"/>
  <c r="O768" i="3"/>
  <c r="P768" i="3" s="1"/>
  <c r="J769" i="3"/>
  <c r="K769" i="3"/>
  <c r="L769" i="3"/>
  <c r="M769" i="3"/>
  <c r="O769" i="3"/>
  <c r="P769" i="3" s="1"/>
  <c r="J770" i="3"/>
  <c r="K770" i="3"/>
  <c r="L770" i="3"/>
  <c r="M770" i="3"/>
  <c r="O770" i="3"/>
  <c r="P770" i="3" s="1"/>
  <c r="J771" i="3"/>
  <c r="K771" i="3"/>
  <c r="L771" i="3"/>
  <c r="M771" i="3"/>
  <c r="O771" i="3"/>
  <c r="P771" i="3" s="1"/>
  <c r="J772" i="3"/>
  <c r="K772" i="3"/>
  <c r="L772" i="3"/>
  <c r="M772" i="3"/>
  <c r="O772" i="3"/>
  <c r="P772" i="3" s="1"/>
  <c r="J773" i="3"/>
  <c r="K773" i="3"/>
  <c r="L773" i="3"/>
  <c r="M773" i="3"/>
  <c r="O773" i="3"/>
  <c r="P773" i="3" s="1"/>
  <c r="J774" i="3"/>
  <c r="K774" i="3"/>
  <c r="L774" i="3"/>
  <c r="M774" i="3"/>
  <c r="O774" i="3"/>
  <c r="P774" i="3" s="1"/>
  <c r="J775" i="3"/>
  <c r="K775" i="3"/>
  <c r="L775" i="3"/>
  <c r="M775" i="3"/>
  <c r="O775" i="3"/>
  <c r="P775" i="3" s="1"/>
  <c r="J776" i="3"/>
  <c r="K776" i="3"/>
  <c r="L776" i="3"/>
  <c r="M776" i="3"/>
  <c r="O776" i="3"/>
  <c r="P776" i="3" s="1"/>
  <c r="J777" i="3"/>
  <c r="K777" i="3"/>
  <c r="L777" i="3"/>
  <c r="M777" i="3"/>
  <c r="O777" i="3"/>
  <c r="P777" i="3" s="1"/>
  <c r="J778" i="3"/>
  <c r="K778" i="3"/>
  <c r="L778" i="3"/>
  <c r="M778" i="3"/>
  <c r="O778" i="3"/>
  <c r="P778" i="3" s="1"/>
  <c r="J779" i="3"/>
  <c r="K779" i="3"/>
  <c r="L779" i="3"/>
  <c r="M779" i="3"/>
  <c r="O779" i="3"/>
  <c r="P779" i="3" s="1"/>
  <c r="J780" i="3"/>
  <c r="K780" i="3"/>
  <c r="L780" i="3"/>
  <c r="M780" i="3"/>
  <c r="O780" i="3"/>
  <c r="P780" i="3" s="1"/>
  <c r="J781" i="3"/>
  <c r="K781" i="3"/>
  <c r="L781" i="3"/>
  <c r="M781" i="3"/>
  <c r="O781" i="3"/>
  <c r="P781" i="3" s="1"/>
  <c r="J782" i="3"/>
  <c r="K782" i="3"/>
  <c r="L782" i="3"/>
  <c r="M782" i="3"/>
  <c r="O782" i="3"/>
  <c r="P782" i="3" s="1"/>
  <c r="J783" i="3"/>
  <c r="K783" i="3"/>
  <c r="L783" i="3"/>
  <c r="M783" i="3"/>
  <c r="O783" i="3"/>
  <c r="P783" i="3" s="1"/>
  <c r="J784" i="3"/>
  <c r="K784" i="3"/>
  <c r="L784" i="3"/>
  <c r="M784" i="3"/>
  <c r="O784" i="3"/>
  <c r="P784" i="3" s="1"/>
  <c r="J785" i="3"/>
  <c r="K785" i="3"/>
  <c r="L785" i="3"/>
  <c r="M785" i="3"/>
  <c r="O785" i="3"/>
  <c r="P785" i="3" s="1"/>
  <c r="J786" i="3"/>
  <c r="K786" i="3"/>
  <c r="L786" i="3"/>
  <c r="M786" i="3"/>
  <c r="O786" i="3"/>
  <c r="P786" i="3" s="1"/>
  <c r="J787" i="3"/>
  <c r="K787" i="3"/>
  <c r="L787" i="3"/>
  <c r="M787" i="3"/>
  <c r="O787" i="3"/>
  <c r="P787" i="3" s="1"/>
  <c r="J788" i="3"/>
  <c r="K788" i="3"/>
  <c r="L788" i="3"/>
  <c r="M788" i="3"/>
  <c r="O788" i="3"/>
  <c r="P788" i="3" s="1"/>
  <c r="J789" i="3"/>
  <c r="K789" i="3"/>
  <c r="L789" i="3"/>
  <c r="M789" i="3"/>
  <c r="O789" i="3"/>
  <c r="P789" i="3" s="1"/>
  <c r="J790" i="3"/>
  <c r="K790" i="3"/>
  <c r="L790" i="3"/>
  <c r="M790" i="3"/>
  <c r="O790" i="3"/>
  <c r="P790" i="3" s="1"/>
  <c r="J791" i="3"/>
  <c r="K791" i="3"/>
  <c r="L791" i="3"/>
  <c r="M791" i="3"/>
  <c r="O791" i="3"/>
  <c r="P791" i="3" s="1"/>
  <c r="J792" i="3"/>
  <c r="K792" i="3"/>
  <c r="L792" i="3"/>
  <c r="M792" i="3"/>
  <c r="O792" i="3"/>
  <c r="P792" i="3" s="1"/>
  <c r="J793" i="3"/>
  <c r="K793" i="3"/>
  <c r="L793" i="3"/>
  <c r="M793" i="3"/>
  <c r="O793" i="3"/>
  <c r="P793" i="3" s="1"/>
  <c r="J794" i="3"/>
  <c r="K794" i="3"/>
  <c r="L794" i="3"/>
  <c r="M794" i="3"/>
  <c r="O794" i="3"/>
  <c r="P794" i="3" s="1"/>
  <c r="J795" i="3"/>
  <c r="K795" i="3"/>
  <c r="L795" i="3"/>
  <c r="M795" i="3"/>
  <c r="O795" i="3"/>
  <c r="P795" i="3" s="1"/>
  <c r="J796" i="3"/>
  <c r="K796" i="3"/>
  <c r="L796" i="3"/>
  <c r="M796" i="3"/>
  <c r="O796" i="3"/>
  <c r="P796" i="3" s="1"/>
  <c r="J797" i="3"/>
  <c r="K797" i="3"/>
  <c r="L797" i="3"/>
  <c r="M797" i="3"/>
  <c r="O797" i="3"/>
  <c r="P797" i="3" s="1"/>
  <c r="J798" i="3"/>
  <c r="K798" i="3"/>
  <c r="L798" i="3"/>
  <c r="M798" i="3"/>
  <c r="O798" i="3"/>
  <c r="P798" i="3" s="1"/>
  <c r="J799" i="3"/>
  <c r="K799" i="3"/>
  <c r="L799" i="3"/>
  <c r="M799" i="3"/>
  <c r="O799" i="3"/>
  <c r="P799" i="3" s="1"/>
  <c r="J800" i="3"/>
  <c r="K800" i="3"/>
  <c r="L800" i="3"/>
  <c r="M800" i="3"/>
  <c r="O800" i="3"/>
  <c r="P800" i="3" s="1"/>
  <c r="J801" i="3"/>
  <c r="K801" i="3"/>
  <c r="L801" i="3"/>
  <c r="M801" i="3"/>
  <c r="O801" i="3"/>
  <c r="P801" i="3" s="1"/>
  <c r="J802" i="3"/>
  <c r="K802" i="3"/>
  <c r="L802" i="3"/>
  <c r="M802" i="3"/>
  <c r="O802" i="3"/>
  <c r="P802" i="3" s="1"/>
  <c r="J803" i="3"/>
  <c r="K803" i="3"/>
  <c r="L803" i="3"/>
  <c r="M803" i="3"/>
  <c r="O803" i="3"/>
  <c r="P803" i="3" s="1"/>
  <c r="J804" i="3"/>
  <c r="K804" i="3"/>
  <c r="L804" i="3"/>
  <c r="M804" i="3"/>
  <c r="O804" i="3"/>
  <c r="P804" i="3" s="1"/>
  <c r="J805" i="3"/>
  <c r="K805" i="3"/>
  <c r="L805" i="3"/>
  <c r="M805" i="3"/>
  <c r="O805" i="3"/>
  <c r="P805" i="3" s="1"/>
  <c r="J806" i="3"/>
  <c r="K806" i="3"/>
  <c r="L806" i="3"/>
  <c r="M806" i="3"/>
  <c r="O806" i="3"/>
  <c r="P806" i="3" s="1"/>
  <c r="J807" i="3"/>
  <c r="K807" i="3"/>
  <c r="L807" i="3"/>
  <c r="M807" i="3"/>
  <c r="O807" i="3"/>
  <c r="P807" i="3" s="1"/>
  <c r="J808" i="3"/>
  <c r="K808" i="3"/>
  <c r="L808" i="3"/>
  <c r="M808" i="3"/>
  <c r="O808" i="3"/>
  <c r="P808" i="3" s="1"/>
  <c r="J809" i="3"/>
  <c r="K809" i="3"/>
  <c r="L809" i="3"/>
  <c r="M809" i="3"/>
  <c r="O809" i="3"/>
  <c r="P809" i="3" s="1"/>
  <c r="J810" i="3"/>
  <c r="K810" i="3"/>
  <c r="L810" i="3"/>
  <c r="M810" i="3"/>
  <c r="O810" i="3"/>
  <c r="P810" i="3" s="1"/>
  <c r="J811" i="3"/>
  <c r="K811" i="3"/>
  <c r="L811" i="3"/>
  <c r="M811" i="3"/>
  <c r="O811" i="3"/>
  <c r="P811" i="3" s="1"/>
  <c r="J812" i="3"/>
  <c r="K812" i="3"/>
  <c r="L812" i="3"/>
  <c r="M812" i="3"/>
  <c r="O812" i="3"/>
  <c r="P812" i="3" s="1"/>
  <c r="J813" i="3"/>
  <c r="K813" i="3"/>
  <c r="L813" i="3"/>
  <c r="M813" i="3"/>
  <c r="O813" i="3"/>
  <c r="P813" i="3" s="1"/>
  <c r="J814" i="3"/>
  <c r="K814" i="3"/>
  <c r="L814" i="3"/>
  <c r="M814" i="3"/>
  <c r="O814" i="3"/>
  <c r="P814" i="3" s="1"/>
  <c r="J815" i="3"/>
  <c r="K815" i="3"/>
  <c r="L815" i="3"/>
  <c r="M815" i="3"/>
  <c r="O815" i="3"/>
  <c r="P815" i="3" s="1"/>
  <c r="J816" i="3"/>
  <c r="K816" i="3"/>
  <c r="L816" i="3"/>
  <c r="M816" i="3"/>
  <c r="O816" i="3"/>
  <c r="P816" i="3" s="1"/>
  <c r="J817" i="3"/>
  <c r="K817" i="3"/>
  <c r="L817" i="3"/>
  <c r="M817" i="3"/>
  <c r="O817" i="3"/>
  <c r="P817" i="3" s="1"/>
  <c r="J818" i="3"/>
  <c r="K818" i="3"/>
  <c r="L818" i="3"/>
  <c r="M818" i="3"/>
  <c r="O818" i="3"/>
  <c r="P818" i="3" s="1"/>
  <c r="J819" i="3"/>
  <c r="K819" i="3"/>
  <c r="L819" i="3"/>
  <c r="M819" i="3"/>
  <c r="O819" i="3"/>
  <c r="P819" i="3" s="1"/>
  <c r="J820" i="3"/>
  <c r="K820" i="3"/>
  <c r="L820" i="3"/>
  <c r="M820" i="3"/>
  <c r="O820" i="3"/>
  <c r="P820" i="3" s="1"/>
  <c r="J821" i="3"/>
  <c r="K821" i="3"/>
  <c r="L821" i="3"/>
  <c r="M821" i="3"/>
  <c r="O821" i="3"/>
  <c r="P821" i="3" s="1"/>
  <c r="J822" i="3"/>
  <c r="K822" i="3"/>
  <c r="L822" i="3"/>
  <c r="M822" i="3"/>
  <c r="O822" i="3"/>
  <c r="P822" i="3" s="1"/>
  <c r="J823" i="3"/>
  <c r="K823" i="3"/>
  <c r="L823" i="3"/>
  <c r="M823" i="3"/>
  <c r="O823" i="3"/>
  <c r="P823" i="3" s="1"/>
  <c r="J824" i="3"/>
  <c r="K824" i="3"/>
  <c r="L824" i="3"/>
  <c r="M824" i="3"/>
  <c r="O824" i="3"/>
  <c r="P824" i="3" s="1"/>
  <c r="J825" i="3"/>
  <c r="K825" i="3"/>
  <c r="L825" i="3"/>
  <c r="M825" i="3"/>
  <c r="O825" i="3"/>
  <c r="P825" i="3" s="1"/>
  <c r="J826" i="3"/>
  <c r="K826" i="3"/>
  <c r="L826" i="3"/>
  <c r="M826" i="3"/>
  <c r="O826" i="3"/>
  <c r="P826" i="3" s="1"/>
  <c r="J827" i="3"/>
  <c r="K827" i="3"/>
  <c r="L827" i="3"/>
  <c r="M827" i="3"/>
  <c r="O827" i="3"/>
  <c r="P827" i="3" s="1"/>
  <c r="J828" i="3"/>
  <c r="K828" i="3"/>
  <c r="L828" i="3"/>
  <c r="M828" i="3"/>
  <c r="O828" i="3"/>
  <c r="P828" i="3" s="1"/>
  <c r="J829" i="3"/>
  <c r="K829" i="3"/>
  <c r="L829" i="3"/>
  <c r="M829" i="3"/>
  <c r="O829" i="3"/>
  <c r="P829" i="3" s="1"/>
  <c r="J830" i="3"/>
  <c r="K830" i="3"/>
  <c r="L830" i="3"/>
  <c r="M830" i="3"/>
  <c r="O830" i="3"/>
  <c r="P830" i="3" s="1"/>
  <c r="J831" i="3"/>
  <c r="K831" i="3"/>
  <c r="L831" i="3"/>
  <c r="M831" i="3"/>
  <c r="O831" i="3"/>
  <c r="P831" i="3" s="1"/>
  <c r="J832" i="3"/>
  <c r="K832" i="3"/>
  <c r="L832" i="3"/>
  <c r="M832" i="3"/>
  <c r="O832" i="3"/>
  <c r="P832" i="3" s="1"/>
  <c r="J833" i="3"/>
  <c r="K833" i="3"/>
  <c r="L833" i="3"/>
  <c r="M833" i="3"/>
  <c r="O833" i="3"/>
  <c r="P833" i="3" s="1"/>
  <c r="J834" i="3"/>
  <c r="K834" i="3"/>
  <c r="L834" i="3"/>
  <c r="M834" i="3"/>
  <c r="O834" i="3"/>
  <c r="P834" i="3" s="1"/>
  <c r="J835" i="3"/>
  <c r="K835" i="3"/>
  <c r="L835" i="3"/>
  <c r="M835" i="3"/>
  <c r="O835" i="3"/>
  <c r="P835" i="3" s="1"/>
  <c r="J836" i="3"/>
  <c r="K836" i="3"/>
  <c r="L836" i="3"/>
  <c r="M836" i="3"/>
  <c r="O836" i="3"/>
  <c r="P836" i="3" s="1"/>
  <c r="J837" i="3"/>
  <c r="K837" i="3"/>
  <c r="L837" i="3"/>
  <c r="M837" i="3"/>
  <c r="O837" i="3"/>
  <c r="P837" i="3" s="1"/>
  <c r="J838" i="3"/>
  <c r="K838" i="3"/>
  <c r="L838" i="3"/>
  <c r="M838" i="3"/>
  <c r="O838" i="3"/>
  <c r="P838" i="3" s="1"/>
  <c r="J839" i="3"/>
  <c r="K839" i="3"/>
  <c r="L839" i="3"/>
  <c r="M839" i="3"/>
  <c r="O839" i="3"/>
  <c r="P839" i="3" s="1"/>
  <c r="J840" i="3"/>
  <c r="K840" i="3"/>
  <c r="L840" i="3"/>
  <c r="M840" i="3"/>
  <c r="O840" i="3"/>
  <c r="P840" i="3" s="1"/>
  <c r="J841" i="3"/>
  <c r="K841" i="3"/>
  <c r="L841" i="3"/>
  <c r="M841" i="3"/>
  <c r="O841" i="3"/>
  <c r="P841" i="3" s="1"/>
  <c r="J842" i="3"/>
  <c r="K842" i="3"/>
  <c r="L842" i="3"/>
  <c r="M842" i="3"/>
  <c r="O842" i="3"/>
  <c r="P842" i="3" s="1"/>
  <c r="J843" i="3"/>
  <c r="K843" i="3"/>
  <c r="L843" i="3"/>
  <c r="M843" i="3"/>
  <c r="O843" i="3"/>
  <c r="P843" i="3" s="1"/>
  <c r="J844" i="3"/>
  <c r="K844" i="3"/>
  <c r="L844" i="3"/>
  <c r="M844" i="3"/>
  <c r="O844" i="3"/>
  <c r="P844" i="3" s="1"/>
  <c r="J845" i="3"/>
  <c r="K845" i="3"/>
  <c r="L845" i="3"/>
  <c r="M845" i="3"/>
  <c r="O845" i="3"/>
  <c r="P845" i="3" s="1"/>
  <c r="J846" i="3"/>
  <c r="K846" i="3"/>
  <c r="L846" i="3"/>
  <c r="M846" i="3"/>
  <c r="O846" i="3"/>
  <c r="P846" i="3" s="1"/>
  <c r="J847" i="3"/>
  <c r="K847" i="3"/>
  <c r="L847" i="3"/>
  <c r="M847" i="3"/>
  <c r="O847" i="3"/>
  <c r="P847" i="3" s="1"/>
  <c r="J848" i="3"/>
  <c r="K848" i="3"/>
  <c r="L848" i="3"/>
  <c r="M848" i="3"/>
  <c r="O848" i="3"/>
  <c r="P848" i="3" s="1"/>
  <c r="J849" i="3"/>
  <c r="K849" i="3"/>
  <c r="L849" i="3"/>
  <c r="M849" i="3"/>
  <c r="O849" i="3"/>
  <c r="P849" i="3" s="1"/>
  <c r="J850" i="3"/>
  <c r="K850" i="3"/>
  <c r="L850" i="3"/>
  <c r="M850" i="3"/>
  <c r="O850" i="3"/>
  <c r="P850" i="3" s="1"/>
  <c r="J851" i="3"/>
  <c r="K851" i="3"/>
  <c r="L851" i="3"/>
  <c r="M851" i="3"/>
  <c r="O851" i="3"/>
  <c r="P851" i="3" s="1"/>
  <c r="J852" i="3"/>
  <c r="K852" i="3"/>
  <c r="L852" i="3"/>
  <c r="M852" i="3"/>
  <c r="O852" i="3"/>
  <c r="P852" i="3" s="1"/>
  <c r="J853" i="3"/>
  <c r="K853" i="3"/>
  <c r="L853" i="3"/>
  <c r="M853" i="3"/>
  <c r="O853" i="3"/>
  <c r="P853" i="3" s="1"/>
  <c r="J854" i="3"/>
  <c r="K854" i="3"/>
  <c r="L854" i="3"/>
  <c r="M854" i="3"/>
  <c r="O854" i="3"/>
  <c r="P854" i="3" s="1"/>
  <c r="J855" i="3"/>
  <c r="K855" i="3"/>
  <c r="L855" i="3"/>
  <c r="M855" i="3"/>
  <c r="O855" i="3"/>
  <c r="P855" i="3" s="1"/>
  <c r="J856" i="3"/>
  <c r="K856" i="3"/>
  <c r="L856" i="3"/>
  <c r="M856" i="3"/>
  <c r="O856" i="3"/>
  <c r="P856" i="3" s="1"/>
  <c r="J857" i="3"/>
  <c r="K857" i="3"/>
  <c r="L857" i="3"/>
  <c r="M857" i="3"/>
  <c r="O857" i="3"/>
  <c r="P857" i="3" s="1"/>
  <c r="J858" i="3"/>
  <c r="K858" i="3"/>
  <c r="L858" i="3"/>
  <c r="M858" i="3"/>
  <c r="O858" i="3"/>
  <c r="P858" i="3" s="1"/>
  <c r="J859" i="3"/>
  <c r="K859" i="3"/>
  <c r="L859" i="3"/>
  <c r="M859" i="3"/>
  <c r="O859" i="3"/>
  <c r="P859" i="3" s="1"/>
  <c r="J860" i="3"/>
  <c r="K860" i="3"/>
  <c r="L860" i="3"/>
  <c r="M860" i="3"/>
  <c r="O860" i="3"/>
  <c r="P860" i="3" s="1"/>
  <c r="J861" i="3"/>
  <c r="K861" i="3"/>
  <c r="L861" i="3"/>
  <c r="M861" i="3"/>
  <c r="O861" i="3"/>
  <c r="P861" i="3" s="1"/>
  <c r="J862" i="3"/>
  <c r="K862" i="3"/>
  <c r="L862" i="3"/>
  <c r="M862" i="3"/>
  <c r="O862" i="3"/>
  <c r="P862" i="3" s="1"/>
  <c r="J863" i="3"/>
  <c r="K863" i="3"/>
  <c r="L863" i="3"/>
  <c r="M863" i="3"/>
  <c r="O863" i="3"/>
  <c r="P863" i="3" s="1"/>
  <c r="J864" i="3"/>
  <c r="K864" i="3"/>
  <c r="L864" i="3"/>
  <c r="M864" i="3"/>
  <c r="O864" i="3"/>
  <c r="P864" i="3" s="1"/>
  <c r="J865" i="3"/>
  <c r="K865" i="3"/>
  <c r="L865" i="3"/>
  <c r="M865" i="3"/>
  <c r="O865" i="3"/>
  <c r="P865" i="3" s="1"/>
  <c r="J866" i="3"/>
  <c r="K866" i="3"/>
  <c r="L866" i="3"/>
  <c r="M866" i="3"/>
  <c r="O866" i="3"/>
  <c r="P866" i="3" s="1"/>
  <c r="J867" i="3"/>
  <c r="K867" i="3"/>
  <c r="L867" i="3"/>
  <c r="M867" i="3"/>
  <c r="O867" i="3"/>
  <c r="P867" i="3" s="1"/>
  <c r="J868" i="3"/>
  <c r="K868" i="3"/>
  <c r="L868" i="3"/>
  <c r="M868" i="3"/>
  <c r="O868" i="3"/>
  <c r="P868" i="3" s="1"/>
  <c r="J869" i="3"/>
  <c r="K869" i="3"/>
  <c r="L869" i="3"/>
  <c r="M869" i="3"/>
  <c r="O869" i="3"/>
  <c r="P869" i="3" s="1"/>
  <c r="J870" i="3"/>
  <c r="K870" i="3"/>
  <c r="L870" i="3"/>
  <c r="M870" i="3"/>
  <c r="O870" i="3"/>
  <c r="P870" i="3" s="1"/>
  <c r="J871" i="3"/>
  <c r="K871" i="3"/>
  <c r="L871" i="3"/>
  <c r="M871" i="3"/>
  <c r="O871" i="3"/>
  <c r="P871" i="3" s="1"/>
  <c r="J872" i="3"/>
  <c r="K872" i="3"/>
  <c r="L872" i="3"/>
  <c r="M872" i="3"/>
  <c r="O872" i="3"/>
  <c r="P872" i="3" s="1"/>
  <c r="J873" i="3"/>
  <c r="K873" i="3"/>
  <c r="L873" i="3"/>
  <c r="M873" i="3"/>
  <c r="O873" i="3"/>
  <c r="P873" i="3" s="1"/>
  <c r="J874" i="3"/>
  <c r="K874" i="3"/>
  <c r="L874" i="3"/>
  <c r="M874" i="3"/>
  <c r="O874" i="3"/>
  <c r="P874" i="3" s="1"/>
  <c r="J875" i="3"/>
  <c r="K875" i="3"/>
  <c r="L875" i="3"/>
  <c r="M875" i="3"/>
  <c r="O875" i="3"/>
  <c r="P875" i="3" s="1"/>
  <c r="J876" i="3"/>
  <c r="K876" i="3"/>
  <c r="L876" i="3"/>
  <c r="M876" i="3"/>
  <c r="O876" i="3"/>
  <c r="P876" i="3" s="1"/>
  <c r="J877" i="3"/>
  <c r="K877" i="3"/>
  <c r="L877" i="3"/>
  <c r="M877" i="3"/>
  <c r="O877" i="3"/>
  <c r="P877" i="3" s="1"/>
  <c r="J878" i="3"/>
  <c r="K878" i="3"/>
  <c r="L878" i="3"/>
  <c r="M878" i="3"/>
  <c r="O878" i="3"/>
  <c r="P878" i="3" s="1"/>
  <c r="J879" i="3"/>
  <c r="K879" i="3"/>
  <c r="L879" i="3"/>
  <c r="M879" i="3"/>
  <c r="O879" i="3"/>
  <c r="P879" i="3" s="1"/>
  <c r="J880" i="3"/>
  <c r="K880" i="3"/>
  <c r="L880" i="3"/>
  <c r="M880" i="3"/>
  <c r="O880" i="3"/>
  <c r="P880" i="3" s="1"/>
  <c r="J881" i="3"/>
  <c r="K881" i="3"/>
  <c r="L881" i="3"/>
  <c r="M881" i="3"/>
  <c r="O881" i="3"/>
  <c r="P881" i="3" s="1"/>
  <c r="J882" i="3"/>
  <c r="K882" i="3"/>
  <c r="L882" i="3"/>
  <c r="M882" i="3"/>
  <c r="O882" i="3"/>
  <c r="P882" i="3" s="1"/>
  <c r="J883" i="3"/>
  <c r="K883" i="3"/>
  <c r="L883" i="3"/>
  <c r="M883" i="3"/>
  <c r="O883" i="3"/>
  <c r="P883" i="3" s="1"/>
  <c r="J884" i="3"/>
  <c r="K884" i="3"/>
  <c r="L884" i="3"/>
  <c r="M884" i="3"/>
  <c r="O884" i="3"/>
  <c r="P884" i="3" s="1"/>
  <c r="J885" i="3"/>
  <c r="K885" i="3"/>
  <c r="L885" i="3"/>
  <c r="M885" i="3"/>
  <c r="O885" i="3"/>
  <c r="P885" i="3" s="1"/>
  <c r="J886" i="3"/>
  <c r="K886" i="3"/>
  <c r="L886" i="3"/>
  <c r="M886" i="3"/>
  <c r="O886" i="3"/>
  <c r="P886" i="3" s="1"/>
  <c r="J887" i="3"/>
  <c r="K887" i="3"/>
  <c r="L887" i="3"/>
  <c r="M887" i="3"/>
  <c r="O887" i="3"/>
  <c r="P887" i="3" s="1"/>
  <c r="J888" i="3"/>
  <c r="K888" i="3"/>
  <c r="L888" i="3"/>
  <c r="M888" i="3"/>
  <c r="O888" i="3"/>
  <c r="P888" i="3" s="1"/>
  <c r="J889" i="3"/>
  <c r="K889" i="3"/>
  <c r="L889" i="3"/>
  <c r="M889" i="3"/>
  <c r="O889" i="3"/>
  <c r="P889" i="3" s="1"/>
  <c r="J890" i="3"/>
  <c r="K890" i="3"/>
  <c r="L890" i="3"/>
  <c r="M890" i="3"/>
  <c r="O890" i="3"/>
  <c r="P890" i="3" s="1"/>
  <c r="J891" i="3"/>
  <c r="K891" i="3"/>
  <c r="L891" i="3"/>
  <c r="M891" i="3"/>
  <c r="O891" i="3"/>
  <c r="P891" i="3" s="1"/>
  <c r="J892" i="3"/>
  <c r="K892" i="3"/>
  <c r="L892" i="3"/>
  <c r="M892" i="3"/>
  <c r="O892" i="3"/>
  <c r="P892" i="3" s="1"/>
  <c r="J893" i="3"/>
  <c r="K893" i="3"/>
  <c r="L893" i="3"/>
  <c r="M893" i="3"/>
  <c r="O893" i="3"/>
  <c r="P893" i="3" s="1"/>
  <c r="J894" i="3"/>
  <c r="K894" i="3"/>
  <c r="L894" i="3"/>
  <c r="M894" i="3"/>
  <c r="O894" i="3"/>
  <c r="P894" i="3" s="1"/>
  <c r="J895" i="3"/>
  <c r="K895" i="3"/>
  <c r="L895" i="3"/>
  <c r="M895" i="3"/>
  <c r="O895" i="3"/>
  <c r="P895" i="3" s="1"/>
  <c r="J896" i="3"/>
  <c r="K896" i="3"/>
  <c r="L896" i="3"/>
  <c r="M896" i="3"/>
  <c r="O896" i="3"/>
  <c r="P896" i="3" s="1"/>
  <c r="J897" i="3"/>
  <c r="K897" i="3"/>
  <c r="O897" i="3" s="1"/>
  <c r="P897" i="3" s="1"/>
  <c r="L897" i="3"/>
  <c r="M897" i="3"/>
  <c r="J898" i="3"/>
  <c r="K898" i="3"/>
  <c r="L898" i="3"/>
  <c r="M898" i="3"/>
  <c r="O898" i="3" s="1"/>
  <c r="P898" i="3" s="1"/>
  <c r="J899" i="3"/>
  <c r="K899" i="3"/>
  <c r="O899" i="3" s="1"/>
  <c r="P899" i="3" s="1"/>
  <c r="L899" i="3"/>
  <c r="M899" i="3"/>
  <c r="J900" i="3"/>
  <c r="K900" i="3"/>
  <c r="L900" i="3"/>
  <c r="M900" i="3"/>
  <c r="O900" i="3" s="1"/>
  <c r="P900" i="3" s="1"/>
  <c r="J901" i="3"/>
  <c r="K901" i="3"/>
  <c r="O901" i="3" s="1"/>
  <c r="P901" i="3" s="1"/>
  <c r="L901" i="3"/>
  <c r="M901" i="3"/>
  <c r="J902" i="3"/>
  <c r="K902" i="3"/>
  <c r="L902" i="3"/>
  <c r="M902" i="3"/>
  <c r="O902" i="3" s="1"/>
  <c r="P902" i="3" s="1"/>
  <c r="J903" i="3"/>
  <c r="K903" i="3"/>
  <c r="O903" i="3" s="1"/>
  <c r="P903" i="3" s="1"/>
  <c r="L903" i="3"/>
  <c r="M903" i="3"/>
  <c r="J904" i="3"/>
  <c r="K904" i="3"/>
  <c r="L904" i="3"/>
  <c r="M904" i="3"/>
  <c r="O904" i="3" s="1"/>
  <c r="P904" i="3" s="1"/>
  <c r="J905" i="3"/>
  <c r="K905" i="3"/>
  <c r="O905" i="3" s="1"/>
  <c r="L905" i="3"/>
  <c r="M905" i="3"/>
  <c r="P905" i="3"/>
  <c r="J906" i="3"/>
  <c r="K906" i="3"/>
  <c r="L906" i="3"/>
  <c r="M906" i="3"/>
  <c r="O906" i="3" s="1"/>
  <c r="P906" i="3" s="1"/>
  <c r="J907" i="3"/>
  <c r="K907" i="3"/>
  <c r="O907" i="3" s="1"/>
  <c r="P907" i="3" s="1"/>
  <c r="L907" i="3"/>
  <c r="M907" i="3"/>
  <c r="J908" i="3"/>
  <c r="K908" i="3"/>
  <c r="L908" i="3"/>
  <c r="M908" i="3"/>
  <c r="O908" i="3" s="1"/>
  <c r="P908" i="3" s="1"/>
  <c r="J909" i="3"/>
  <c r="K909" i="3"/>
  <c r="O909" i="3" s="1"/>
  <c r="P909" i="3" s="1"/>
  <c r="L909" i="3"/>
  <c r="M909" i="3"/>
  <c r="J910" i="3"/>
  <c r="K910" i="3"/>
  <c r="L910" i="3"/>
  <c r="M910" i="3"/>
  <c r="O910" i="3" s="1"/>
  <c r="P910" i="3" s="1"/>
  <c r="J911" i="3"/>
  <c r="K911" i="3"/>
  <c r="O911" i="3" s="1"/>
  <c r="P911" i="3" s="1"/>
  <c r="L911" i="3"/>
  <c r="M911" i="3"/>
  <c r="J912" i="3"/>
  <c r="K912" i="3"/>
  <c r="L912" i="3"/>
  <c r="M912" i="3"/>
  <c r="O912" i="3"/>
  <c r="P912" i="3" s="1"/>
  <c r="J913" i="3"/>
  <c r="K913" i="3"/>
  <c r="O913" i="3" s="1"/>
  <c r="P913" i="3" s="1"/>
  <c r="L913" i="3"/>
  <c r="M913" i="3"/>
  <c r="J914" i="3"/>
  <c r="K914" i="3"/>
  <c r="L914" i="3"/>
  <c r="M914" i="3"/>
  <c r="O914" i="3"/>
  <c r="P914" i="3" s="1"/>
  <c r="J915" i="3"/>
  <c r="K915" i="3"/>
  <c r="O915" i="3" s="1"/>
  <c r="P915" i="3" s="1"/>
  <c r="L915" i="3"/>
  <c r="M915" i="3"/>
  <c r="J916" i="3"/>
  <c r="K916" i="3"/>
  <c r="L916" i="3"/>
  <c r="M916" i="3"/>
  <c r="O916" i="3"/>
  <c r="P916" i="3" s="1"/>
  <c r="J917" i="3"/>
  <c r="K917" i="3"/>
  <c r="O917" i="3" s="1"/>
  <c r="P917" i="3" s="1"/>
  <c r="L917" i="3"/>
  <c r="M917" i="3"/>
  <c r="J918" i="3"/>
  <c r="K918" i="3"/>
  <c r="L918" i="3"/>
  <c r="M918" i="3"/>
  <c r="O918" i="3"/>
  <c r="P918" i="3" s="1"/>
  <c r="J919" i="3"/>
  <c r="K919" i="3"/>
  <c r="L919" i="3"/>
  <c r="M919" i="3"/>
  <c r="O919" i="3"/>
  <c r="P919" i="3" s="1"/>
  <c r="J920" i="3"/>
  <c r="K920" i="3"/>
  <c r="L920" i="3"/>
  <c r="M920" i="3"/>
  <c r="O920" i="3"/>
  <c r="P920" i="3" s="1"/>
  <c r="J921" i="3"/>
  <c r="K921" i="3"/>
  <c r="L921" i="3"/>
  <c r="M921" i="3"/>
  <c r="O921" i="3"/>
  <c r="P921" i="3" s="1"/>
  <c r="J922" i="3"/>
  <c r="K922" i="3"/>
  <c r="L922" i="3"/>
  <c r="M922" i="3"/>
  <c r="O922" i="3"/>
  <c r="P922" i="3" s="1"/>
  <c r="J923" i="3"/>
  <c r="K923" i="3"/>
  <c r="L923" i="3"/>
  <c r="M923" i="3"/>
  <c r="O923" i="3"/>
  <c r="P923" i="3" s="1"/>
  <c r="J924" i="3"/>
  <c r="K924" i="3"/>
  <c r="L924" i="3"/>
  <c r="M924" i="3"/>
  <c r="O924" i="3"/>
  <c r="P924" i="3" s="1"/>
  <c r="J925" i="3"/>
  <c r="K925" i="3"/>
  <c r="L925" i="3"/>
  <c r="M925" i="3"/>
  <c r="O925" i="3"/>
  <c r="P925" i="3" s="1"/>
  <c r="J926" i="3"/>
  <c r="K926" i="3"/>
  <c r="L926" i="3"/>
  <c r="M926" i="3"/>
  <c r="O926" i="3"/>
  <c r="P926" i="3" s="1"/>
  <c r="J927" i="3"/>
  <c r="K927" i="3"/>
  <c r="L927" i="3"/>
  <c r="M927" i="3"/>
  <c r="O927" i="3"/>
  <c r="P927" i="3" s="1"/>
  <c r="J928" i="3"/>
  <c r="K928" i="3"/>
  <c r="L928" i="3"/>
  <c r="M928" i="3"/>
  <c r="O928" i="3"/>
  <c r="P928" i="3" s="1"/>
  <c r="J929" i="3"/>
  <c r="K929" i="3"/>
  <c r="L929" i="3"/>
  <c r="M929" i="3"/>
  <c r="O929" i="3"/>
  <c r="P929" i="3" s="1"/>
  <c r="J930" i="3"/>
  <c r="K930" i="3"/>
  <c r="L930" i="3"/>
  <c r="M930" i="3"/>
  <c r="O930" i="3"/>
  <c r="P930" i="3" s="1"/>
  <c r="J931" i="3"/>
  <c r="K931" i="3"/>
  <c r="L931" i="3"/>
  <c r="M931" i="3"/>
  <c r="O931" i="3"/>
  <c r="P931" i="3" s="1"/>
  <c r="J932" i="3"/>
  <c r="K932" i="3"/>
  <c r="L932" i="3"/>
  <c r="M932" i="3"/>
  <c r="O932" i="3"/>
  <c r="P932" i="3" s="1"/>
  <c r="J933" i="3"/>
  <c r="K933" i="3"/>
  <c r="L933" i="3"/>
  <c r="M933" i="3"/>
  <c r="O933" i="3"/>
  <c r="P933" i="3" s="1"/>
  <c r="J934" i="3"/>
  <c r="K934" i="3"/>
  <c r="L934" i="3"/>
  <c r="M934" i="3"/>
  <c r="O934" i="3"/>
  <c r="P934" i="3" s="1"/>
  <c r="J935" i="3"/>
  <c r="K935" i="3"/>
  <c r="L935" i="3"/>
  <c r="M935" i="3"/>
  <c r="O935" i="3"/>
  <c r="P935" i="3" s="1"/>
  <c r="J936" i="3"/>
  <c r="K936" i="3"/>
  <c r="L936" i="3"/>
  <c r="M936" i="3"/>
  <c r="O936" i="3"/>
  <c r="P936" i="3" s="1"/>
  <c r="J937" i="3"/>
  <c r="K937" i="3"/>
  <c r="L937" i="3"/>
  <c r="M937" i="3"/>
  <c r="O937" i="3"/>
  <c r="P937" i="3" s="1"/>
  <c r="J938" i="3"/>
  <c r="K938" i="3"/>
  <c r="L938" i="3"/>
  <c r="M938" i="3"/>
  <c r="O938" i="3"/>
  <c r="P938" i="3" s="1"/>
  <c r="J939" i="3"/>
  <c r="K939" i="3"/>
  <c r="L939" i="3"/>
  <c r="M939" i="3"/>
  <c r="O939" i="3"/>
  <c r="P939" i="3" s="1"/>
  <c r="J940" i="3"/>
  <c r="K940" i="3"/>
  <c r="L940" i="3"/>
  <c r="M940" i="3"/>
  <c r="O940" i="3"/>
  <c r="P940" i="3" s="1"/>
  <c r="J941" i="3"/>
  <c r="K941" i="3"/>
  <c r="L941" i="3"/>
  <c r="M941" i="3"/>
  <c r="O941" i="3"/>
  <c r="P941" i="3" s="1"/>
  <c r="J942" i="3"/>
  <c r="K942" i="3"/>
  <c r="L942" i="3"/>
  <c r="M942" i="3"/>
  <c r="O942" i="3"/>
  <c r="P942" i="3" s="1"/>
  <c r="J943" i="3"/>
  <c r="K943" i="3"/>
  <c r="L943" i="3"/>
  <c r="M943" i="3"/>
  <c r="O943" i="3"/>
  <c r="P943" i="3" s="1"/>
  <c r="J944" i="3"/>
  <c r="K944" i="3"/>
  <c r="L944" i="3"/>
  <c r="M944" i="3"/>
  <c r="O944" i="3"/>
  <c r="P944" i="3" s="1"/>
  <c r="J945" i="3"/>
  <c r="K945" i="3"/>
  <c r="L945" i="3"/>
  <c r="M945" i="3"/>
  <c r="O945" i="3"/>
  <c r="P945" i="3" s="1"/>
  <c r="J946" i="3"/>
  <c r="K946" i="3"/>
  <c r="L946" i="3"/>
  <c r="M946" i="3"/>
  <c r="O946" i="3"/>
  <c r="P946" i="3" s="1"/>
  <c r="J947" i="3"/>
  <c r="K947" i="3"/>
  <c r="L947" i="3"/>
  <c r="M947" i="3"/>
  <c r="O947" i="3"/>
  <c r="P947" i="3" s="1"/>
  <c r="J948" i="3"/>
  <c r="K948" i="3"/>
  <c r="L948" i="3"/>
  <c r="M948" i="3"/>
  <c r="O948" i="3"/>
  <c r="P948" i="3" s="1"/>
  <c r="J949" i="3"/>
  <c r="K949" i="3"/>
  <c r="L949" i="3"/>
  <c r="M949" i="3"/>
  <c r="O949" i="3"/>
  <c r="P949" i="3" s="1"/>
  <c r="J950" i="3"/>
  <c r="K950" i="3"/>
  <c r="L950" i="3"/>
  <c r="M950" i="3"/>
  <c r="O950" i="3"/>
  <c r="P950" i="3" s="1"/>
  <c r="J951" i="3"/>
  <c r="K951" i="3"/>
  <c r="L951" i="3"/>
  <c r="M951" i="3"/>
  <c r="O951" i="3"/>
  <c r="P951" i="3" s="1"/>
  <c r="J952" i="3"/>
  <c r="K952" i="3"/>
  <c r="L952" i="3"/>
  <c r="M952" i="3"/>
  <c r="O952" i="3"/>
  <c r="P952" i="3" s="1"/>
  <c r="J953" i="3"/>
  <c r="K953" i="3"/>
  <c r="L953" i="3"/>
  <c r="M953" i="3"/>
  <c r="O953" i="3"/>
  <c r="P953" i="3" s="1"/>
  <c r="J954" i="3"/>
  <c r="K954" i="3"/>
  <c r="L954" i="3"/>
  <c r="M954" i="3"/>
  <c r="O954" i="3"/>
  <c r="P954" i="3" s="1"/>
  <c r="J955" i="3"/>
  <c r="K955" i="3"/>
  <c r="L955" i="3"/>
  <c r="M955" i="3"/>
  <c r="O955" i="3"/>
  <c r="P955" i="3" s="1"/>
  <c r="J956" i="3"/>
  <c r="K956" i="3"/>
  <c r="L956" i="3"/>
  <c r="M956" i="3"/>
  <c r="O956" i="3"/>
  <c r="P956" i="3" s="1"/>
  <c r="J957" i="3"/>
  <c r="K957" i="3"/>
  <c r="L957" i="3"/>
  <c r="M957" i="3"/>
  <c r="O957" i="3"/>
  <c r="P957" i="3" s="1"/>
  <c r="J958" i="3"/>
  <c r="K958" i="3"/>
  <c r="L958" i="3"/>
  <c r="M958" i="3"/>
  <c r="O958" i="3"/>
  <c r="P958" i="3" s="1"/>
  <c r="J959" i="3"/>
  <c r="K959" i="3"/>
  <c r="L959" i="3"/>
  <c r="M959" i="3"/>
  <c r="O959" i="3"/>
  <c r="P959" i="3" s="1"/>
  <c r="P10" i="3"/>
  <c r="L11" i="3"/>
  <c r="J5" i="3"/>
  <c r="K5" i="3"/>
  <c r="O5" i="3" s="1"/>
  <c r="P5" i="3" s="1"/>
  <c r="L5" i="3"/>
  <c r="M5" i="3"/>
  <c r="J6" i="3"/>
  <c r="K6" i="3"/>
  <c r="L6" i="3"/>
  <c r="M6" i="3"/>
  <c r="O6" i="3" s="1"/>
  <c r="P6" i="3" s="1"/>
  <c r="J7" i="3"/>
  <c r="K7" i="3"/>
  <c r="O7" i="3" s="1"/>
  <c r="P7" i="3" s="1"/>
  <c r="L7" i="3"/>
  <c r="M7" i="3"/>
  <c r="J8" i="3"/>
  <c r="K8" i="3"/>
  <c r="L8" i="3"/>
  <c r="M8" i="3"/>
  <c r="O8" i="3" s="1"/>
  <c r="P8" i="3" s="1"/>
  <c r="J9" i="3"/>
  <c r="K9" i="3"/>
  <c r="O9" i="3" s="1"/>
  <c r="P9" i="3" s="1"/>
  <c r="L9" i="3"/>
  <c r="M9" i="3"/>
  <c r="J10" i="3"/>
  <c r="K10" i="3"/>
  <c r="L10" i="3"/>
  <c r="M10" i="3"/>
  <c r="O10" i="3" s="1"/>
  <c r="J11" i="3"/>
  <c r="K11" i="3"/>
  <c r="O11" i="3" s="1"/>
  <c r="P11" i="3" s="1"/>
  <c r="M11" i="3"/>
  <c r="J12" i="3"/>
  <c r="K12" i="3"/>
  <c r="L12" i="3"/>
  <c r="M12" i="3"/>
  <c r="O12" i="3" s="1"/>
  <c r="P12" i="3" s="1"/>
  <c r="J13" i="3"/>
  <c r="K13" i="3"/>
  <c r="O13" i="3" s="1"/>
  <c r="P13" i="3" s="1"/>
  <c r="L13" i="3"/>
  <c r="M13" i="3"/>
  <c r="V2" i="3"/>
  <c r="P2" i="3"/>
  <c r="O2" i="3"/>
  <c r="K2" i="3"/>
  <c r="J2" i="3"/>
  <c r="M4" i="3"/>
  <c r="L4" i="3"/>
  <c r="K4" i="3"/>
  <c r="J4" i="3"/>
  <c r="O4" i="3" s="1"/>
  <c r="P4" i="3" s="1"/>
  <c r="V4" i="3" s="1"/>
  <c r="M3" i="3"/>
  <c r="L3" i="3"/>
  <c r="K3" i="3"/>
  <c r="J3" i="3"/>
  <c r="O3" i="3" s="1"/>
  <c r="P3" i="3" s="1"/>
  <c r="V3" i="3" s="1"/>
  <c r="M2" i="3"/>
  <c r="L2" i="3"/>
  <c r="AP914" i="3" l="1"/>
  <c r="AP910" i="3"/>
  <c r="AP906" i="3"/>
  <c r="AP902" i="3"/>
  <c r="AO895" i="3"/>
  <c r="AO855" i="3"/>
  <c r="AO851" i="3"/>
  <c r="AO847" i="3"/>
  <c r="AO843" i="3"/>
  <c r="AO839" i="3"/>
  <c r="AP830" i="3"/>
  <c r="AP798" i="3"/>
  <c r="AP754" i="3"/>
  <c r="AP861" i="3"/>
  <c r="AP948" i="3"/>
  <c r="AP944" i="3"/>
  <c r="AP940" i="3"/>
  <c r="AP936" i="3"/>
  <c r="AP932" i="3"/>
  <c r="AP928" i="3"/>
  <c r="AP924" i="3"/>
  <c r="AP920" i="3"/>
  <c r="AP900" i="3"/>
  <c r="AP836" i="3"/>
  <c r="AO729" i="3"/>
  <c r="AO725" i="3"/>
  <c r="AO717" i="3"/>
  <c r="AO633" i="3"/>
  <c r="AO629" i="3"/>
  <c r="AP572" i="3"/>
  <c r="AO569" i="3"/>
  <c r="AO565" i="3"/>
  <c r="AO561" i="3"/>
  <c r="AO557" i="3"/>
  <c r="AL550" i="3"/>
  <c r="AO548" i="3"/>
  <c r="AJ546" i="3"/>
  <c r="AO540" i="3"/>
  <c r="AJ538" i="3"/>
  <c r="AL530" i="3"/>
  <c r="AO529" i="3"/>
  <c r="AP529" i="3"/>
  <c r="AL518" i="3"/>
  <c r="AO517" i="3"/>
  <c r="AP517" i="3"/>
  <c r="AL510" i="3"/>
  <c r="AO509" i="3"/>
  <c r="AP509" i="3"/>
  <c r="AL502" i="3"/>
  <c r="AO500" i="3"/>
  <c r="AJ498" i="3"/>
  <c r="AL490" i="3"/>
  <c r="AO488" i="3"/>
  <c r="AL478" i="3"/>
  <c r="AO476" i="3"/>
  <c r="AJ474" i="3"/>
  <c r="AL473" i="3"/>
  <c r="AJ470" i="3"/>
  <c r="AJ462" i="3"/>
  <c r="AP687" i="3"/>
  <c r="AP683" i="3"/>
  <c r="AP679" i="3"/>
  <c r="AP675" i="3"/>
  <c r="AP671" i="3"/>
  <c r="AP659" i="3"/>
  <c r="AP591" i="3"/>
  <c r="AP587" i="3"/>
  <c r="AO549" i="3"/>
  <c r="AP549" i="3"/>
  <c r="AO541" i="3"/>
  <c r="AP541" i="3"/>
  <c r="AO501" i="3"/>
  <c r="AP501" i="3"/>
  <c r="AO489" i="3"/>
  <c r="AP489" i="3"/>
  <c r="AO477" i="3"/>
  <c r="AP477" i="3"/>
  <c r="AO472" i="3"/>
  <c r="AP472" i="3"/>
  <c r="AO464" i="3"/>
  <c r="AP464" i="3"/>
  <c r="AP750" i="3"/>
  <c r="AP746" i="3"/>
  <c r="AP622" i="3"/>
  <c r="AP618" i="3"/>
  <c r="AJ554" i="3"/>
  <c r="AO553" i="3"/>
  <c r="AP553" i="3"/>
  <c r="AO544" i="3"/>
  <c r="AJ542" i="3"/>
  <c r="AO536" i="3"/>
  <c r="AJ534" i="3"/>
  <c r="AO533" i="3"/>
  <c r="AP533" i="3"/>
  <c r="AL526" i="3"/>
  <c r="AO524" i="3"/>
  <c r="AJ522" i="3"/>
  <c r="AO521" i="3"/>
  <c r="AP521" i="3"/>
  <c r="AL514" i="3"/>
  <c r="AO513" i="3"/>
  <c r="AP513" i="3"/>
  <c r="AL506" i="3"/>
  <c r="AO505" i="3"/>
  <c r="AP505" i="3"/>
  <c r="AO496" i="3"/>
  <c r="AJ494" i="3"/>
  <c r="AO493" i="3"/>
  <c r="AP493" i="3"/>
  <c r="AL486" i="3"/>
  <c r="AO484" i="3"/>
  <c r="AJ482" i="3"/>
  <c r="AO481" i="3"/>
  <c r="AP481" i="3"/>
  <c r="AO468" i="3"/>
  <c r="AP468" i="3"/>
  <c r="AO460" i="3"/>
  <c r="AP460" i="3"/>
  <c r="AJ454" i="3"/>
  <c r="AL453" i="3"/>
  <c r="AJ450" i="3"/>
  <c r="AL449" i="3"/>
  <c r="AO545" i="3"/>
  <c r="AP545" i="3"/>
  <c r="AO537" i="3"/>
  <c r="AP537" i="3"/>
  <c r="AO525" i="3"/>
  <c r="AP525" i="3"/>
  <c r="AO497" i="3"/>
  <c r="AP497" i="3"/>
  <c r="AO485" i="3"/>
  <c r="AP485" i="3"/>
  <c r="AO456" i="3"/>
  <c r="AP456" i="3"/>
  <c r="AO452" i="3"/>
  <c r="AP452" i="3"/>
  <c r="AO448" i="3"/>
  <c r="AP448" i="3"/>
  <c r="AP442" i="3"/>
  <c r="AP438" i="3"/>
  <c r="AO379" i="3"/>
  <c r="AO375" i="3"/>
  <c r="AO371" i="3"/>
  <c r="AO367" i="3"/>
  <c r="AO363" i="3"/>
  <c r="AO359" i="3"/>
  <c r="AO355" i="3"/>
  <c r="AO351" i="3"/>
  <c r="AP473" i="3"/>
  <c r="AP469" i="3"/>
  <c r="AP465" i="3"/>
  <c r="AP461" i="3"/>
  <c r="AP457" i="3"/>
  <c r="AP453" i="3"/>
  <c r="AP449" i="3"/>
  <c r="AP445" i="3"/>
  <c r="AP441" i="3"/>
  <c r="AP437" i="3"/>
  <c r="AP432" i="3"/>
  <c r="AP428" i="3"/>
  <c r="AP424" i="3"/>
  <c r="AP420" i="3"/>
  <c r="AP416" i="3"/>
  <c r="AP348" i="3"/>
  <c r="AO335" i="3"/>
  <c r="AO307" i="3"/>
  <c r="AO303" i="3"/>
  <c r="AO243" i="3"/>
  <c r="AO239" i="3"/>
  <c r="AP296" i="3"/>
  <c r="AP292" i="3"/>
  <c r="AP284" i="3"/>
  <c r="AP280" i="3"/>
  <c r="AP212" i="3"/>
  <c r="AP180" i="3"/>
  <c r="AP176" i="3"/>
  <c r="AP172" i="3"/>
  <c r="AP168" i="3"/>
  <c r="AP164" i="3"/>
  <c r="AP160" i="3"/>
  <c r="AP156" i="3"/>
  <c r="AP152" i="3"/>
  <c r="AP148" i="3"/>
  <c r="AO145" i="3"/>
  <c r="AO141" i="3"/>
  <c r="AO137" i="3"/>
  <c r="AO133" i="3"/>
  <c r="AO129" i="3"/>
  <c r="AO125" i="3"/>
  <c r="AO121" i="3"/>
  <c r="AO117" i="3"/>
  <c r="AO113" i="3"/>
  <c r="AO109" i="3"/>
  <c r="AO105" i="3"/>
  <c r="AO101" i="3"/>
  <c r="AO73" i="3"/>
  <c r="AP72" i="3"/>
  <c r="AO69" i="3"/>
  <c r="AP68" i="3"/>
  <c r="AO65" i="3"/>
  <c r="AP64" i="3"/>
  <c r="AO61" i="3"/>
  <c r="AP60" i="3"/>
  <c r="AO57" i="3"/>
  <c r="AP56" i="3"/>
  <c r="AO53" i="3"/>
  <c r="AO21" i="3"/>
  <c r="AP39" i="3"/>
  <c r="AP35" i="3"/>
  <c r="AP94" i="3"/>
  <c r="AP50" i="3"/>
  <c r="AP46" i="3"/>
  <c r="AP42" i="3"/>
  <c r="AP38" i="3"/>
  <c r="AP34" i="3"/>
  <c r="AP30" i="3"/>
  <c r="AP26" i="3"/>
  <c r="AP18" i="3"/>
  <c r="AP14" i="3"/>
  <c r="Y6" i="3"/>
  <c r="Y5" i="3"/>
  <c r="AF12" i="3"/>
  <c r="AL12" i="3" s="1"/>
  <c r="AG9" i="3"/>
  <c r="AP9" i="3" s="1"/>
  <c r="AF11" i="3"/>
  <c r="AM11" i="3" s="1"/>
  <c r="AF2" i="3"/>
  <c r="AM2" i="3" s="1"/>
  <c r="AF4" i="3"/>
  <c r="AM4" i="3" s="1"/>
  <c r="AF7" i="3"/>
  <c r="AF10" i="3"/>
  <c r="AL10" i="3" s="1"/>
  <c r="AL9" i="3"/>
  <c r="AM9" i="3"/>
  <c r="AO11" i="3"/>
  <c r="AP11" i="3"/>
  <c r="AL2" i="3"/>
  <c r="AL5" i="3"/>
  <c r="AG2" i="3"/>
  <c r="AL3" i="3"/>
  <c r="AG5" i="3"/>
  <c r="AO7" i="3"/>
  <c r="AL8" i="3"/>
  <c r="AG10" i="3"/>
  <c r="AG12" i="3"/>
  <c r="AM12" i="3"/>
  <c r="AG3" i="3"/>
  <c r="AL4" i="3"/>
  <c r="AL6" i="3"/>
  <c r="AE7" i="3"/>
  <c r="AG8" i="3"/>
  <c r="AE9" i="3"/>
  <c r="AL11" i="3"/>
  <c r="AE2" i="3"/>
  <c r="AG4" i="3"/>
  <c r="AE5" i="3"/>
  <c r="AG6" i="3"/>
  <c r="AE10" i="3"/>
  <c r="W2" i="3"/>
  <c r="W3" i="3"/>
  <c r="W4" i="3"/>
  <c r="AL7" i="3" l="1"/>
  <c r="AM7" i="3"/>
  <c r="AM10" i="3"/>
  <c r="AE12" i="3"/>
  <c r="AE6" i="3"/>
  <c r="AE3" i="3"/>
  <c r="AE8" i="3"/>
  <c r="AE4" i="3"/>
  <c r="AE11" i="3"/>
  <c r="AO9" i="3"/>
  <c r="AJ10" i="3"/>
  <c r="AI10" i="3"/>
  <c r="AJ2" i="3"/>
  <c r="AI2" i="3"/>
  <c r="AJ7" i="3"/>
  <c r="AI7" i="3"/>
  <c r="AO6" i="3"/>
  <c r="AP6" i="3"/>
  <c r="AP12" i="3"/>
  <c r="AO12" i="3"/>
  <c r="AP2" i="3"/>
  <c r="AO2" i="3"/>
  <c r="AJ5" i="3"/>
  <c r="AI5" i="3"/>
  <c r="AJ9" i="3"/>
  <c r="AI9" i="3"/>
  <c r="AP4" i="3"/>
  <c r="AO4" i="3"/>
  <c r="AO8" i="3"/>
  <c r="AP8" i="3"/>
  <c r="AO3" i="3"/>
  <c r="AP3" i="3"/>
  <c r="AP10" i="3"/>
  <c r="AO10" i="3"/>
  <c r="AP5" i="3"/>
  <c r="AO5" i="3"/>
  <c r="AJ4" i="3" l="1"/>
  <c r="AI4" i="3"/>
  <c r="AJ12" i="3"/>
  <c r="AI12" i="3"/>
  <c r="AI8" i="3"/>
  <c r="AJ8" i="3"/>
  <c r="AI3" i="3"/>
  <c r="AJ3" i="3"/>
  <c r="AJ11" i="3"/>
  <c r="AI11" i="3"/>
  <c r="AJ6" i="3"/>
  <c r="AI6" i="3"/>
  <c r="A5" i="1" l="1"/>
</calcChain>
</file>

<file path=xl/sharedStrings.xml><?xml version="1.0" encoding="utf-8"?>
<sst xmlns="http://schemas.openxmlformats.org/spreadsheetml/2006/main" count="133" uniqueCount="112">
  <si>
    <t>Indentation</t>
  </si>
  <si>
    <t xml:space="preserve"> + Sinus</t>
  </si>
  <si>
    <t xml:space="preserve">   Max load :</t>
  </si>
  <si>
    <t>mN</t>
  </si>
  <si>
    <t xml:space="preserve">   Loading rate :</t>
  </si>
  <si>
    <t>mN/min</t>
  </si>
  <si>
    <t xml:space="preserve">   Unloading rate :</t>
  </si>
  <si>
    <t xml:space="preserve">   Pause :</t>
  </si>
  <si>
    <t>10.0 s</t>
  </si>
  <si>
    <t xml:space="preserve">   Sinus frequency :</t>
  </si>
  <si>
    <t>40.0 Hz</t>
  </si>
  <si>
    <t xml:space="preserve">   Sinus amplitude :</t>
  </si>
  <si>
    <t>+ STeP - NHT S/N: 1000068700 settings</t>
  </si>
  <si>
    <t xml:space="preserve">   Approach distance : 2 µm</t>
  </si>
  <si>
    <t xml:space="preserve">   Approach speed : 2 µm/min</t>
  </si>
  <si>
    <t xml:space="preserve">   Retract speed : 2 µm/min</t>
  </si>
  <si>
    <t xml:space="preserve">   Dz sensor in fine range</t>
  </si>
  <si>
    <t xml:space="preserve">   Stiffness threshold : 500 µN/µm</t>
  </si>
  <si>
    <t xml:space="preserve">   Spring Compliance : 0.541 mm/N</t>
  </si>
  <si>
    <t xml:space="preserve">   X Position :87781.44 µm</t>
  </si>
  <si>
    <t xml:space="preserve">   Y Position :36820.73 µm</t>
  </si>
  <si>
    <t xml:space="preserve">   Z Position :8914.53 µm</t>
  </si>
  <si>
    <t>Date :9/10/2021</t>
  </si>
  <si>
    <t>Time :11:01:40 AM</t>
  </si>
  <si>
    <t xml:space="preserve">   Method :</t>
  </si>
  <si>
    <t>Oliver &amp; Pharr</t>
  </si>
  <si>
    <t xml:space="preserve"> + Parameters</t>
  </si>
  <si>
    <t xml:space="preserve">  Unload Fit [40%,98%]</t>
  </si>
  <si>
    <t xml:space="preserve"> + Main results</t>
  </si>
  <si>
    <t xml:space="preserve">   HIT=</t>
  </si>
  <si>
    <t>GPa</t>
  </si>
  <si>
    <t xml:space="preserve">   EIT=</t>
  </si>
  <si>
    <t xml:space="preserve">   E*=</t>
  </si>
  <si>
    <t xml:space="preserve"> + Hypothesis</t>
  </si>
  <si>
    <t xml:space="preserve">   m out of O&amp;P hypothesis</t>
  </si>
  <si>
    <t xml:space="preserve">   Poisson's ratio(nu)=</t>
  </si>
  <si>
    <t xml:space="preserve"> + Additional results</t>
  </si>
  <si>
    <t xml:space="preserve">   HVIT=</t>
  </si>
  <si>
    <t xml:space="preserve"> Vickers</t>
  </si>
  <si>
    <t xml:space="preserve">   CIT 0.05/120/10=</t>
  </si>
  <si>
    <t>%</t>
  </si>
  <si>
    <t xml:space="preserve">   nIT=</t>
  </si>
  <si>
    <t xml:space="preserve">   Fmax=</t>
  </si>
  <si>
    <t xml:space="preserve">   hmax=</t>
  </si>
  <si>
    <t>µm</t>
  </si>
  <si>
    <t xml:space="preserve">   S=</t>
  </si>
  <si>
    <t>mN/µm</t>
  </si>
  <si>
    <t xml:space="preserve">   F/S≤=</t>
  </si>
  <si>
    <t>µm≤/mN</t>
  </si>
  <si>
    <t xml:space="preserve">   hc=</t>
  </si>
  <si>
    <t xml:space="preserve">   hr=</t>
  </si>
  <si>
    <t xml:space="preserve">   hp=</t>
  </si>
  <si>
    <t xml:space="preserve">   m=</t>
  </si>
  <si>
    <t xml:space="preserve">   Epsilon=</t>
  </si>
  <si>
    <t xml:space="preserve">   R2=</t>
  </si>
  <si>
    <t xml:space="preserve">   Ap=</t>
  </si>
  <si>
    <t>µm≤</t>
  </si>
  <si>
    <t xml:space="preserve">   Welast=</t>
  </si>
  <si>
    <t>6796.54 pJ</t>
  </si>
  <si>
    <t xml:space="preserve">   Wplast=</t>
  </si>
  <si>
    <t>30021.49 pJ</t>
  </si>
  <si>
    <t xml:space="preserve">   Wtotal=</t>
  </si>
  <si>
    <t>36818.02 pJ</t>
  </si>
  <si>
    <t xml:space="preserve">   Er=</t>
  </si>
  <si>
    <t>Measured values</t>
  </si>
  <si>
    <t>Time (s)</t>
  </si>
  <si>
    <t>Pd (µm)</t>
  </si>
  <si>
    <t>Fn (mN)</t>
  </si>
  <si>
    <t>FnRef (mN)</t>
  </si>
  <si>
    <t>SegmentID</t>
  </si>
  <si>
    <t>cycle #</t>
  </si>
  <si>
    <t>max depth</t>
  </si>
  <si>
    <t>Max load</t>
  </si>
  <si>
    <t>stiffness</t>
  </si>
  <si>
    <t>EIT</t>
  </si>
  <si>
    <t>EIT storage</t>
  </si>
  <si>
    <t>EIT loss</t>
  </si>
  <si>
    <t>hit</t>
  </si>
  <si>
    <t>tan(delta)</t>
  </si>
  <si>
    <t>Fn/S2</t>
  </si>
  <si>
    <t>ht (um)</t>
  </si>
  <si>
    <t>load (mN)</t>
  </si>
  <si>
    <t>EIT (Gpa)</t>
  </si>
  <si>
    <t>S (mN/um)</t>
  </si>
  <si>
    <t>Contact Depth hc (microns)</t>
  </si>
  <si>
    <t>Contact depth hc (nm)</t>
  </si>
  <si>
    <t>Contact Radius a</t>
  </si>
  <si>
    <t>VALUE</t>
  </si>
  <si>
    <t>ERROR</t>
  </si>
  <si>
    <t>a (nm)</t>
  </si>
  <si>
    <t>E (calculated - Gpa)</t>
  </si>
  <si>
    <t>calculated from power law</t>
  </si>
  <si>
    <t>CONSTANT</t>
  </si>
  <si>
    <t>EXPONENT</t>
  </si>
  <si>
    <t>AVERAGE ELASTIC MODULUS</t>
  </si>
  <si>
    <t>CALCULATE A OVER EXPERIMENT</t>
  </si>
  <si>
    <t>A: a - calculated - loads 1-10 mN</t>
  </si>
  <si>
    <t>B: a - calculated - loads 1-5 mN</t>
  </si>
  <si>
    <t>C: a - calculated - loads 1-3 mN</t>
  </si>
  <si>
    <t>A: Strain</t>
  </si>
  <si>
    <t>A: Stress</t>
  </si>
  <si>
    <t>B: Strain</t>
  </si>
  <si>
    <t>B: Stress</t>
  </si>
  <si>
    <t>C: Strain</t>
  </si>
  <si>
    <t>C: Stress</t>
  </si>
  <si>
    <t>from part of curve before pop-in - should be elastic only</t>
  </si>
  <si>
    <t>using modulus value estimates</t>
  </si>
  <si>
    <t>contact radii in MICRONS</t>
  </si>
  <si>
    <t>Loads 1-10 mN</t>
  </si>
  <si>
    <t>stdev</t>
  </si>
  <si>
    <t>Loads 1-5 mN</t>
  </si>
  <si>
    <t>Loads 1-3 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</si>
</sst>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8" formatCode="0.0000000"/>
  </numFmts>
  <fonts count="2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10" fontId="0" fillId="0" borderId="0" xfId="0" applyNumberFormat="1"/>
    <xf numFmtId="0" fontId="18" fillId="0" borderId="0" xfId="0" applyFont="1"/>
    <xf numFmtId="11" fontId="18" fillId="0" borderId="0" xfId="0" applyNumberFormat="1" applyFont="1"/>
    <xf numFmtId="0" fontId="19" fillId="33" borderId="0" xfId="0" applyFont="1" applyFill="1"/>
    <xf numFmtId="0" fontId="16" fillId="33" borderId="0" xfId="0" applyFont="1" applyFill="1"/>
    <xf numFmtId="0" fontId="0" fillId="33" borderId="0" xfId="0" applyFill="1"/>
    <xf numFmtId="2" fontId="0" fillId="0" borderId="0" xfId="0" applyNumberFormat="1"/>
    <xf numFmtId="168" fontId="0" fillId="0" borderId="0" xfId="0" applyNumberFormat="1"/>
    <xf numFmtId="0" fontId="20" fillId="0" borderId="0" xfId="0" applyFont="1"/>
    <xf numFmtId="0" fontId="16" fillId="0" borderId="0" xfId="0" applyFont="1"/>
    <xf numFmtId="0" fontId="20" fillId="0" borderId="0" xfId="0" applyFont="1" applyAlignment="1">
      <alignment horizontal="center" wrapText="1"/>
    </xf>
    <xf numFmtId="0" fontId="20" fillId="0" borderId="0" xfId="0" applyFont="1" applyAlignment="1">
      <alignment horizont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'green_010_hfsm3_50#1'!$G$3:$G$1002</c:f>
              <c:numCache>
                <c:formatCode>General</c:formatCode>
                <c:ptCount val="1000"/>
                <c:pt idx="0">
                  <c:v>0</c:v>
                </c:pt>
                <c:pt idx="1">
                  <c:v>2.5999999999999999E-3</c:v>
                </c:pt>
                <c:pt idx="2">
                  <c:v>3.8E-3</c:v>
                </c:pt>
                <c:pt idx="3">
                  <c:v>7.1000000000000004E-3</c:v>
                </c:pt>
                <c:pt idx="4">
                  <c:v>1.0999999999999999E-2</c:v>
                </c:pt>
                <c:pt idx="5">
                  <c:v>1.4200000000000001E-2</c:v>
                </c:pt>
                <c:pt idx="6">
                  <c:v>1.6899999999999998E-2</c:v>
                </c:pt>
                <c:pt idx="7">
                  <c:v>1.8200000000000001E-2</c:v>
                </c:pt>
                <c:pt idx="8">
                  <c:v>2.06E-2</c:v>
                </c:pt>
                <c:pt idx="9">
                  <c:v>2.3699999999999999E-2</c:v>
                </c:pt>
                <c:pt idx="10">
                  <c:v>2.6499999999999999E-2</c:v>
                </c:pt>
                <c:pt idx="11">
                  <c:v>2.7400000000000001E-2</c:v>
                </c:pt>
                <c:pt idx="12">
                  <c:v>2.9000000000000001E-2</c:v>
                </c:pt>
                <c:pt idx="13">
                  <c:v>3.0800000000000001E-2</c:v>
                </c:pt>
                <c:pt idx="14">
                  <c:v>3.32E-2</c:v>
                </c:pt>
                <c:pt idx="15">
                  <c:v>3.4099999999999998E-2</c:v>
                </c:pt>
                <c:pt idx="16">
                  <c:v>3.61E-2</c:v>
                </c:pt>
                <c:pt idx="17">
                  <c:v>3.73E-2</c:v>
                </c:pt>
                <c:pt idx="18">
                  <c:v>3.9600000000000003E-2</c:v>
                </c:pt>
                <c:pt idx="19">
                  <c:v>4.1500000000000002E-2</c:v>
                </c:pt>
                <c:pt idx="20">
                  <c:v>4.2599999999999999E-2</c:v>
                </c:pt>
                <c:pt idx="21">
                  <c:v>4.3299999999999998E-2</c:v>
                </c:pt>
                <c:pt idx="22">
                  <c:v>4.4499999999999998E-2</c:v>
                </c:pt>
                <c:pt idx="23">
                  <c:v>4.7399999999999998E-2</c:v>
                </c:pt>
                <c:pt idx="24">
                  <c:v>4.8099999999999997E-2</c:v>
                </c:pt>
                <c:pt idx="25">
                  <c:v>4.9000000000000002E-2</c:v>
                </c:pt>
                <c:pt idx="26">
                  <c:v>5.0599999999999999E-2</c:v>
                </c:pt>
                <c:pt idx="27">
                  <c:v>5.1799999999999999E-2</c:v>
                </c:pt>
                <c:pt idx="28">
                  <c:v>5.28E-2</c:v>
                </c:pt>
                <c:pt idx="29">
                  <c:v>5.5E-2</c:v>
                </c:pt>
                <c:pt idx="30">
                  <c:v>5.5100000000000003E-2</c:v>
                </c:pt>
                <c:pt idx="31">
                  <c:v>5.6000000000000001E-2</c:v>
                </c:pt>
                <c:pt idx="32">
                  <c:v>5.6399999999999999E-2</c:v>
                </c:pt>
                <c:pt idx="33">
                  <c:v>5.8999999999999997E-2</c:v>
                </c:pt>
                <c:pt idx="34">
                  <c:v>6.1100000000000002E-2</c:v>
                </c:pt>
                <c:pt idx="35">
                  <c:v>6.0699999999999997E-2</c:v>
                </c:pt>
                <c:pt idx="36">
                  <c:v>6.3100000000000003E-2</c:v>
                </c:pt>
                <c:pt idx="37">
                  <c:v>6.3700000000000007E-2</c:v>
                </c:pt>
                <c:pt idx="38">
                  <c:v>6.5000000000000002E-2</c:v>
                </c:pt>
                <c:pt idx="39">
                  <c:v>6.6600000000000006E-2</c:v>
                </c:pt>
                <c:pt idx="40">
                  <c:v>6.7100000000000007E-2</c:v>
                </c:pt>
                <c:pt idx="41">
                  <c:v>6.83E-2</c:v>
                </c:pt>
                <c:pt idx="42">
                  <c:v>7.0800000000000002E-2</c:v>
                </c:pt>
                <c:pt idx="43">
                  <c:v>7.17E-2</c:v>
                </c:pt>
                <c:pt idx="44">
                  <c:v>7.3200000000000001E-2</c:v>
                </c:pt>
                <c:pt idx="45">
                  <c:v>7.4399999999999994E-2</c:v>
                </c:pt>
                <c:pt idx="46">
                  <c:v>7.6100000000000001E-2</c:v>
                </c:pt>
                <c:pt idx="47">
                  <c:v>7.8E-2</c:v>
                </c:pt>
                <c:pt idx="48">
                  <c:v>7.9000000000000001E-2</c:v>
                </c:pt>
                <c:pt idx="49">
                  <c:v>0.08</c:v>
                </c:pt>
                <c:pt idx="50">
                  <c:v>8.3099999999999993E-2</c:v>
                </c:pt>
                <c:pt idx="51">
                  <c:v>8.3699999999999997E-2</c:v>
                </c:pt>
                <c:pt idx="52">
                  <c:v>8.4699999999999998E-2</c:v>
                </c:pt>
                <c:pt idx="53">
                  <c:v>8.6499999999999994E-2</c:v>
                </c:pt>
                <c:pt idx="54">
                  <c:v>8.7400000000000005E-2</c:v>
                </c:pt>
                <c:pt idx="55">
                  <c:v>0.09</c:v>
                </c:pt>
                <c:pt idx="56">
                  <c:v>9.0800000000000006E-2</c:v>
                </c:pt>
                <c:pt idx="57">
                  <c:v>9.3299999999999994E-2</c:v>
                </c:pt>
                <c:pt idx="58">
                  <c:v>9.3899999999999997E-2</c:v>
                </c:pt>
                <c:pt idx="59">
                  <c:v>9.5899999999999999E-2</c:v>
                </c:pt>
                <c:pt idx="60">
                  <c:v>9.69E-2</c:v>
                </c:pt>
                <c:pt idx="61">
                  <c:v>9.8299999999999998E-2</c:v>
                </c:pt>
                <c:pt idx="62">
                  <c:v>9.9599999999999994E-2</c:v>
                </c:pt>
                <c:pt idx="63">
                  <c:v>0.10050000000000001</c:v>
                </c:pt>
                <c:pt idx="64">
                  <c:v>0.1022</c:v>
                </c:pt>
                <c:pt idx="65">
                  <c:v>0.105</c:v>
                </c:pt>
                <c:pt idx="66">
                  <c:v>0.105</c:v>
                </c:pt>
                <c:pt idx="67">
                  <c:v>0.10589999999999999</c:v>
                </c:pt>
                <c:pt idx="68">
                  <c:v>0.10829999999999999</c:v>
                </c:pt>
                <c:pt idx="69">
                  <c:v>0.1075</c:v>
                </c:pt>
                <c:pt idx="70">
                  <c:v>0.10920000000000001</c:v>
                </c:pt>
                <c:pt idx="71">
                  <c:v>0.11070000000000001</c:v>
                </c:pt>
                <c:pt idx="72">
                  <c:v>0.1124</c:v>
                </c:pt>
                <c:pt idx="73">
                  <c:v>0.1129</c:v>
                </c:pt>
                <c:pt idx="74">
                  <c:v>0.1153</c:v>
                </c:pt>
                <c:pt idx="75">
                  <c:v>0.1143</c:v>
                </c:pt>
                <c:pt idx="76">
                  <c:v>0.1157</c:v>
                </c:pt>
                <c:pt idx="77">
                  <c:v>0.11749999999999999</c:v>
                </c:pt>
                <c:pt idx="78">
                  <c:v>0.11940000000000001</c:v>
                </c:pt>
                <c:pt idx="79">
                  <c:v>0.11899999999999999</c:v>
                </c:pt>
                <c:pt idx="80">
                  <c:v>0.1187</c:v>
                </c:pt>
                <c:pt idx="81">
                  <c:v>0.12089999999999999</c:v>
                </c:pt>
                <c:pt idx="82">
                  <c:v>0.1206</c:v>
                </c:pt>
                <c:pt idx="83">
                  <c:v>0.1234</c:v>
                </c:pt>
                <c:pt idx="84">
                  <c:v>0.1232</c:v>
                </c:pt>
                <c:pt idx="85">
                  <c:v>0.1239</c:v>
                </c:pt>
                <c:pt idx="86">
                  <c:v>0.1246</c:v>
                </c:pt>
                <c:pt idx="87">
                  <c:v>0.12529999999999999</c:v>
                </c:pt>
                <c:pt idx="88">
                  <c:v>0.1268</c:v>
                </c:pt>
                <c:pt idx="89">
                  <c:v>0.1275</c:v>
                </c:pt>
                <c:pt idx="90">
                  <c:v>0.129</c:v>
                </c:pt>
                <c:pt idx="91">
                  <c:v>0.1288</c:v>
                </c:pt>
                <c:pt idx="92">
                  <c:v>0.13009999999999999</c:v>
                </c:pt>
                <c:pt idx="93">
                  <c:v>0.13139999999999999</c:v>
                </c:pt>
                <c:pt idx="94">
                  <c:v>0.13220000000000001</c:v>
                </c:pt>
                <c:pt idx="95">
                  <c:v>0.1336</c:v>
                </c:pt>
                <c:pt idx="96">
                  <c:v>0.1333</c:v>
                </c:pt>
                <c:pt idx="97">
                  <c:v>0.1348</c:v>
                </c:pt>
                <c:pt idx="98">
                  <c:v>0.13650000000000001</c:v>
                </c:pt>
                <c:pt idx="99">
                  <c:v>0.13819999999999999</c:v>
                </c:pt>
                <c:pt idx="100">
                  <c:v>0.1394</c:v>
                </c:pt>
                <c:pt idx="101">
                  <c:v>0.14050000000000001</c:v>
                </c:pt>
                <c:pt idx="102">
                  <c:v>0.14149999999999999</c:v>
                </c:pt>
                <c:pt idx="103">
                  <c:v>0.1431</c:v>
                </c:pt>
                <c:pt idx="104">
                  <c:v>0.14380000000000001</c:v>
                </c:pt>
                <c:pt idx="105">
                  <c:v>0.1457</c:v>
                </c:pt>
                <c:pt idx="106">
                  <c:v>0.14760000000000001</c:v>
                </c:pt>
                <c:pt idx="107">
                  <c:v>0.14910000000000001</c:v>
                </c:pt>
                <c:pt idx="108">
                  <c:v>0.14960000000000001</c:v>
                </c:pt>
                <c:pt idx="109">
                  <c:v>0.15060000000000001</c:v>
                </c:pt>
                <c:pt idx="110">
                  <c:v>0.15190000000000001</c:v>
                </c:pt>
                <c:pt idx="111">
                  <c:v>0.15440000000000001</c:v>
                </c:pt>
                <c:pt idx="112">
                  <c:v>0.15479999999999999</c:v>
                </c:pt>
                <c:pt idx="113">
                  <c:v>0.1555</c:v>
                </c:pt>
                <c:pt idx="114">
                  <c:v>0.15690000000000001</c:v>
                </c:pt>
                <c:pt idx="115">
                  <c:v>0.15920000000000001</c:v>
                </c:pt>
                <c:pt idx="116">
                  <c:v>0.15959999999999999</c:v>
                </c:pt>
                <c:pt idx="117">
                  <c:v>0.16270000000000001</c:v>
                </c:pt>
                <c:pt idx="118">
                  <c:v>0.1633</c:v>
                </c:pt>
                <c:pt idx="119">
                  <c:v>0.1638</c:v>
                </c:pt>
                <c:pt idx="120">
                  <c:v>0.1661</c:v>
                </c:pt>
                <c:pt idx="121">
                  <c:v>0.16769999999999999</c:v>
                </c:pt>
                <c:pt idx="122">
                  <c:v>0.16789999999999999</c:v>
                </c:pt>
                <c:pt idx="123">
                  <c:v>0.1701</c:v>
                </c:pt>
                <c:pt idx="124">
                  <c:v>0.17130000000000001</c:v>
                </c:pt>
                <c:pt idx="125">
                  <c:v>0.17299999999999999</c:v>
                </c:pt>
                <c:pt idx="126">
                  <c:v>0.17460000000000001</c:v>
                </c:pt>
                <c:pt idx="127">
                  <c:v>0.1757</c:v>
                </c:pt>
                <c:pt idx="128">
                  <c:v>0.17660000000000001</c:v>
                </c:pt>
                <c:pt idx="129">
                  <c:v>0.17849999999999999</c:v>
                </c:pt>
                <c:pt idx="130">
                  <c:v>0.1779</c:v>
                </c:pt>
                <c:pt idx="131">
                  <c:v>0.1797</c:v>
                </c:pt>
                <c:pt idx="132">
                  <c:v>0.18079999999999999</c:v>
                </c:pt>
                <c:pt idx="133">
                  <c:v>0.18099999999999999</c:v>
                </c:pt>
                <c:pt idx="134">
                  <c:v>0.18190000000000001</c:v>
                </c:pt>
                <c:pt idx="135">
                  <c:v>0.1827</c:v>
                </c:pt>
                <c:pt idx="136">
                  <c:v>0.18340000000000001</c:v>
                </c:pt>
                <c:pt idx="137">
                  <c:v>0.185</c:v>
                </c:pt>
                <c:pt idx="138">
                  <c:v>0.185</c:v>
                </c:pt>
                <c:pt idx="139">
                  <c:v>0.1857</c:v>
                </c:pt>
                <c:pt idx="140">
                  <c:v>0.18629999999999999</c:v>
                </c:pt>
                <c:pt idx="141">
                  <c:v>0.18740000000000001</c:v>
                </c:pt>
                <c:pt idx="142">
                  <c:v>0.188</c:v>
                </c:pt>
                <c:pt idx="143">
                  <c:v>0.18890000000000001</c:v>
                </c:pt>
                <c:pt idx="144">
                  <c:v>0.19089999999999999</c:v>
                </c:pt>
                <c:pt idx="145">
                  <c:v>0.19170000000000001</c:v>
                </c:pt>
                <c:pt idx="146">
                  <c:v>0.1915</c:v>
                </c:pt>
                <c:pt idx="147">
                  <c:v>0.19239999999999999</c:v>
                </c:pt>
                <c:pt idx="148">
                  <c:v>0.19309999999999999</c:v>
                </c:pt>
                <c:pt idx="149">
                  <c:v>0.19370000000000001</c:v>
                </c:pt>
                <c:pt idx="150">
                  <c:v>0.1943</c:v>
                </c:pt>
                <c:pt idx="151">
                  <c:v>0.1961</c:v>
                </c:pt>
                <c:pt idx="152">
                  <c:v>0.1976</c:v>
                </c:pt>
                <c:pt idx="153">
                  <c:v>0.1978</c:v>
                </c:pt>
                <c:pt idx="154">
                  <c:v>0.19980000000000001</c:v>
                </c:pt>
                <c:pt idx="155">
                  <c:v>0.20069999999999999</c:v>
                </c:pt>
                <c:pt idx="156">
                  <c:v>0.20300000000000001</c:v>
                </c:pt>
                <c:pt idx="157">
                  <c:v>0.2039</c:v>
                </c:pt>
                <c:pt idx="158">
                  <c:v>0.20449999999999999</c:v>
                </c:pt>
                <c:pt idx="159">
                  <c:v>0.2041</c:v>
                </c:pt>
                <c:pt idx="160">
                  <c:v>0.2059</c:v>
                </c:pt>
                <c:pt idx="161">
                  <c:v>0.20760000000000001</c:v>
                </c:pt>
                <c:pt idx="162">
                  <c:v>0.25440000000000002</c:v>
                </c:pt>
                <c:pt idx="163">
                  <c:v>0.25790000000000002</c:v>
                </c:pt>
                <c:pt idx="164">
                  <c:v>0.25869999999999999</c:v>
                </c:pt>
                <c:pt idx="165">
                  <c:v>0.26140000000000002</c:v>
                </c:pt>
                <c:pt idx="166">
                  <c:v>0.2616</c:v>
                </c:pt>
                <c:pt idx="167">
                  <c:v>0.26200000000000001</c:v>
                </c:pt>
                <c:pt idx="168">
                  <c:v>0.26369999999999999</c:v>
                </c:pt>
                <c:pt idx="169">
                  <c:v>0.2651</c:v>
                </c:pt>
                <c:pt idx="170">
                  <c:v>0.26529999999999998</c:v>
                </c:pt>
                <c:pt idx="171">
                  <c:v>0.2671</c:v>
                </c:pt>
                <c:pt idx="172">
                  <c:v>0.26900000000000002</c:v>
                </c:pt>
                <c:pt idx="173">
                  <c:v>0.27100000000000002</c:v>
                </c:pt>
                <c:pt idx="174">
                  <c:v>0.27279999999999999</c:v>
                </c:pt>
                <c:pt idx="175">
                  <c:v>0.27400000000000002</c:v>
                </c:pt>
                <c:pt idx="176">
                  <c:v>0.27529999999999999</c:v>
                </c:pt>
                <c:pt idx="177">
                  <c:v>0.2772</c:v>
                </c:pt>
                <c:pt idx="178">
                  <c:v>0.27860000000000001</c:v>
                </c:pt>
                <c:pt idx="179">
                  <c:v>0.27979999999999999</c:v>
                </c:pt>
                <c:pt idx="180">
                  <c:v>0.28120000000000001</c:v>
                </c:pt>
                <c:pt idx="181">
                  <c:v>0.28320000000000001</c:v>
                </c:pt>
                <c:pt idx="182">
                  <c:v>0.2853</c:v>
                </c:pt>
                <c:pt idx="183">
                  <c:v>0.2853</c:v>
                </c:pt>
                <c:pt idx="184">
                  <c:v>0.2858</c:v>
                </c:pt>
                <c:pt idx="185">
                  <c:v>0.28670000000000001</c:v>
                </c:pt>
                <c:pt idx="186">
                  <c:v>0.2883</c:v>
                </c:pt>
                <c:pt idx="187">
                  <c:v>0.28949999999999998</c:v>
                </c:pt>
                <c:pt idx="188">
                  <c:v>0.29239999999999999</c:v>
                </c:pt>
                <c:pt idx="189">
                  <c:v>0.29360000000000003</c:v>
                </c:pt>
                <c:pt idx="190">
                  <c:v>0.2954</c:v>
                </c:pt>
                <c:pt idx="191">
                  <c:v>0.29599999999999999</c:v>
                </c:pt>
                <c:pt idx="192">
                  <c:v>0.29709999999999998</c:v>
                </c:pt>
                <c:pt idx="193">
                  <c:v>0.2979</c:v>
                </c:pt>
                <c:pt idx="194">
                  <c:v>0.3</c:v>
                </c:pt>
                <c:pt idx="195">
                  <c:v>0.30070000000000002</c:v>
                </c:pt>
                <c:pt idx="196">
                  <c:v>0.30099999999999999</c:v>
                </c:pt>
                <c:pt idx="197">
                  <c:v>0.30159999999999998</c:v>
                </c:pt>
                <c:pt idx="198">
                  <c:v>0.30199999999999999</c:v>
                </c:pt>
                <c:pt idx="199">
                  <c:v>0.30409999999999998</c:v>
                </c:pt>
                <c:pt idx="200">
                  <c:v>0.3049</c:v>
                </c:pt>
                <c:pt idx="201">
                  <c:v>0.30640000000000001</c:v>
                </c:pt>
                <c:pt idx="202">
                  <c:v>0.30630000000000002</c:v>
                </c:pt>
                <c:pt idx="203">
                  <c:v>0.308</c:v>
                </c:pt>
                <c:pt idx="204">
                  <c:v>0.309</c:v>
                </c:pt>
                <c:pt idx="205">
                  <c:v>0.31019999999999998</c:v>
                </c:pt>
                <c:pt idx="206">
                  <c:v>0.31259999999999999</c:v>
                </c:pt>
                <c:pt idx="207">
                  <c:v>0.31409999999999999</c:v>
                </c:pt>
                <c:pt idx="208">
                  <c:v>0.316</c:v>
                </c:pt>
                <c:pt idx="209">
                  <c:v>0.31640000000000001</c:v>
                </c:pt>
                <c:pt idx="210">
                  <c:v>0.31759999999999999</c:v>
                </c:pt>
                <c:pt idx="211">
                  <c:v>0.31969999999999998</c:v>
                </c:pt>
                <c:pt idx="212">
                  <c:v>0.32</c:v>
                </c:pt>
                <c:pt idx="213">
                  <c:v>0.3216</c:v>
                </c:pt>
                <c:pt idx="214">
                  <c:v>0.32390000000000002</c:v>
                </c:pt>
                <c:pt idx="215">
                  <c:v>0.32529999999999998</c:v>
                </c:pt>
                <c:pt idx="216">
                  <c:v>0.32769999999999999</c:v>
                </c:pt>
                <c:pt idx="217">
                  <c:v>0.32929999999999998</c:v>
                </c:pt>
                <c:pt idx="218">
                  <c:v>0.33169999999999999</c:v>
                </c:pt>
                <c:pt idx="219">
                  <c:v>0.33310000000000001</c:v>
                </c:pt>
                <c:pt idx="220">
                  <c:v>0.33460000000000001</c:v>
                </c:pt>
                <c:pt idx="221">
                  <c:v>0.3372</c:v>
                </c:pt>
                <c:pt idx="222">
                  <c:v>0.33839999999999998</c:v>
                </c:pt>
                <c:pt idx="223">
                  <c:v>0.34239999999999998</c:v>
                </c:pt>
                <c:pt idx="224">
                  <c:v>0.34499999999999997</c:v>
                </c:pt>
                <c:pt idx="225">
                  <c:v>0.34660000000000002</c:v>
                </c:pt>
                <c:pt idx="226">
                  <c:v>0.3478</c:v>
                </c:pt>
                <c:pt idx="227">
                  <c:v>0.35010000000000002</c:v>
                </c:pt>
                <c:pt idx="228">
                  <c:v>0.35199999999999998</c:v>
                </c:pt>
                <c:pt idx="229">
                  <c:v>0.35349999999999998</c:v>
                </c:pt>
                <c:pt idx="230">
                  <c:v>0.35589999999999999</c:v>
                </c:pt>
                <c:pt idx="231">
                  <c:v>0.35680000000000001</c:v>
                </c:pt>
                <c:pt idx="232">
                  <c:v>0.35880000000000001</c:v>
                </c:pt>
                <c:pt idx="233">
                  <c:v>0.35980000000000001</c:v>
                </c:pt>
                <c:pt idx="234">
                  <c:v>0.36230000000000001</c:v>
                </c:pt>
                <c:pt idx="235">
                  <c:v>0.36320000000000002</c:v>
                </c:pt>
                <c:pt idx="236">
                  <c:v>0.3654</c:v>
                </c:pt>
                <c:pt idx="237">
                  <c:v>0.3654</c:v>
                </c:pt>
                <c:pt idx="238">
                  <c:v>0.36840000000000001</c:v>
                </c:pt>
                <c:pt idx="239">
                  <c:v>0.36940000000000001</c:v>
                </c:pt>
                <c:pt idx="240">
                  <c:v>0.37109999999999999</c:v>
                </c:pt>
                <c:pt idx="241">
                  <c:v>0.37230000000000002</c:v>
                </c:pt>
                <c:pt idx="242">
                  <c:v>0.37380000000000002</c:v>
                </c:pt>
                <c:pt idx="243">
                  <c:v>0.37480000000000002</c:v>
                </c:pt>
                <c:pt idx="244">
                  <c:v>0.37709999999999999</c:v>
                </c:pt>
                <c:pt idx="245">
                  <c:v>0.37759999999999999</c:v>
                </c:pt>
                <c:pt idx="246">
                  <c:v>0.379</c:v>
                </c:pt>
                <c:pt idx="247">
                  <c:v>0.38080000000000003</c:v>
                </c:pt>
                <c:pt idx="248">
                  <c:v>0.38240000000000002</c:v>
                </c:pt>
                <c:pt idx="249">
                  <c:v>0.38219999999999998</c:v>
                </c:pt>
                <c:pt idx="250">
                  <c:v>0.38590000000000002</c:v>
                </c:pt>
                <c:pt idx="251">
                  <c:v>0.38640000000000002</c:v>
                </c:pt>
                <c:pt idx="252">
                  <c:v>0.38850000000000001</c:v>
                </c:pt>
                <c:pt idx="253">
                  <c:v>0.3896</c:v>
                </c:pt>
                <c:pt idx="254">
                  <c:v>0.39029999999999998</c:v>
                </c:pt>
                <c:pt idx="255">
                  <c:v>0.39079999999999998</c:v>
                </c:pt>
                <c:pt idx="256">
                  <c:v>0.39279999999999998</c:v>
                </c:pt>
                <c:pt idx="257">
                  <c:v>0.39489999999999997</c:v>
                </c:pt>
                <c:pt idx="258">
                  <c:v>0.39639999999999997</c:v>
                </c:pt>
                <c:pt idx="259">
                  <c:v>0.3982</c:v>
                </c:pt>
                <c:pt idx="260">
                  <c:v>0.40129999999999999</c:v>
                </c:pt>
                <c:pt idx="261">
                  <c:v>0.40079999999999999</c:v>
                </c:pt>
                <c:pt idx="262">
                  <c:v>0.40329999999999999</c:v>
                </c:pt>
                <c:pt idx="263">
                  <c:v>0.40429999999999999</c:v>
                </c:pt>
                <c:pt idx="264">
                  <c:v>0.40629999999999999</c:v>
                </c:pt>
                <c:pt idx="265">
                  <c:v>0.40760000000000002</c:v>
                </c:pt>
                <c:pt idx="266">
                  <c:v>0.40870000000000001</c:v>
                </c:pt>
                <c:pt idx="267">
                  <c:v>0.4108</c:v>
                </c:pt>
                <c:pt idx="268">
                  <c:v>0.41239999999999999</c:v>
                </c:pt>
                <c:pt idx="269">
                  <c:v>0.41449999999999998</c:v>
                </c:pt>
                <c:pt idx="270">
                  <c:v>0.4163</c:v>
                </c:pt>
                <c:pt idx="271">
                  <c:v>0.41870000000000002</c:v>
                </c:pt>
                <c:pt idx="272">
                  <c:v>0.42049999999999998</c:v>
                </c:pt>
                <c:pt idx="273">
                  <c:v>0.42130000000000001</c:v>
                </c:pt>
                <c:pt idx="274">
                  <c:v>0.42230000000000001</c:v>
                </c:pt>
                <c:pt idx="275">
                  <c:v>0.42380000000000001</c:v>
                </c:pt>
                <c:pt idx="276">
                  <c:v>0.42570000000000002</c:v>
                </c:pt>
                <c:pt idx="277">
                  <c:v>0.42799999999999999</c:v>
                </c:pt>
                <c:pt idx="278">
                  <c:v>0.43049999999999999</c:v>
                </c:pt>
                <c:pt idx="279">
                  <c:v>0.43109999999999998</c:v>
                </c:pt>
                <c:pt idx="280">
                  <c:v>0.43290000000000001</c:v>
                </c:pt>
                <c:pt idx="281">
                  <c:v>0.43380000000000002</c:v>
                </c:pt>
                <c:pt idx="282">
                  <c:v>0.43669999999999998</c:v>
                </c:pt>
                <c:pt idx="283">
                  <c:v>0.43690000000000001</c:v>
                </c:pt>
                <c:pt idx="284">
                  <c:v>0.43969999999999998</c:v>
                </c:pt>
                <c:pt idx="285">
                  <c:v>0.44209999999999999</c:v>
                </c:pt>
                <c:pt idx="286">
                  <c:v>0.44400000000000001</c:v>
                </c:pt>
                <c:pt idx="287">
                  <c:v>0.4466</c:v>
                </c:pt>
                <c:pt idx="288">
                  <c:v>0.44719999999999999</c:v>
                </c:pt>
                <c:pt idx="289">
                  <c:v>0.44990000000000002</c:v>
                </c:pt>
                <c:pt idx="290">
                  <c:v>0.4506</c:v>
                </c:pt>
                <c:pt idx="291">
                  <c:v>0.45179999999999998</c:v>
                </c:pt>
                <c:pt idx="292">
                  <c:v>0.45300000000000001</c:v>
                </c:pt>
                <c:pt idx="293">
                  <c:v>0.45479999999999998</c:v>
                </c:pt>
                <c:pt idx="294">
                  <c:v>0.45569999999999999</c:v>
                </c:pt>
                <c:pt idx="295">
                  <c:v>0.45729999999999998</c:v>
                </c:pt>
                <c:pt idx="296">
                  <c:v>0.45910000000000001</c:v>
                </c:pt>
                <c:pt idx="297">
                  <c:v>0.46079999999999999</c:v>
                </c:pt>
                <c:pt idx="298">
                  <c:v>0.46260000000000001</c:v>
                </c:pt>
                <c:pt idx="299">
                  <c:v>0.46560000000000001</c:v>
                </c:pt>
                <c:pt idx="300">
                  <c:v>0.46639999999999998</c:v>
                </c:pt>
                <c:pt idx="301">
                  <c:v>0.46760000000000002</c:v>
                </c:pt>
                <c:pt idx="302">
                  <c:v>0.46920000000000001</c:v>
                </c:pt>
                <c:pt idx="303">
                  <c:v>0.46970000000000001</c:v>
                </c:pt>
                <c:pt idx="304">
                  <c:v>0.4698</c:v>
                </c:pt>
                <c:pt idx="305">
                  <c:v>0.47089999999999999</c:v>
                </c:pt>
                <c:pt idx="306">
                  <c:v>0.47210000000000002</c:v>
                </c:pt>
                <c:pt idx="307">
                  <c:v>0.47410000000000002</c:v>
                </c:pt>
                <c:pt idx="308">
                  <c:v>0.47460000000000002</c:v>
                </c:pt>
                <c:pt idx="309">
                  <c:v>0.47589999999999999</c:v>
                </c:pt>
                <c:pt idx="310">
                  <c:v>0.47639999999999999</c:v>
                </c:pt>
                <c:pt idx="311">
                  <c:v>0.47689999999999999</c:v>
                </c:pt>
                <c:pt idx="312">
                  <c:v>0.47820000000000001</c:v>
                </c:pt>
                <c:pt idx="313">
                  <c:v>0.47889999999999999</c:v>
                </c:pt>
                <c:pt idx="314">
                  <c:v>0.47989999999999999</c:v>
                </c:pt>
                <c:pt idx="315">
                  <c:v>0.48170000000000002</c:v>
                </c:pt>
                <c:pt idx="316">
                  <c:v>0.48270000000000002</c:v>
                </c:pt>
                <c:pt idx="317">
                  <c:v>0.48349999999999999</c:v>
                </c:pt>
                <c:pt idx="318">
                  <c:v>0.4849</c:v>
                </c:pt>
                <c:pt idx="319">
                  <c:v>0.48480000000000001</c:v>
                </c:pt>
                <c:pt idx="320">
                  <c:v>0.48599999999999999</c:v>
                </c:pt>
                <c:pt idx="321">
                  <c:v>0.48820000000000002</c:v>
                </c:pt>
                <c:pt idx="322">
                  <c:v>0.48870000000000002</c:v>
                </c:pt>
                <c:pt idx="323">
                  <c:v>0.49030000000000001</c:v>
                </c:pt>
                <c:pt idx="324">
                  <c:v>0.49249999999999999</c:v>
                </c:pt>
                <c:pt idx="325">
                  <c:v>0.49230000000000002</c:v>
                </c:pt>
                <c:pt idx="326">
                  <c:v>0.49469999999999997</c:v>
                </c:pt>
                <c:pt idx="327">
                  <c:v>0.49530000000000002</c:v>
                </c:pt>
                <c:pt idx="328">
                  <c:v>0.49759999999999999</c:v>
                </c:pt>
                <c:pt idx="329">
                  <c:v>0.49890000000000001</c:v>
                </c:pt>
                <c:pt idx="330">
                  <c:v>0.49990000000000001</c:v>
                </c:pt>
                <c:pt idx="331">
                  <c:v>0.50270000000000004</c:v>
                </c:pt>
                <c:pt idx="332">
                  <c:v>0.50360000000000005</c:v>
                </c:pt>
                <c:pt idx="333">
                  <c:v>0.50590000000000002</c:v>
                </c:pt>
                <c:pt idx="334">
                  <c:v>0.50729999999999997</c:v>
                </c:pt>
                <c:pt idx="335">
                  <c:v>0.50890000000000002</c:v>
                </c:pt>
                <c:pt idx="336">
                  <c:v>0.51080000000000003</c:v>
                </c:pt>
                <c:pt idx="337">
                  <c:v>0.51270000000000004</c:v>
                </c:pt>
                <c:pt idx="338">
                  <c:v>0.5131</c:v>
                </c:pt>
                <c:pt idx="339">
                  <c:v>0.51649999999999996</c:v>
                </c:pt>
                <c:pt idx="340">
                  <c:v>0.51649999999999996</c:v>
                </c:pt>
                <c:pt idx="341">
                  <c:v>0.5202</c:v>
                </c:pt>
                <c:pt idx="342">
                  <c:v>0.52070000000000005</c:v>
                </c:pt>
                <c:pt idx="343">
                  <c:v>0.52229999999999999</c:v>
                </c:pt>
                <c:pt idx="344">
                  <c:v>0.52400000000000002</c:v>
                </c:pt>
                <c:pt idx="345">
                  <c:v>0.52580000000000005</c:v>
                </c:pt>
                <c:pt idx="346">
                  <c:v>0.52700000000000002</c:v>
                </c:pt>
                <c:pt idx="347">
                  <c:v>0.52780000000000005</c:v>
                </c:pt>
                <c:pt idx="348">
                  <c:v>0.53</c:v>
                </c:pt>
                <c:pt idx="349">
                  <c:v>0.5333</c:v>
                </c:pt>
                <c:pt idx="350">
                  <c:v>0.5343</c:v>
                </c:pt>
                <c:pt idx="351">
                  <c:v>0.53659999999999997</c:v>
                </c:pt>
                <c:pt idx="352">
                  <c:v>0.53810000000000002</c:v>
                </c:pt>
                <c:pt idx="353">
                  <c:v>0.53859999999999997</c:v>
                </c:pt>
                <c:pt idx="354">
                  <c:v>0.54020000000000001</c:v>
                </c:pt>
                <c:pt idx="355">
                  <c:v>0.54049999999999998</c:v>
                </c:pt>
                <c:pt idx="356">
                  <c:v>0.54149999999999998</c:v>
                </c:pt>
                <c:pt idx="357">
                  <c:v>0.54220000000000002</c:v>
                </c:pt>
                <c:pt idx="358">
                  <c:v>0.54430000000000001</c:v>
                </c:pt>
                <c:pt idx="359">
                  <c:v>0.54559999999999997</c:v>
                </c:pt>
                <c:pt idx="360">
                  <c:v>0.54579999999999995</c:v>
                </c:pt>
                <c:pt idx="361">
                  <c:v>0.54779999999999995</c:v>
                </c:pt>
                <c:pt idx="362">
                  <c:v>0.54830000000000001</c:v>
                </c:pt>
                <c:pt idx="363">
                  <c:v>0.54859999999999998</c:v>
                </c:pt>
                <c:pt idx="364">
                  <c:v>0.54990000000000006</c:v>
                </c:pt>
                <c:pt idx="365">
                  <c:v>0.55179999999999996</c:v>
                </c:pt>
                <c:pt idx="366">
                  <c:v>0.55320000000000003</c:v>
                </c:pt>
                <c:pt idx="367">
                  <c:v>0.55389999999999995</c:v>
                </c:pt>
                <c:pt idx="368">
                  <c:v>0.55559999999999998</c:v>
                </c:pt>
                <c:pt idx="369">
                  <c:v>0.55610000000000004</c:v>
                </c:pt>
                <c:pt idx="370">
                  <c:v>0.55840000000000001</c:v>
                </c:pt>
                <c:pt idx="371">
                  <c:v>0.55969999999999998</c:v>
                </c:pt>
                <c:pt idx="372">
                  <c:v>0.55930000000000002</c:v>
                </c:pt>
                <c:pt idx="373">
                  <c:v>0.56230000000000002</c:v>
                </c:pt>
                <c:pt idx="374">
                  <c:v>0.56200000000000006</c:v>
                </c:pt>
                <c:pt idx="375">
                  <c:v>0.56410000000000005</c:v>
                </c:pt>
                <c:pt idx="376">
                  <c:v>0.56579999999999997</c:v>
                </c:pt>
                <c:pt idx="377">
                  <c:v>0.56569999999999998</c:v>
                </c:pt>
                <c:pt idx="378">
                  <c:v>0.56720000000000004</c:v>
                </c:pt>
                <c:pt idx="379">
                  <c:v>0.56950000000000001</c:v>
                </c:pt>
                <c:pt idx="380">
                  <c:v>0.57150000000000001</c:v>
                </c:pt>
                <c:pt idx="381">
                  <c:v>0.57289999999999996</c:v>
                </c:pt>
                <c:pt idx="382">
                  <c:v>0.57299999999999995</c:v>
                </c:pt>
                <c:pt idx="383">
                  <c:v>0.5746</c:v>
                </c:pt>
                <c:pt idx="384">
                  <c:v>0.57569999999999999</c:v>
                </c:pt>
                <c:pt idx="385">
                  <c:v>0.57689999999999997</c:v>
                </c:pt>
                <c:pt idx="386">
                  <c:v>0.57869999999999999</c:v>
                </c:pt>
                <c:pt idx="387">
                  <c:v>0.58120000000000005</c:v>
                </c:pt>
                <c:pt idx="388">
                  <c:v>0.58230000000000004</c:v>
                </c:pt>
                <c:pt idx="389">
                  <c:v>0.58260000000000001</c:v>
                </c:pt>
                <c:pt idx="390">
                  <c:v>0.58450000000000002</c:v>
                </c:pt>
                <c:pt idx="391">
                  <c:v>0.58560000000000001</c:v>
                </c:pt>
                <c:pt idx="392">
                  <c:v>0.58630000000000004</c:v>
                </c:pt>
                <c:pt idx="393">
                  <c:v>0.58940000000000003</c:v>
                </c:pt>
                <c:pt idx="394">
                  <c:v>0.59030000000000005</c:v>
                </c:pt>
                <c:pt idx="395">
                  <c:v>0.59299999999999997</c:v>
                </c:pt>
                <c:pt idx="396">
                  <c:v>0.59319999999999995</c:v>
                </c:pt>
                <c:pt idx="397">
                  <c:v>0.59550000000000003</c:v>
                </c:pt>
                <c:pt idx="398">
                  <c:v>0.59650000000000003</c:v>
                </c:pt>
                <c:pt idx="399">
                  <c:v>0.5988</c:v>
                </c:pt>
                <c:pt idx="400">
                  <c:v>0.60040000000000004</c:v>
                </c:pt>
                <c:pt idx="401">
                  <c:v>0.60129999999999995</c:v>
                </c:pt>
                <c:pt idx="402">
                  <c:v>0.60319999999999996</c:v>
                </c:pt>
                <c:pt idx="403">
                  <c:v>0.60360000000000003</c:v>
                </c:pt>
                <c:pt idx="404">
                  <c:v>0.60619999999999996</c:v>
                </c:pt>
                <c:pt idx="405">
                  <c:v>0.6069</c:v>
                </c:pt>
                <c:pt idx="406">
                  <c:v>0.60840000000000005</c:v>
                </c:pt>
                <c:pt idx="407">
                  <c:v>0.60870000000000002</c:v>
                </c:pt>
                <c:pt idx="408">
                  <c:v>0.61109999999999998</c:v>
                </c:pt>
                <c:pt idx="409">
                  <c:v>0.61360000000000003</c:v>
                </c:pt>
                <c:pt idx="410">
                  <c:v>0.61419999999999997</c:v>
                </c:pt>
                <c:pt idx="411">
                  <c:v>0.61560000000000004</c:v>
                </c:pt>
                <c:pt idx="412">
                  <c:v>0.61799999999999999</c:v>
                </c:pt>
                <c:pt idx="413">
                  <c:v>0.61729999999999996</c:v>
                </c:pt>
                <c:pt idx="414">
                  <c:v>0.61899999999999999</c:v>
                </c:pt>
                <c:pt idx="415">
                  <c:v>0.62139999999999995</c:v>
                </c:pt>
                <c:pt idx="416">
                  <c:v>0.62090000000000001</c:v>
                </c:pt>
                <c:pt idx="417">
                  <c:v>0.623</c:v>
                </c:pt>
                <c:pt idx="418">
                  <c:v>0.62470000000000003</c:v>
                </c:pt>
                <c:pt idx="419">
                  <c:v>0.62560000000000004</c:v>
                </c:pt>
                <c:pt idx="420">
                  <c:v>0.62739999999999996</c:v>
                </c:pt>
                <c:pt idx="421">
                  <c:v>0.62829999999999997</c:v>
                </c:pt>
                <c:pt idx="422">
                  <c:v>0.63009999999999999</c:v>
                </c:pt>
                <c:pt idx="423">
                  <c:v>0.63109999999999999</c:v>
                </c:pt>
                <c:pt idx="424">
                  <c:v>0.63249999999999995</c:v>
                </c:pt>
                <c:pt idx="425">
                  <c:v>0.63390000000000002</c:v>
                </c:pt>
                <c:pt idx="426">
                  <c:v>0.6351</c:v>
                </c:pt>
                <c:pt idx="427">
                  <c:v>0.63549999999999995</c:v>
                </c:pt>
                <c:pt idx="428">
                  <c:v>0.63700000000000001</c:v>
                </c:pt>
                <c:pt idx="429">
                  <c:v>0.63819999999999999</c:v>
                </c:pt>
                <c:pt idx="430">
                  <c:v>0.63949999999999996</c:v>
                </c:pt>
                <c:pt idx="431">
                  <c:v>0.6401</c:v>
                </c:pt>
                <c:pt idx="432">
                  <c:v>0.64259999999999995</c:v>
                </c:pt>
                <c:pt idx="433">
                  <c:v>0.64280000000000004</c:v>
                </c:pt>
                <c:pt idx="434">
                  <c:v>0.6452</c:v>
                </c:pt>
                <c:pt idx="435">
                  <c:v>0.64600000000000002</c:v>
                </c:pt>
                <c:pt idx="436">
                  <c:v>0.64710000000000001</c:v>
                </c:pt>
                <c:pt idx="437">
                  <c:v>0.64710000000000001</c:v>
                </c:pt>
                <c:pt idx="438">
                  <c:v>0.64849999999999997</c:v>
                </c:pt>
                <c:pt idx="439">
                  <c:v>0.64890000000000003</c:v>
                </c:pt>
                <c:pt idx="440">
                  <c:v>0.65190000000000003</c:v>
                </c:pt>
                <c:pt idx="441">
                  <c:v>0.65200000000000002</c:v>
                </c:pt>
                <c:pt idx="442">
                  <c:v>0.65359999999999996</c:v>
                </c:pt>
                <c:pt idx="443">
                  <c:v>0.65469999999999995</c:v>
                </c:pt>
                <c:pt idx="444">
                  <c:v>0.65569999999999995</c:v>
                </c:pt>
                <c:pt idx="445">
                  <c:v>0.65800000000000003</c:v>
                </c:pt>
                <c:pt idx="446">
                  <c:v>0.65969999999999995</c:v>
                </c:pt>
                <c:pt idx="447">
                  <c:v>0.66180000000000005</c:v>
                </c:pt>
                <c:pt idx="448">
                  <c:v>0.66259999999999997</c:v>
                </c:pt>
                <c:pt idx="449">
                  <c:v>0.66559999999999997</c:v>
                </c:pt>
                <c:pt idx="450">
                  <c:v>0.66739999999999999</c:v>
                </c:pt>
                <c:pt idx="451">
                  <c:v>0.66800000000000004</c:v>
                </c:pt>
                <c:pt idx="452">
                  <c:v>0.66930000000000001</c:v>
                </c:pt>
                <c:pt idx="453">
                  <c:v>0.6714</c:v>
                </c:pt>
                <c:pt idx="454">
                  <c:v>0.67269999999999996</c:v>
                </c:pt>
                <c:pt idx="455">
                  <c:v>0.67510000000000003</c:v>
                </c:pt>
                <c:pt idx="456">
                  <c:v>0.67630000000000001</c:v>
                </c:pt>
                <c:pt idx="457">
                  <c:v>0.67969999999999997</c:v>
                </c:pt>
                <c:pt idx="458">
                  <c:v>0.68020000000000003</c:v>
                </c:pt>
                <c:pt idx="459">
                  <c:v>0.68230000000000002</c:v>
                </c:pt>
                <c:pt idx="460">
                  <c:v>0.68320000000000003</c:v>
                </c:pt>
                <c:pt idx="461">
                  <c:v>0.68530000000000002</c:v>
                </c:pt>
                <c:pt idx="462">
                  <c:v>0.68569999999999998</c:v>
                </c:pt>
                <c:pt idx="463">
                  <c:v>0.68679999999999997</c:v>
                </c:pt>
                <c:pt idx="464">
                  <c:v>0.68789999999999996</c:v>
                </c:pt>
                <c:pt idx="465">
                  <c:v>0.69</c:v>
                </c:pt>
                <c:pt idx="466">
                  <c:v>0.69099999999999995</c:v>
                </c:pt>
                <c:pt idx="467">
                  <c:v>0.69230000000000003</c:v>
                </c:pt>
                <c:pt idx="468">
                  <c:v>0.69440000000000002</c:v>
                </c:pt>
                <c:pt idx="469">
                  <c:v>0.69569999999999999</c:v>
                </c:pt>
                <c:pt idx="470">
                  <c:v>0.69810000000000005</c:v>
                </c:pt>
                <c:pt idx="471">
                  <c:v>0.69830000000000003</c:v>
                </c:pt>
                <c:pt idx="472">
                  <c:v>0.69940000000000002</c:v>
                </c:pt>
                <c:pt idx="473">
                  <c:v>0.70020000000000004</c:v>
                </c:pt>
                <c:pt idx="474">
                  <c:v>0.70179999999999998</c:v>
                </c:pt>
                <c:pt idx="475">
                  <c:v>0.70269999999999999</c:v>
                </c:pt>
                <c:pt idx="476">
                  <c:v>0.70409999999999995</c:v>
                </c:pt>
                <c:pt idx="477">
                  <c:v>0.70550000000000002</c:v>
                </c:pt>
                <c:pt idx="478">
                  <c:v>0.70709999999999995</c:v>
                </c:pt>
                <c:pt idx="479">
                  <c:v>0.70789999999999997</c:v>
                </c:pt>
                <c:pt idx="480">
                  <c:v>0.7077</c:v>
                </c:pt>
                <c:pt idx="481">
                  <c:v>0.71130000000000004</c:v>
                </c:pt>
                <c:pt idx="482">
                  <c:v>0.71250000000000002</c:v>
                </c:pt>
                <c:pt idx="483">
                  <c:v>0.71230000000000004</c:v>
                </c:pt>
                <c:pt idx="484">
                  <c:v>0.71279999999999999</c:v>
                </c:pt>
                <c:pt idx="485">
                  <c:v>0.71319999999999995</c:v>
                </c:pt>
                <c:pt idx="486">
                  <c:v>0.71350000000000002</c:v>
                </c:pt>
                <c:pt idx="487">
                  <c:v>0.71389999999999998</c:v>
                </c:pt>
                <c:pt idx="488">
                  <c:v>0.71489999999999998</c:v>
                </c:pt>
                <c:pt idx="489">
                  <c:v>0.71379999999999999</c:v>
                </c:pt>
                <c:pt idx="490">
                  <c:v>0.7177</c:v>
                </c:pt>
                <c:pt idx="491">
                  <c:v>0.71860000000000002</c:v>
                </c:pt>
                <c:pt idx="492">
                  <c:v>0.71899999999999997</c:v>
                </c:pt>
                <c:pt idx="493">
                  <c:v>0.71950000000000003</c:v>
                </c:pt>
                <c:pt idx="494">
                  <c:v>0.72060000000000002</c:v>
                </c:pt>
                <c:pt idx="495">
                  <c:v>0.72150000000000003</c:v>
                </c:pt>
                <c:pt idx="496">
                  <c:v>0.72099999999999997</c:v>
                </c:pt>
                <c:pt idx="497">
                  <c:v>0.72209999999999996</c:v>
                </c:pt>
                <c:pt idx="498">
                  <c:v>0.72209999999999996</c:v>
                </c:pt>
                <c:pt idx="499">
                  <c:v>0.72119999999999995</c:v>
                </c:pt>
                <c:pt idx="500">
                  <c:v>0.72260000000000002</c:v>
                </c:pt>
                <c:pt idx="501">
                  <c:v>0.72260000000000002</c:v>
                </c:pt>
                <c:pt idx="502">
                  <c:v>0.7228</c:v>
                </c:pt>
                <c:pt idx="503">
                  <c:v>0.72270000000000001</c:v>
                </c:pt>
                <c:pt idx="504">
                  <c:v>0.7238</c:v>
                </c:pt>
                <c:pt idx="505">
                  <c:v>0.72389999999999999</c:v>
                </c:pt>
                <c:pt idx="506">
                  <c:v>0.72409999999999997</c:v>
                </c:pt>
                <c:pt idx="507">
                  <c:v>0.72450000000000003</c:v>
                </c:pt>
                <c:pt idx="508">
                  <c:v>0.72330000000000005</c:v>
                </c:pt>
                <c:pt idx="509">
                  <c:v>0.72489999999999999</c:v>
                </c:pt>
                <c:pt idx="510">
                  <c:v>0.72499999999999998</c:v>
                </c:pt>
                <c:pt idx="511">
                  <c:v>0.72489999999999999</c:v>
                </c:pt>
                <c:pt idx="512">
                  <c:v>0.7248</c:v>
                </c:pt>
                <c:pt idx="513">
                  <c:v>0.72660000000000002</c:v>
                </c:pt>
                <c:pt idx="514">
                  <c:v>0.72509999999999997</c:v>
                </c:pt>
                <c:pt idx="515">
                  <c:v>0.72629999999999995</c:v>
                </c:pt>
                <c:pt idx="516">
                  <c:v>0.72660000000000002</c:v>
                </c:pt>
                <c:pt idx="517">
                  <c:v>0.72550000000000003</c:v>
                </c:pt>
                <c:pt idx="518">
                  <c:v>0.72619999999999996</c:v>
                </c:pt>
                <c:pt idx="519">
                  <c:v>0.72750000000000004</c:v>
                </c:pt>
                <c:pt idx="520">
                  <c:v>0.72619999999999996</c:v>
                </c:pt>
                <c:pt idx="521">
                  <c:v>0.72719999999999996</c:v>
                </c:pt>
                <c:pt idx="522">
                  <c:v>0.72599999999999998</c:v>
                </c:pt>
                <c:pt idx="523">
                  <c:v>0.72660000000000002</c:v>
                </c:pt>
                <c:pt idx="524">
                  <c:v>0.72599999999999998</c:v>
                </c:pt>
                <c:pt idx="525">
                  <c:v>0.72689999999999999</c:v>
                </c:pt>
                <c:pt idx="526">
                  <c:v>0.72529999999999994</c:v>
                </c:pt>
                <c:pt idx="527">
                  <c:v>0.72609999999999997</c:v>
                </c:pt>
                <c:pt idx="528">
                  <c:v>0.72360000000000002</c:v>
                </c:pt>
                <c:pt idx="529">
                  <c:v>0.72370000000000001</c:v>
                </c:pt>
                <c:pt idx="530">
                  <c:v>0.72340000000000004</c:v>
                </c:pt>
                <c:pt idx="531">
                  <c:v>0.72299999999999998</c:v>
                </c:pt>
                <c:pt idx="532">
                  <c:v>0.72319999999999995</c:v>
                </c:pt>
                <c:pt idx="533">
                  <c:v>0.72299999999999998</c:v>
                </c:pt>
                <c:pt idx="534">
                  <c:v>0.72199999999999998</c:v>
                </c:pt>
                <c:pt idx="535">
                  <c:v>0.72230000000000005</c:v>
                </c:pt>
                <c:pt idx="536">
                  <c:v>0.72189999999999999</c:v>
                </c:pt>
                <c:pt idx="537">
                  <c:v>0.72030000000000005</c:v>
                </c:pt>
                <c:pt idx="538">
                  <c:v>0.72009999999999996</c:v>
                </c:pt>
                <c:pt idx="539">
                  <c:v>0.7208</c:v>
                </c:pt>
                <c:pt idx="540">
                  <c:v>0.72040000000000004</c:v>
                </c:pt>
                <c:pt idx="541">
                  <c:v>0.71970000000000001</c:v>
                </c:pt>
                <c:pt idx="542">
                  <c:v>0.71899999999999997</c:v>
                </c:pt>
                <c:pt idx="543">
                  <c:v>0.71830000000000005</c:v>
                </c:pt>
                <c:pt idx="544">
                  <c:v>0.71750000000000003</c:v>
                </c:pt>
                <c:pt idx="545">
                  <c:v>0.71640000000000004</c:v>
                </c:pt>
                <c:pt idx="546">
                  <c:v>0.71740000000000004</c:v>
                </c:pt>
                <c:pt idx="547">
                  <c:v>0.71689999999999998</c:v>
                </c:pt>
                <c:pt idx="548">
                  <c:v>0.71699999999999997</c:v>
                </c:pt>
                <c:pt idx="549">
                  <c:v>0.71630000000000005</c:v>
                </c:pt>
                <c:pt idx="550">
                  <c:v>0.7147</c:v>
                </c:pt>
                <c:pt idx="551">
                  <c:v>0.71560000000000001</c:v>
                </c:pt>
                <c:pt idx="552">
                  <c:v>0.71440000000000003</c:v>
                </c:pt>
                <c:pt idx="553">
                  <c:v>0.71479999999999999</c:v>
                </c:pt>
                <c:pt idx="554">
                  <c:v>0.71399999999999997</c:v>
                </c:pt>
                <c:pt idx="555">
                  <c:v>0.71389999999999998</c:v>
                </c:pt>
                <c:pt idx="556">
                  <c:v>0.71399999999999997</c:v>
                </c:pt>
                <c:pt idx="557">
                  <c:v>0.71279999999999999</c:v>
                </c:pt>
                <c:pt idx="558">
                  <c:v>0.71199999999999997</c:v>
                </c:pt>
                <c:pt idx="559">
                  <c:v>0.71230000000000004</c:v>
                </c:pt>
                <c:pt idx="560">
                  <c:v>0.71099999999999997</c:v>
                </c:pt>
                <c:pt idx="561">
                  <c:v>0.7097</c:v>
                </c:pt>
                <c:pt idx="562">
                  <c:v>0.71079999999999999</c:v>
                </c:pt>
                <c:pt idx="563">
                  <c:v>0.71020000000000005</c:v>
                </c:pt>
                <c:pt idx="564">
                  <c:v>0.70930000000000004</c:v>
                </c:pt>
                <c:pt idx="565">
                  <c:v>0.70909999999999995</c:v>
                </c:pt>
                <c:pt idx="566">
                  <c:v>0.70799999999999996</c:v>
                </c:pt>
                <c:pt idx="567">
                  <c:v>0.7087</c:v>
                </c:pt>
                <c:pt idx="568">
                  <c:v>0.70930000000000004</c:v>
                </c:pt>
                <c:pt idx="569">
                  <c:v>0.70840000000000003</c:v>
                </c:pt>
                <c:pt idx="570">
                  <c:v>0.70640000000000003</c:v>
                </c:pt>
                <c:pt idx="571">
                  <c:v>0.70650000000000002</c:v>
                </c:pt>
                <c:pt idx="572">
                  <c:v>0.70660000000000001</c:v>
                </c:pt>
                <c:pt idx="573">
                  <c:v>0.70679999999999998</c:v>
                </c:pt>
                <c:pt idx="574">
                  <c:v>0.70489999999999997</c:v>
                </c:pt>
                <c:pt idx="575">
                  <c:v>0.70540000000000003</c:v>
                </c:pt>
                <c:pt idx="576">
                  <c:v>0.70399999999999996</c:v>
                </c:pt>
                <c:pt idx="577">
                  <c:v>0.70450000000000002</c:v>
                </c:pt>
                <c:pt idx="578">
                  <c:v>0.70309999999999995</c:v>
                </c:pt>
                <c:pt idx="579">
                  <c:v>0.70320000000000005</c:v>
                </c:pt>
                <c:pt idx="580">
                  <c:v>0.70240000000000002</c:v>
                </c:pt>
                <c:pt idx="581">
                  <c:v>0.70179999999999998</c:v>
                </c:pt>
                <c:pt idx="582">
                  <c:v>0.7026</c:v>
                </c:pt>
                <c:pt idx="583">
                  <c:v>0.7026</c:v>
                </c:pt>
                <c:pt idx="584">
                  <c:v>0.70099999999999996</c:v>
                </c:pt>
                <c:pt idx="585">
                  <c:v>0.6996</c:v>
                </c:pt>
                <c:pt idx="586">
                  <c:v>0.69899999999999995</c:v>
                </c:pt>
                <c:pt idx="587">
                  <c:v>0.69899999999999995</c:v>
                </c:pt>
                <c:pt idx="588">
                  <c:v>0.69910000000000005</c:v>
                </c:pt>
                <c:pt idx="589">
                  <c:v>0.69869999999999999</c:v>
                </c:pt>
                <c:pt idx="590">
                  <c:v>0.69789999999999996</c:v>
                </c:pt>
                <c:pt idx="591">
                  <c:v>0.69689999999999996</c:v>
                </c:pt>
                <c:pt idx="592">
                  <c:v>0.6976</c:v>
                </c:pt>
                <c:pt idx="593">
                  <c:v>0.69599999999999995</c:v>
                </c:pt>
                <c:pt idx="594">
                  <c:v>0.69520000000000004</c:v>
                </c:pt>
                <c:pt idx="595">
                  <c:v>0.69420000000000004</c:v>
                </c:pt>
                <c:pt idx="596">
                  <c:v>0.69589999999999996</c:v>
                </c:pt>
                <c:pt idx="597">
                  <c:v>0.6946</c:v>
                </c:pt>
                <c:pt idx="598">
                  <c:v>0.69450000000000001</c:v>
                </c:pt>
                <c:pt idx="599">
                  <c:v>0.69469999999999998</c:v>
                </c:pt>
                <c:pt idx="600">
                  <c:v>0.69399999999999995</c:v>
                </c:pt>
                <c:pt idx="601">
                  <c:v>0.69310000000000005</c:v>
                </c:pt>
                <c:pt idx="602">
                  <c:v>0.69189999999999996</c:v>
                </c:pt>
                <c:pt idx="603">
                  <c:v>0.69230000000000003</c:v>
                </c:pt>
                <c:pt idx="604">
                  <c:v>0.69099999999999995</c:v>
                </c:pt>
                <c:pt idx="605">
                  <c:v>0.6905</c:v>
                </c:pt>
                <c:pt idx="606">
                  <c:v>0.69179999999999997</c:v>
                </c:pt>
                <c:pt idx="607">
                  <c:v>0.6895</c:v>
                </c:pt>
                <c:pt idx="608">
                  <c:v>0.69079999999999997</c:v>
                </c:pt>
                <c:pt idx="609">
                  <c:v>0.68859999999999999</c:v>
                </c:pt>
                <c:pt idx="610">
                  <c:v>0.68779999999999997</c:v>
                </c:pt>
                <c:pt idx="611">
                  <c:v>0.68810000000000004</c:v>
                </c:pt>
                <c:pt idx="612">
                  <c:v>0.68759999999999999</c:v>
                </c:pt>
                <c:pt idx="613">
                  <c:v>0.68730000000000002</c:v>
                </c:pt>
                <c:pt idx="614">
                  <c:v>0.68689999999999996</c:v>
                </c:pt>
                <c:pt idx="615">
                  <c:v>0.68640000000000001</c:v>
                </c:pt>
                <c:pt idx="616">
                  <c:v>0.68620000000000003</c:v>
                </c:pt>
                <c:pt idx="617">
                  <c:v>0.68410000000000004</c:v>
                </c:pt>
                <c:pt idx="618">
                  <c:v>0.68440000000000001</c:v>
                </c:pt>
                <c:pt idx="619">
                  <c:v>0.68500000000000005</c:v>
                </c:pt>
                <c:pt idx="620">
                  <c:v>0.68379999999999996</c:v>
                </c:pt>
                <c:pt idx="621">
                  <c:v>0.6825</c:v>
                </c:pt>
                <c:pt idx="622">
                  <c:v>0.68340000000000001</c:v>
                </c:pt>
                <c:pt idx="623">
                  <c:v>0.68120000000000003</c:v>
                </c:pt>
                <c:pt idx="624">
                  <c:v>0.68110000000000004</c:v>
                </c:pt>
                <c:pt idx="625">
                  <c:v>0.68140000000000001</c:v>
                </c:pt>
                <c:pt idx="626">
                  <c:v>0.68169999999999997</c:v>
                </c:pt>
                <c:pt idx="627">
                  <c:v>0.68010000000000004</c:v>
                </c:pt>
                <c:pt idx="628">
                  <c:v>0.67969999999999997</c:v>
                </c:pt>
                <c:pt idx="629">
                  <c:v>0.67859999999999998</c:v>
                </c:pt>
                <c:pt idx="630">
                  <c:v>0.67910000000000004</c:v>
                </c:pt>
                <c:pt idx="631">
                  <c:v>0.67830000000000001</c:v>
                </c:pt>
                <c:pt idx="632">
                  <c:v>0.67800000000000005</c:v>
                </c:pt>
                <c:pt idx="633">
                  <c:v>0.67689999999999995</c:v>
                </c:pt>
                <c:pt idx="634">
                  <c:v>0.67659999999999998</c:v>
                </c:pt>
                <c:pt idx="635">
                  <c:v>0.67730000000000001</c:v>
                </c:pt>
                <c:pt idx="636">
                  <c:v>0.67589999999999995</c:v>
                </c:pt>
                <c:pt idx="637">
                  <c:v>0.67520000000000002</c:v>
                </c:pt>
                <c:pt idx="638">
                  <c:v>0.6754</c:v>
                </c:pt>
                <c:pt idx="639">
                  <c:v>0.67359999999999998</c:v>
                </c:pt>
                <c:pt idx="640">
                  <c:v>0.67400000000000004</c:v>
                </c:pt>
                <c:pt idx="641">
                  <c:v>0.67349999999999999</c:v>
                </c:pt>
                <c:pt idx="642">
                  <c:v>0.67259999999999998</c:v>
                </c:pt>
                <c:pt idx="643">
                  <c:v>0.6724</c:v>
                </c:pt>
                <c:pt idx="644">
                  <c:v>0.67110000000000003</c:v>
                </c:pt>
                <c:pt idx="645">
                  <c:v>0.67069999999999996</c:v>
                </c:pt>
                <c:pt idx="646">
                  <c:v>0.67059999999999997</c:v>
                </c:pt>
                <c:pt idx="647">
                  <c:v>0.66959999999999997</c:v>
                </c:pt>
                <c:pt idx="648">
                  <c:v>0.66969999999999996</c:v>
                </c:pt>
                <c:pt idx="649">
                  <c:v>0.66830000000000001</c:v>
                </c:pt>
                <c:pt idx="650">
                  <c:v>0.66839999999999999</c:v>
                </c:pt>
                <c:pt idx="651">
                  <c:v>0.66790000000000005</c:v>
                </c:pt>
                <c:pt idx="652">
                  <c:v>0.66790000000000005</c:v>
                </c:pt>
                <c:pt idx="653">
                  <c:v>0.66649999999999998</c:v>
                </c:pt>
                <c:pt idx="654">
                  <c:v>0.66659999999999997</c:v>
                </c:pt>
                <c:pt idx="655">
                  <c:v>0.66510000000000002</c:v>
                </c:pt>
                <c:pt idx="656">
                  <c:v>0.66449999999999998</c:v>
                </c:pt>
                <c:pt idx="657">
                  <c:v>0.66420000000000001</c:v>
                </c:pt>
                <c:pt idx="658">
                  <c:v>0.66410000000000002</c:v>
                </c:pt>
                <c:pt idx="659">
                  <c:v>0.66379999999999995</c:v>
                </c:pt>
                <c:pt idx="660">
                  <c:v>0.6633</c:v>
                </c:pt>
                <c:pt idx="661">
                  <c:v>0.66259999999999997</c:v>
                </c:pt>
                <c:pt idx="662">
                  <c:v>0.66210000000000002</c:v>
                </c:pt>
                <c:pt idx="663">
                  <c:v>0.66180000000000005</c:v>
                </c:pt>
                <c:pt idx="664">
                  <c:v>0.66159999999999997</c:v>
                </c:pt>
                <c:pt idx="665">
                  <c:v>0.66149999999999998</c:v>
                </c:pt>
                <c:pt idx="666">
                  <c:v>0.66</c:v>
                </c:pt>
                <c:pt idx="667">
                  <c:v>0.66039999999999999</c:v>
                </c:pt>
                <c:pt idx="668">
                  <c:v>0.65939999999999999</c:v>
                </c:pt>
                <c:pt idx="669">
                  <c:v>0.65910000000000002</c:v>
                </c:pt>
                <c:pt idx="670">
                  <c:v>0.65780000000000005</c:v>
                </c:pt>
                <c:pt idx="671">
                  <c:v>0.65849999999999997</c:v>
                </c:pt>
                <c:pt idx="672">
                  <c:v>0.65769999999999995</c:v>
                </c:pt>
                <c:pt idx="673">
                  <c:v>0.65639999999999998</c:v>
                </c:pt>
                <c:pt idx="674">
                  <c:v>0.65590000000000004</c:v>
                </c:pt>
                <c:pt idx="675">
                  <c:v>0.65500000000000003</c:v>
                </c:pt>
                <c:pt idx="676">
                  <c:v>0.65580000000000005</c:v>
                </c:pt>
                <c:pt idx="677">
                  <c:v>0.6542</c:v>
                </c:pt>
                <c:pt idx="678">
                  <c:v>0.65380000000000005</c:v>
                </c:pt>
                <c:pt idx="679">
                  <c:v>0.6512</c:v>
                </c:pt>
                <c:pt idx="680">
                  <c:v>0.65129999999999999</c:v>
                </c:pt>
                <c:pt idx="681">
                  <c:v>0.65139999999999998</c:v>
                </c:pt>
                <c:pt idx="682">
                  <c:v>0.65059999999999996</c:v>
                </c:pt>
                <c:pt idx="683">
                  <c:v>0.6502</c:v>
                </c:pt>
                <c:pt idx="684">
                  <c:v>0.65090000000000003</c:v>
                </c:pt>
                <c:pt idx="685">
                  <c:v>0.64990000000000003</c:v>
                </c:pt>
                <c:pt idx="686">
                  <c:v>0.64790000000000003</c:v>
                </c:pt>
                <c:pt idx="687">
                  <c:v>0.64870000000000005</c:v>
                </c:pt>
                <c:pt idx="688">
                  <c:v>0.64759999999999995</c:v>
                </c:pt>
                <c:pt idx="689">
                  <c:v>0.64780000000000004</c:v>
                </c:pt>
                <c:pt idx="690">
                  <c:v>0.64659999999999995</c:v>
                </c:pt>
                <c:pt idx="691">
                  <c:v>0.64600000000000002</c:v>
                </c:pt>
                <c:pt idx="692">
                  <c:v>0.64710000000000001</c:v>
                </c:pt>
                <c:pt idx="693">
                  <c:v>0.64539999999999997</c:v>
                </c:pt>
                <c:pt idx="694">
                  <c:v>0.64419999999999999</c:v>
                </c:pt>
                <c:pt idx="695">
                  <c:v>0.64510000000000001</c:v>
                </c:pt>
                <c:pt idx="696">
                  <c:v>0.64280000000000004</c:v>
                </c:pt>
                <c:pt idx="697">
                  <c:v>0.64370000000000005</c:v>
                </c:pt>
                <c:pt idx="698">
                  <c:v>0.64300000000000002</c:v>
                </c:pt>
                <c:pt idx="699">
                  <c:v>0.64180000000000004</c:v>
                </c:pt>
                <c:pt idx="700">
                  <c:v>0.64180000000000004</c:v>
                </c:pt>
                <c:pt idx="701">
                  <c:v>0.64249999999999996</c:v>
                </c:pt>
                <c:pt idx="702">
                  <c:v>0.64</c:v>
                </c:pt>
                <c:pt idx="703">
                  <c:v>0.64059999999999995</c:v>
                </c:pt>
                <c:pt idx="704">
                  <c:v>0.6401</c:v>
                </c:pt>
                <c:pt idx="705">
                  <c:v>0.6391</c:v>
                </c:pt>
                <c:pt idx="706">
                  <c:v>0.63870000000000005</c:v>
                </c:pt>
                <c:pt idx="707">
                  <c:v>0.63690000000000002</c:v>
                </c:pt>
                <c:pt idx="708">
                  <c:v>0.6381</c:v>
                </c:pt>
                <c:pt idx="709">
                  <c:v>0.63670000000000004</c:v>
                </c:pt>
                <c:pt idx="710">
                  <c:v>0.63600000000000001</c:v>
                </c:pt>
                <c:pt idx="711">
                  <c:v>0.6361</c:v>
                </c:pt>
                <c:pt idx="712">
                  <c:v>0.63419999999999999</c:v>
                </c:pt>
                <c:pt idx="713">
                  <c:v>0.63419999999999999</c:v>
                </c:pt>
                <c:pt idx="714">
                  <c:v>0.63380000000000003</c:v>
                </c:pt>
                <c:pt idx="715">
                  <c:v>0.63249999999999995</c:v>
                </c:pt>
                <c:pt idx="716">
                  <c:v>0.63249999999999995</c:v>
                </c:pt>
                <c:pt idx="717">
                  <c:v>0.63260000000000005</c:v>
                </c:pt>
                <c:pt idx="718">
                  <c:v>0.63180000000000003</c:v>
                </c:pt>
                <c:pt idx="719">
                  <c:v>0.63119999999999998</c:v>
                </c:pt>
                <c:pt idx="720">
                  <c:v>0.63029999999999997</c:v>
                </c:pt>
                <c:pt idx="721">
                  <c:v>0.629</c:v>
                </c:pt>
                <c:pt idx="722">
                  <c:v>0.63019999999999998</c:v>
                </c:pt>
                <c:pt idx="723">
                  <c:v>0.62919999999999998</c:v>
                </c:pt>
                <c:pt idx="724">
                  <c:v>0.62909999999999999</c:v>
                </c:pt>
                <c:pt idx="725">
                  <c:v>0.628</c:v>
                </c:pt>
                <c:pt idx="726">
                  <c:v>0.62670000000000003</c:v>
                </c:pt>
                <c:pt idx="727">
                  <c:v>0.62729999999999997</c:v>
                </c:pt>
                <c:pt idx="728">
                  <c:v>0.62649999999999995</c:v>
                </c:pt>
                <c:pt idx="729">
                  <c:v>0.62570000000000003</c:v>
                </c:pt>
                <c:pt idx="730">
                  <c:v>0.62529999999999997</c:v>
                </c:pt>
                <c:pt idx="731">
                  <c:v>0.62380000000000002</c:v>
                </c:pt>
                <c:pt idx="732">
                  <c:v>0.62329999999999997</c:v>
                </c:pt>
                <c:pt idx="733">
                  <c:v>0.62270000000000003</c:v>
                </c:pt>
                <c:pt idx="734">
                  <c:v>0.62250000000000005</c:v>
                </c:pt>
                <c:pt idx="735">
                  <c:v>0.62119999999999997</c:v>
                </c:pt>
                <c:pt idx="736">
                  <c:v>0.62150000000000005</c:v>
                </c:pt>
                <c:pt idx="737">
                  <c:v>0.62050000000000005</c:v>
                </c:pt>
                <c:pt idx="738">
                  <c:v>0.62009999999999998</c:v>
                </c:pt>
                <c:pt idx="739">
                  <c:v>0.61899999999999999</c:v>
                </c:pt>
                <c:pt idx="740">
                  <c:v>0.61760000000000004</c:v>
                </c:pt>
                <c:pt idx="741">
                  <c:v>0.61799999999999999</c:v>
                </c:pt>
                <c:pt idx="742">
                  <c:v>0.61760000000000004</c:v>
                </c:pt>
                <c:pt idx="743">
                  <c:v>0.61670000000000003</c:v>
                </c:pt>
                <c:pt idx="744">
                  <c:v>0.61629999999999996</c:v>
                </c:pt>
                <c:pt idx="745">
                  <c:v>0.61670000000000003</c:v>
                </c:pt>
                <c:pt idx="746">
                  <c:v>0.61439999999999995</c:v>
                </c:pt>
                <c:pt idx="747">
                  <c:v>0.61570000000000003</c:v>
                </c:pt>
                <c:pt idx="748">
                  <c:v>0.61470000000000002</c:v>
                </c:pt>
                <c:pt idx="749">
                  <c:v>0.61229999999999996</c:v>
                </c:pt>
                <c:pt idx="750">
                  <c:v>0.6129</c:v>
                </c:pt>
                <c:pt idx="751">
                  <c:v>0.61150000000000004</c:v>
                </c:pt>
                <c:pt idx="752">
                  <c:v>0.61199999999999999</c:v>
                </c:pt>
                <c:pt idx="753">
                  <c:v>0.61140000000000005</c:v>
                </c:pt>
                <c:pt idx="754">
                  <c:v>0.60980000000000001</c:v>
                </c:pt>
                <c:pt idx="755">
                  <c:v>0.60970000000000002</c:v>
                </c:pt>
                <c:pt idx="756">
                  <c:v>0.60819999999999996</c:v>
                </c:pt>
                <c:pt idx="757">
                  <c:v>0.60799999999999998</c:v>
                </c:pt>
                <c:pt idx="758">
                  <c:v>0.60750000000000004</c:v>
                </c:pt>
                <c:pt idx="759">
                  <c:v>0.60709999999999997</c:v>
                </c:pt>
                <c:pt idx="760">
                  <c:v>0.60680000000000001</c:v>
                </c:pt>
                <c:pt idx="761">
                  <c:v>0.60560000000000003</c:v>
                </c:pt>
                <c:pt idx="762">
                  <c:v>0.60529999999999995</c:v>
                </c:pt>
                <c:pt idx="763">
                  <c:v>0.60429999999999995</c:v>
                </c:pt>
                <c:pt idx="764">
                  <c:v>0.60419999999999996</c:v>
                </c:pt>
                <c:pt idx="765">
                  <c:v>0.60250000000000004</c:v>
                </c:pt>
                <c:pt idx="766">
                  <c:v>0.60260000000000002</c:v>
                </c:pt>
                <c:pt idx="767">
                  <c:v>0.60150000000000003</c:v>
                </c:pt>
                <c:pt idx="768">
                  <c:v>0.60170000000000001</c:v>
                </c:pt>
                <c:pt idx="769">
                  <c:v>0.60060000000000002</c:v>
                </c:pt>
                <c:pt idx="770">
                  <c:v>0.59940000000000004</c:v>
                </c:pt>
                <c:pt idx="771">
                  <c:v>0.59940000000000004</c:v>
                </c:pt>
                <c:pt idx="772">
                  <c:v>0.59909999999999997</c:v>
                </c:pt>
                <c:pt idx="773">
                  <c:v>0.59830000000000005</c:v>
                </c:pt>
                <c:pt idx="774">
                  <c:v>0.5978</c:v>
                </c:pt>
                <c:pt idx="775">
                  <c:v>0.59719999999999995</c:v>
                </c:pt>
                <c:pt idx="776">
                  <c:v>0.59660000000000002</c:v>
                </c:pt>
                <c:pt idx="777">
                  <c:v>0.59560000000000002</c:v>
                </c:pt>
                <c:pt idx="778">
                  <c:v>0.59540000000000004</c:v>
                </c:pt>
                <c:pt idx="779">
                  <c:v>0.59409999999999996</c:v>
                </c:pt>
                <c:pt idx="780">
                  <c:v>0.59350000000000003</c:v>
                </c:pt>
                <c:pt idx="781">
                  <c:v>0.59260000000000002</c:v>
                </c:pt>
                <c:pt idx="782">
                  <c:v>0.59250000000000003</c:v>
                </c:pt>
                <c:pt idx="783">
                  <c:v>0.5917</c:v>
                </c:pt>
                <c:pt idx="784">
                  <c:v>0.59079999999999999</c:v>
                </c:pt>
                <c:pt idx="785">
                  <c:v>0.58979999999999999</c:v>
                </c:pt>
                <c:pt idx="786">
                  <c:v>0.58960000000000001</c:v>
                </c:pt>
                <c:pt idx="787">
                  <c:v>0.58860000000000001</c:v>
                </c:pt>
                <c:pt idx="788">
                  <c:v>0.58850000000000002</c:v>
                </c:pt>
                <c:pt idx="789">
                  <c:v>0.58760000000000001</c:v>
                </c:pt>
                <c:pt idx="790">
                  <c:v>0.58740000000000003</c:v>
                </c:pt>
                <c:pt idx="791">
                  <c:v>0.58560000000000001</c:v>
                </c:pt>
                <c:pt idx="792">
                  <c:v>0.58609999999999995</c:v>
                </c:pt>
                <c:pt idx="793">
                  <c:v>0.58399999999999996</c:v>
                </c:pt>
                <c:pt idx="794">
                  <c:v>0.5847</c:v>
                </c:pt>
                <c:pt idx="795">
                  <c:v>0.58260000000000001</c:v>
                </c:pt>
                <c:pt idx="796">
                  <c:v>0.5827</c:v>
                </c:pt>
                <c:pt idx="797">
                  <c:v>0.58230000000000004</c:v>
                </c:pt>
                <c:pt idx="798">
                  <c:v>0.58199999999999996</c:v>
                </c:pt>
                <c:pt idx="799">
                  <c:v>0.58099999999999996</c:v>
                </c:pt>
                <c:pt idx="800">
                  <c:v>0.57969999999999999</c:v>
                </c:pt>
                <c:pt idx="801">
                  <c:v>0.57789999999999997</c:v>
                </c:pt>
                <c:pt idx="802">
                  <c:v>0.57840000000000003</c:v>
                </c:pt>
                <c:pt idx="803">
                  <c:v>0.57730000000000004</c:v>
                </c:pt>
                <c:pt idx="804">
                  <c:v>0.5766</c:v>
                </c:pt>
                <c:pt idx="805">
                  <c:v>0.57669999999999999</c:v>
                </c:pt>
                <c:pt idx="806">
                  <c:v>0.57689999999999997</c:v>
                </c:pt>
                <c:pt idx="807">
                  <c:v>0.57509999999999994</c:v>
                </c:pt>
                <c:pt idx="808">
                  <c:v>0.57469999999999999</c:v>
                </c:pt>
                <c:pt idx="809">
                  <c:v>0.57289999999999996</c:v>
                </c:pt>
                <c:pt idx="810">
                  <c:v>0.57269999999999999</c:v>
                </c:pt>
                <c:pt idx="811">
                  <c:v>0.57230000000000003</c:v>
                </c:pt>
                <c:pt idx="812">
                  <c:v>0.57089999999999996</c:v>
                </c:pt>
                <c:pt idx="813">
                  <c:v>0.57010000000000005</c:v>
                </c:pt>
                <c:pt idx="814">
                  <c:v>0.57089999999999996</c:v>
                </c:pt>
                <c:pt idx="815">
                  <c:v>0.57030000000000003</c:v>
                </c:pt>
                <c:pt idx="816">
                  <c:v>0.56889999999999996</c:v>
                </c:pt>
                <c:pt idx="817">
                  <c:v>0.56830000000000003</c:v>
                </c:pt>
                <c:pt idx="818">
                  <c:v>0.56679999999999997</c:v>
                </c:pt>
                <c:pt idx="819">
                  <c:v>0.56710000000000005</c:v>
                </c:pt>
                <c:pt idx="820">
                  <c:v>0.56599999999999995</c:v>
                </c:pt>
                <c:pt idx="821">
                  <c:v>0.5655</c:v>
                </c:pt>
                <c:pt idx="822">
                  <c:v>0.56369999999999998</c:v>
                </c:pt>
                <c:pt idx="823">
                  <c:v>0.56389999999999996</c:v>
                </c:pt>
                <c:pt idx="824">
                  <c:v>0.56369999999999998</c:v>
                </c:pt>
                <c:pt idx="825">
                  <c:v>0.56130000000000002</c:v>
                </c:pt>
                <c:pt idx="826">
                  <c:v>0.56130000000000002</c:v>
                </c:pt>
                <c:pt idx="827">
                  <c:v>0.56130000000000002</c:v>
                </c:pt>
                <c:pt idx="828">
                  <c:v>0.55940000000000001</c:v>
                </c:pt>
                <c:pt idx="829">
                  <c:v>0.55940000000000001</c:v>
                </c:pt>
                <c:pt idx="830">
                  <c:v>0.55989999999999995</c:v>
                </c:pt>
                <c:pt idx="831">
                  <c:v>0.55740000000000001</c:v>
                </c:pt>
                <c:pt idx="832">
                  <c:v>0.55710000000000004</c:v>
                </c:pt>
                <c:pt idx="833">
                  <c:v>0.55669999999999997</c:v>
                </c:pt>
                <c:pt idx="834">
                  <c:v>0.55459999999999998</c:v>
                </c:pt>
                <c:pt idx="835">
                  <c:v>0.5544</c:v>
                </c:pt>
                <c:pt idx="836">
                  <c:v>0.55420000000000003</c:v>
                </c:pt>
                <c:pt idx="837">
                  <c:v>0.55300000000000005</c:v>
                </c:pt>
                <c:pt idx="838">
                  <c:v>0.55230000000000001</c:v>
                </c:pt>
                <c:pt idx="839">
                  <c:v>0.55220000000000002</c:v>
                </c:pt>
                <c:pt idx="840">
                  <c:v>0.55100000000000005</c:v>
                </c:pt>
                <c:pt idx="841">
                  <c:v>0.55079999999999996</c:v>
                </c:pt>
                <c:pt idx="842">
                  <c:v>0.54979999999999996</c:v>
                </c:pt>
                <c:pt idx="843">
                  <c:v>0.54920000000000002</c:v>
                </c:pt>
                <c:pt idx="844">
                  <c:v>0.54749999999999999</c:v>
                </c:pt>
                <c:pt idx="845">
                  <c:v>0.54810000000000003</c:v>
                </c:pt>
                <c:pt idx="846">
                  <c:v>0.54579999999999995</c:v>
                </c:pt>
                <c:pt idx="847">
                  <c:v>0.54630000000000001</c:v>
                </c:pt>
                <c:pt idx="848">
                  <c:v>0.54379999999999995</c:v>
                </c:pt>
                <c:pt idx="849">
                  <c:v>0.54459999999999997</c:v>
                </c:pt>
                <c:pt idx="850">
                  <c:v>0.54290000000000005</c:v>
                </c:pt>
                <c:pt idx="851">
                  <c:v>0.54210000000000003</c:v>
                </c:pt>
                <c:pt idx="852">
                  <c:v>0.5413</c:v>
                </c:pt>
                <c:pt idx="853">
                  <c:v>0.54179999999999995</c:v>
                </c:pt>
                <c:pt idx="854">
                  <c:v>0.54120000000000001</c:v>
                </c:pt>
                <c:pt idx="855">
                  <c:v>0.54020000000000001</c:v>
                </c:pt>
                <c:pt idx="856">
                  <c:v>0.53839999999999999</c:v>
                </c:pt>
                <c:pt idx="857">
                  <c:v>0.53739999999999999</c:v>
                </c:pt>
                <c:pt idx="858">
                  <c:v>0.53610000000000002</c:v>
                </c:pt>
                <c:pt idx="859">
                  <c:v>0.53610000000000002</c:v>
                </c:pt>
                <c:pt idx="860">
                  <c:v>0.53449999999999998</c:v>
                </c:pt>
                <c:pt idx="861">
                  <c:v>0.53549999999999998</c:v>
                </c:pt>
                <c:pt idx="862">
                  <c:v>0.53400000000000003</c:v>
                </c:pt>
                <c:pt idx="863">
                  <c:v>0.53349999999999997</c:v>
                </c:pt>
                <c:pt idx="864">
                  <c:v>0.53210000000000002</c:v>
                </c:pt>
                <c:pt idx="865">
                  <c:v>0.53139999999999998</c:v>
                </c:pt>
                <c:pt idx="866">
                  <c:v>0.5302</c:v>
                </c:pt>
                <c:pt idx="867">
                  <c:v>0.53069999999999995</c:v>
                </c:pt>
                <c:pt idx="868">
                  <c:v>0.52890000000000004</c:v>
                </c:pt>
                <c:pt idx="869">
                  <c:v>0.52900000000000003</c:v>
                </c:pt>
                <c:pt idx="870">
                  <c:v>0.52739999999999998</c:v>
                </c:pt>
                <c:pt idx="871">
                  <c:v>0.52680000000000005</c:v>
                </c:pt>
                <c:pt idx="872">
                  <c:v>0.52590000000000003</c:v>
                </c:pt>
                <c:pt idx="873">
                  <c:v>0.52539999999999998</c:v>
                </c:pt>
                <c:pt idx="874">
                  <c:v>0.52370000000000005</c:v>
                </c:pt>
                <c:pt idx="875">
                  <c:v>0.52359999999999995</c:v>
                </c:pt>
                <c:pt idx="876">
                  <c:v>0.52270000000000005</c:v>
                </c:pt>
                <c:pt idx="877">
                  <c:v>0.52080000000000004</c:v>
                </c:pt>
                <c:pt idx="878">
                  <c:v>0.52149999999999996</c:v>
                </c:pt>
                <c:pt idx="879">
                  <c:v>0.51970000000000005</c:v>
                </c:pt>
                <c:pt idx="880">
                  <c:v>0.51980000000000004</c:v>
                </c:pt>
                <c:pt idx="881">
                  <c:v>0.51849999999999996</c:v>
                </c:pt>
                <c:pt idx="882">
                  <c:v>0.51780000000000004</c:v>
                </c:pt>
                <c:pt idx="883">
                  <c:v>0.51639999999999997</c:v>
                </c:pt>
                <c:pt idx="884">
                  <c:v>0.51490000000000002</c:v>
                </c:pt>
                <c:pt idx="885">
                  <c:v>0.51429999999999998</c:v>
                </c:pt>
                <c:pt idx="886">
                  <c:v>0.51449999999999996</c:v>
                </c:pt>
                <c:pt idx="887">
                  <c:v>0.51349999999999996</c:v>
                </c:pt>
                <c:pt idx="888">
                  <c:v>0.51280000000000003</c:v>
                </c:pt>
                <c:pt idx="889">
                  <c:v>0.51100000000000001</c:v>
                </c:pt>
                <c:pt idx="890">
                  <c:v>0.50990000000000002</c:v>
                </c:pt>
                <c:pt idx="891">
                  <c:v>0.50960000000000005</c:v>
                </c:pt>
                <c:pt idx="892">
                  <c:v>0.5091</c:v>
                </c:pt>
                <c:pt idx="893">
                  <c:v>0.50790000000000002</c:v>
                </c:pt>
                <c:pt idx="894">
                  <c:v>0.5081</c:v>
                </c:pt>
                <c:pt idx="895">
                  <c:v>0.50680000000000003</c:v>
                </c:pt>
                <c:pt idx="896">
                  <c:v>0.50649999999999995</c:v>
                </c:pt>
                <c:pt idx="897">
                  <c:v>0.50480000000000003</c:v>
                </c:pt>
                <c:pt idx="898">
                  <c:v>0.504</c:v>
                </c:pt>
                <c:pt idx="899">
                  <c:v>0.50290000000000001</c:v>
                </c:pt>
                <c:pt idx="900">
                  <c:v>0.50219999999999998</c:v>
                </c:pt>
                <c:pt idx="901">
                  <c:v>0.50170000000000003</c:v>
                </c:pt>
                <c:pt idx="902">
                  <c:v>0.5</c:v>
                </c:pt>
                <c:pt idx="903">
                  <c:v>0.49919999999999998</c:v>
                </c:pt>
                <c:pt idx="904">
                  <c:v>0.49869999999999998</c:v>
                </c:pt>
                <c:pt idx="905">
                  <c:v>0.49769999999999998</c:v>
                </c:pt>
                <c:pt idx="906">
                  <c:v>0.49640000000000001</c:v>
                </c:pt>
                <c:pt idx="907">
                  <c:v>0.495</c:v>
                </c:pt>
                <c:pt idx="908">
                  <c:v>0.49540000000000001</c:v>
                </c:pt>
                <c:pt idx="909">
                  <c:v>0.49340000000000001</c:v>
                </c:pt>
                <c:pt idx="910">
                  <c:v>0.49230000000000002</c:v>
                </c:pt>
                <c:pt idx="911">
                  <c:v>0.49170000000000003</c:v>
                </c:pt>
                <c:pt idx="912">
                  <c:v>0.49020000000000002</c:v>
                </c:pt>
                <c:pt idx="913">
                  <c:v>0.49020000000000002</c:v>
                </c:pt>
                <c:pt idx="914">
                  <c:v>0.4879</c:v>
                </c:pt>
                <c:pt idx="915">
                  <c:v>0.48780000000000001</c:v>
                </c:pt>
                <c:pt idx="916">
                  <c:v>0.48709999999999998</c:v>
                </c:pt>
                <c:pt idx="917">
                  <c:v>0.4864</c:v>
                </c:pt>
                <c:pt idx="918">
                  <c:v>0.48509999999999998</c:v>
                </c:pt>
                <c:pt idx="919">
                  <c:v>0.48359999999999997</c:v>
                </c:pt>
                <c:pt idx="920">
                  <c:v>0.4839</c:v>
                </c:pt>
                <c:pt idx="921">
                  <c:v>0.48320000000000002</c:v>
                </c:pt>
                <c:pt idx="922">
                  <c:v>0.4824</c:v>
                </c:pt>
                <c:pt idx="923">
                  <c:v>0.48039999999999999</c:v>
                </c:pt>
                <c:pt idx="924">
                  <c:v>0.47939999999999999</c:v>
                </c:pt>
                <c:pt idx="925">
                  <c:v>0.47910000000000003</c:v>
                </c:pt>
                <c:pt idx="926">
                  <c:v>0.47739999999999999</c:v>
                </c:pt>
                <c:pt idx="927">
                  <c:v>0.47699999999999998</c:v>
                </c:pt>
                <c:pt idx="928">
                  <c:v>0.4753</c:v>
                </c:pt>
                <c:pt idx="929">
                  <c:v>0.47539999999999999</c:v>
                </c:pt>
                <c:pt idx="930">
                  <c:v>0.4743</c:v>
                </c:pt>
                <c:pt idx="931">
                  <c:v>0.47389999999999999</c:v>
                </c:pt>
                <c:pt idx="932">
                  <c:v>0.4718</c:v>
                </c:pt>
                <c:pt idx="933">
                  <c:v>0.47110000000000002</c:v>
                </c:pt>
                <c:pt idx="934">
                  <c:v>0.4708</c:v>
                </c:pt>
                <c:pt idx="935">
                  <c:v>0.46889999999999998</c:v>
                </c:pt>
                <c:pt idx="936">
                  <c:v>0.46750000000000003</c:v>
                </c:pt>
                <c:pt idx="937">
                  <c:v>0.46700000000000003</c:v>
                </c:pt>
                <c:pt idx="938">
                  <c:v>0.46560000000000001</c:v>
                </c:pt>
                <c:pt idx="939">
                  <c:v>0.46650000000000003</c:v>
                </c:pt>
                <c:pt idx="940">
                  <c:v>0.4647</c:v>
                </c:pt>
                <c:pt idx="941">
                  <c:v>0.4627</c:v>
                </c:pt>
                <c:pt idx="942">
                  <c:v>0.46279999999999999</c:v>
                </c:pt>
                <c:pt idx="943">
                  <c:v>0.4617</c:v>
                </c:pt>
                <c:pt idx="944">
                  <c:v>0.4602</c:v>
                </c:pt>
                <c:pt idx="945">
                  <c:v>0.45950000000000002</c:v>
                </c:pt>
                <c:pt idx="946">
                  <c:v>0.45810000000000001</c:v>
                </c:pt>
                <c:pt idx="947">
                  <c:v>0.45760000000000001</c:v>
                </c:pt>
                <c:pt idx="948">
                  <c:v>0.45610000000000001</c:v>
                </c:pt>
                <c:pt idx="949">
                  <c:v>0.45429999999999998</c:v>
                </c:pt>
                <c:pt idx="950">
                  <c:v>0.4526</c:v>
                </c:pt>
                <c:pt idx="951">
                  <c:v>0.45169999999999999</c:v>
                </c:pt>
                <c:pt idx="952">
                  <c:v>0.45040000000000002</c:v>
                </c:pt>
                <c:pt idx="953">
                  <c:v>0.4491</c:v>
                </c:pt>
                <c:pt idx="954">
                  <c:v>0.44729999999999998</c:v>
                </c:pt>
                <c:pt idx="955">
                  <c:v>0.44690000000000002</c:v>
                </c:pt>
                <c:pt idx="956">
                  <c:v>0.44409999999999999</c:v>
                </c:pt>
                <c:pt idx="957">
                  <c:v>0.44280000000000003</c:v>
                </c:pt>
                <c:pt idx="958">
                  <c:v>0.44240000000000002</c:v>
                </c:pt>
                <c:pt idx="959">
                  <c:v>0.44140000000000001</c:v>
                </c:pt>
                <c:pt idx="960">
                  <c:v>0.4405</c:v>
                </c:pt>
                <c:pt idx="961">
                  <c:v>0.43969999999999998</c:v>
                </c:pt>
                <c:pt idx="962">
                  <c:v>0.43840000000000001</c:v>
                </c:pt>
                <c:pt idx="963">
                  <c:v>0.43609999999999999</c:v>
                </c:pt>
                <c:pt idx="964">
                  <c:v>0.43580000000000002</c:v>
                </c:pt>
                <c:pt idx="965">
                  <c:v>0.43390000000000001</c:v>
                </c:pt>
                <c:pt idx="966">
                  <c:v>0.43219999999999997</c:v>
                </c:pt>
                <c:pt idx="967">
                  <c:v>0.43190000000000001</c:v>
                </c:pt>
                <c:pt idx="968">
                  <c:v>0.43070000000000003</c:v>
                </c:pt>
                <c:pt idx="969">
                  <c:v>0.42920000000000003</c:v>
                </c:pt>
                <c:pt idx="970">
                  <c:v>0.42849999999999999</c:v>
                </c:pt>
                <c:pt idx="971">
                  <c:v>0.42670000000000002</c:v>
                </c:pt>
                <c:pt idx="972">
                  <c:v>0.42549999999999999</c:v>
                </c:pt>
                <c:pt idx="973">
                  <c:v>0.4229</c:v>
                </c:pt>
                <c:pt idx="974">
                  <c:v>0.42280000000000001</c:v>
                </c:pt>
                <c:pt idx="975">
                  <c:v>0.42020000000000002</c:v>
                </c:pt>
                <c:pt idx="976">
                  <c:v>0.41920000000000002</c:v>
                </c:pt>
                <c:pt idx="977">
                  <c:v>0.41660000000000003</c:v>
                </c:pt>
                <c:pt idx="978">
                  <c:v>0.4158</c:v>
                </c:pt>
                <c:pt idx="979">
                  <c:v>0.41489999999999999</c:v>
                </c:pt>
                <c:pt idx="980">
                  <c:v>0.41339999999999999</c:v>
                </c:pt>
                <c:pt idx="981">
                  <c:v>0.41149999999999998</c:v>
                </c:pt>
                <c:pt idx="982">
                  <c:v>0.40920000000000001</c:v>
                </c:pt>
                <c:pt idx="983">
                  <c:v>0.40949999999999998</c:v>
                </c:pt>
                <c:pt idx="984">
                  <c:v>0.40689999999999998</c:v>
                </c:pt>
                <c:pt idx="985">
                  <c:v>0.40489999999999998</c:v>
                </c:pt>
                <c:pt idx="986">
                  <c:v>0.40310000000000001</c:v>
                </c:pt>
                <c:pt idx="987">
                  <c:v>0.40060000000000001</c:v>
                </c:pt>
                <c:pt idx="988">
                  <c:v>0.39860000000000001</c:v>
                </c:pt>
                <c:pt idx="989">
                  <c:v>0.39750000000000002</c:v>
                </c:pt>
                <c:pt idx="990">
                  <c:v>0.39610000000000001</c:v>
                </c:pt>
                <c:pt idx="991">
                  <c:v>0.39250000000000002</c:v>
                </c:pt>
                <c:pt idx="992">
                  <c:v>0.3901</c:v>
                </c:pt>
                <c:pt idx="993">
                  <c:v>0.3881</c:v>
                </c:pt>
                <c:pt idx="994">
                  <c:v>0.3856</c:v>
                </c:pt>
                <c:pt idx="995">
                  <c:v>0.38129999999999997</c:v>
                </c:pt>
                <c:pt idx="996">
                  <c:v>0.37869999999999998</c:v>
                </c:pt>
                <c:pt idx="997">
                  <c:v>0.37730000000000002</c:v>
                </c:pt>
                <c:pt idx="998">
                  <c:v>0.37109999999999999</c:v>
                </c:pt>
                <c:pt idx="999">
                  <c:v>0.36480000000000001</c:v>
                </c:pt>
              </c:numCache>
            </c:numRef>
          </c:xVal>
          <c:yVal>
            <c:numRef>
              <c:f>'green_010_hfsm3_50#1'!$H$3:$H$1002</c:f>
              <c:numCache>
                <c:formatCode>General</c:formatCode>
                <c:ptCount val="1000"/>
                <c:pt idx="0">
                  <c:v>0</c:v>
                </c:pt>
                <c:pt idx="1">
                  <c:v>0.01</c:v>
                </c:pt>
                <c:pt idx="2">
                  <c:v>2.8400000000000002E-2</c:v>
                </c:pt>
                <c:pt idx="3">
                  <c:v>0.13139999999999999</c:v>
                </c:pt>
                <c:pt idx="4">
                  <c:v>0.22900000000000001</c:v>
                </c:pt>
                <c:pt idx="5">
                  <c:v>0.33479999999999999</c:v>
                </c:pt>
                <c:pt idx="6">
                  <c:v>0.44719999999999999</c:v>
                </c:pt>
                <c:pt idx="7">
                  <c:v>0.56499999999999995</c:v>
                </c:pt>
                <c:pt idx="8">
                  <c:v>0.66800000000000004</c:v>
                </c:pt>
                <c:pt idx="9">
                  <c:v>0.77439999999999998</c:v>
                </c:pt>
                <c:pt idx="10">
                  <c:v>0.88090000000000002</c:v>
                </c:pt>
                <c:pt idx="11">
                  <c:v>0.98160000000000003</c:v>
                </c:pt>
                <c:pt idx="12">
                  <c:v>1.079</c:v>
                </c:pt>
                <c:pt idx="13">
                  <c:v>1.1759999999999999</c:v>
                </c:pt>
                <c:pt idx="14">
                  <c:v>1.2677</c:v>
                </c:pt>
                <c:pt idx="15">
                  <c:v>1.3602000000000001</c:v>
                </c:pt>
                <c:pt idx="16">
                  <c:v>1.4478</c:v>
                </c:pt>
                <c:pt idx="17">
                  <c:v>1.5390999999999999</c:v>
                </c:pt>
                <c:pt idx="18">
                  <c:v>1.6232</c:v>
                </c:pt>
                <c:pt idx="19">
                  <c:v>1.6987000000000001</c:v>
                </c:pt>
                <c:pt idx="20">
                  <c:v>1.7877000000000001</c:v>
                </c:pt>
                <c:pt idx="21">
                  <c:v>1.8707</c:v>
                </c:pt>
                <c:pt idx="22">
                  <c:v>1.952</c:v>
                </c:pt>
                <c:pt idx="23">
                  <c:v>2.0369000000000002</c:v>
                </c:pt>
                <c:pt idx="24">
                  <c:v>2.1193</c:v>
                </c:pt>
                <c:pt idx="25">
                  <c:v>2.2077</c:v>
                </c:pt>
                <c:pt idx="26">
                  <c:v>2.2801999999999998</c:v>
                </c:pt>
                <c:pt idx="27">
                  <c:v>2.3702999999999999</c:v>
                </c:pt>
                <c:pt idx="28">
                  <c:v>2.4596</c:v>
                </c:pt>
                <c:pt idx="29">
                  <c:v>2.5442999999999998</c:v>
                </c:pt>
                <c:pt idx="30">
                  <c:v>2.6353</c:v>
                </c:pt>
                <c:pt idx="31">
                  <c:v>2.7303000000000002</c:v>
                </c:pt>
                <c:pt idx="32">
                  <c:v>2.8336999999999999</c:v>
                </c:pt>
                <c:pt idx="33">
                  <c:v>2.9293999999999998</c:v>
                </c:pt>
                <c:pt idx="34">
                  <c:v>3.0270999999999999</c:v>
                </c:pt>
                <c:pt idx="35">
                  <c:v>3.141</c:v>
                </c:pt>
                <c:pt idx="36">
                  <c:v>3.2456999999999998</c:v>
                </c:pt>
                <c:pt idx="37">
                  <c:v>3.3664000000000001</c:v>
                </c:pt>
                <c:pt idx="38">
                  <c:v>3.4821</c:v>
                </c:pt>
                <c:pt idx="39">
                  <c:v>3.5952999999999999</c:v>
                </c:pt>
                <c:pt idx="40">
                  <c:v>3.7250000000000001</c:v>
                </c:pt>
                <c:pt idx="41">
                  <c:v>3.8462999999999998</c:v>
                </c:pt>
                <c:pt idx="42">
                  <c:v>3.9773000000000001</c:v>
                </c:pt>
                <c:pt idx="43">
                  <c:v>4.1086</c:v>
                </c:pt>
                <c:pt idx="44">
                  <c:v>4.2347000000000001</c:v>
                </c:pt>
                <c:pt idx="45">
                  <c:v>4.3734999999999999</c:v>
                </c:pt>
                <c:pt idx="46">
                  <c:v>4.5125999999999999</c:v>
                </c:pt>
                <c:pt idx="47">
                  <c:v>4.6421000000000001</c:v>
                </c:pt>
                <c:pt idx="48">
                  <c:v>4.7765000000000004</c:v>
                </c:pt>
                <c:pt idx="49">
                  <c:v>4.9203999999999999</c:v>
                </c:pt>
                <c:pt idx="50">
                  <c:v>5.0552000000000001</c:v>
                </c:pt>
                <c:pt idx="51">
                  <c:v>5.1948999999999996</c:v>
                </c:pt>
                <c:pt idx="52">
                  <c:v>5.3342000000000001</c:v>
                </c:pt>
                <c:pt idx="53">
                  <c:v>5.4661</c:v>
                </c:pt>
                <c:pt idx="54">
                  <c:v>5.6018999999999997</c:v>
                </c:pt>
                <c:pt idx="55">
                  <c:v>5.7308000000000003</c:v>
                </c:pt>
                <c:pt idx="56">
                  <c:v>5.8579999999999997</c:v>
                </c:pt>
                <c:pt idx="57">
                  <c:v>5.9847000000000001</c:v>
                </c:pt>
                <c:pt idx="58">
                  <c:v>6.0986000000000002</c:v>
                </c:pt>
                <c:pt idx="59">
                  <c:v>6.2133000000000003</c:v>
                </c:pt>
                <c:pt idx="60">
                  <c:v>6.3261000000000003</c:v>
                </c:pt>
                <c:pt idx="61">
                  <c:v>6.4348999999999998</c:v>
                </c:pt>
                <c:pt idx="62">
                  <c:v>6.5476999999999999</c:v>
                </c:pt>
                <c:pt idx="63">
                  <c:v>6.6439000000000004</c:v>
                </c:pt>
                <c:pt idx="64">
                  <c:v>6.7389000000000001</c:v>
                </c:pt>
                <c:pt idx="65">
                  <c:v>6.8277000000000001</c:v>
                </c:pt>
                <c:pt idx="66">
                  <c:v>6.9203999999999999</c:v>
                </c:pt>
                <c:pt idx="67">
                  <c:v>7.0075000000000003</c:v>
                </c:pt>
                <c:pt idx="68">
                  <c:v>7.0831999999999997</c:v>
                </c:pt>
                <c:pt idx="69">
                  <c:v>7.1603000000000003</c:v>
                </c:pt>
                <c:pt idx="70">
                  <c:v>7.2385999999999999</c:v>
                </c:pt>
                <c:pt idx="71">
                  <c:v>7.3049999999999997</c:v>
                </c:pt>
                <c:pt idx="72">
                  <c:v>7.3688000000000002</c:v>
                </c:pt>
                <c:pt idx="73">
                  <c:v>7.4394999999999998</c:v>
                </c:pt>
                <c:pt idx="74">
                  <c:v>7.4934000000000003</c:v>
                </c:pt>
                <c:pt idx="75">
                  <c:v>7.5631000000000004</c:v>
                </c:pt>
                <c:pt idx="76">
                  <c:v>7.6258999999999997</c:v>
                </c:pt>
                <c:pt idx="77">
                  <c:v>7.6867000000000001</c:v>
                </c:pt>
                <c:pt idx="78">
                  <c:v>7.7412000000000001</c:v>
                </c:pt>
                <c:pt idx="79">
                  <c:v>7.8132999999999999</c:v>
                </c:pt>
                <c:pt idx="80">
                  <c:v>7.8795000000000002</c:v>
                </c:pt>
                <c:pt idx="81">
                  <c:v>7.9438000000000004</c:v>
                </c:pt>
                <c:pt idx="82">
                  <c:v>8.0175000000000001</c:v>
                </c:pt>
                <c:pt idx="83">
                  <c:v>8.0792000000000002</c:v>
                </c:pt>
                <c:pt idx="84">
                  <c:v>8.1609999999999996</c:v>
                </c:pt>
                <c:pt idx="85">
                  <c:v>8.2432999999999996</c:v>
                </c:pt>
                <c:pt idx="86">
                  <c:v>8.3323999999999998</c:v>
                </c:pt>
                <c:pt idx="87">
                  <c:v>8.4206000000000003</c:v>
                </c:pt>
                <c:pt idx="88">
                  <c:v>8.5138999999999996</c:v>
                </c:pt>
                <c:pt idx="89">
                  <c:v>8.6096000000000004</c:v>
                </c:pt>
                <c:pt idx="90">
                  <c:v>8.7072000000000003</c:v>
                </c:pt>
                <c:pt idx="91">
                  <c:v>8.8233999999999995</c:v>
                </c:pt>
                <c:pt idx="92">
                  <c:v>8.9387000000000008</c:v>
                </c:pt>
                <c:pt idx="93">
                  <c:v>9.0532000000000004</c:v>
                </c:pt>
                <c:pt idx="94">
                  <c:v>9.1820000000000004</c:v>
                </c:pt>
                <c:pt idx="95">
                  <c:v>9.3078000000000003</c:v>
                </c:pt>
                <c:pt idx="96">
                  <c:v>9.4430999999999994</c:v>
                </c:pt>
                <c:pt idx="97">
                  <c:v>9.5838999999999999</c:v>
                </c:pt>
                <c:pt idx="98">
                  <c:v>9.7155000000000005</c:v>
                </c:pt>
                <c:pt idx="99">
                  <c:v>9.8626000000000005</c:v>
                </c:pt>
                <c:pt idx="100">
                  <c:v>10.014799999999999</c:v>
                </c:pt>
                <c:pt idx="101">
                  <c:v>10.162800000000001</c:v>
                </c:pt>
                <c:pt idx="102">
                  <c:v>10.3163</c:v>
                </c:pt>
                <c:pt idx="103">
                  <c:v>10.468400000000001</c:v>
                </c:pt>
                <c:pt idx="104">
                  <c:v>10.6218</c:v>
                </c:pt>
                <c:pt idx="105">
                  <c:v>10.7759</c:v>
                </c:pt>
                <c:pt idx="106">
                  <c:v>10.9274</c:v>
                </c:pt>
                <c:pt idx="107">
                  <c:v>11.0861</c:v>
                </c:pt>
                <c:pt idx="108">
                  <c:v>11.2349</c:v>
                </c:pt>
                <c:pt idx="109">
                  <c:v>11.3797</c:v>
                </c:pt>
                <c:pt idx="110">
                  <c:v>11.5252</c:v>
                </c:pt>
                <c:pt idx="111">
                  <c:v>11.6676</c:v>
                </c:pt>
                <c:pt idx="112">
                  <c:v>11.8078</c:v>
                </c:pt>
                <c:pt idx="113">
                  <c:v>11.941599999999999</c:v>
                </c:pt>
                <c:pt idx="114">
                  <c:v>12.068300000000001</c:v>
                </c:pt>
                <c:pt idx="115">
                  <c:v>12.1822</c:v>
                </c:pt>
                <c:pt idx="116">
                  <c:v>12.305999999999999</c:v>
                </c:pt>
                <c:pt idx="117">
                  <c:v>12.411</c:v>
                </c:pt>
                <c:pt idx="118">
                  <c:v>12.5175</c:v>
                </c:pt>
                <c:pt idx="119">
                  <c:v>12.6242</c:v>
                </c:pt>
                <c:pt idx="120">
                  <c:v>12.712</c:v>
                </c:pt>
                <c:pt idx="121">
                  <c:v>12.807</c:v>
                </c:pt>
                <c:pt idx="122">
                  <c:v>12.8909</c:v>
                </c:pt>
                <c:pt idx="123">
                  <c:v>12.9579</c:v>
                </c:pt>
                <c:pt idx="124">
                  <c:v>13.039</c:v>
                </c:pt>
                <c:pt idx="125">
                  <c:v>13.099600000000001</c:v>
                </c:pt>
                <c:pt idx="126">
                  <c:v>13.169600000000001</c:v>
                </c:pt>
                <c:pt idx="127">
                  <c:v>13.2272</c:v>
                </c:pt>
                <c:pt idx="128">
                  <c:v>13.278700000000001</c:v>
                </c:pt>
                <c:pt idx="129">
                  <c:v>13.332700000000001</c:v>
                </c:pt>
                <c:pt idx="130">
                  <c:v>13.3841</c:v>
                </c:pt>
                <c:pt idx="131">
                  <c:v>13.4276</c:v>
                </c:pt>
                <c:pt idx="132">
                  <c:v>13.485300000000001</c:v>
                </c:pt>
                <c:pt idx="133">
                  <c:v>13.532999999999999</c:v>
                </c:pt>
                <c:pt idx="134">
                  <c:v>13.5815</c:v>
                </c:pt>
                <c:pt idx="135">
                  <c:v>13.6305</c:v>
                </c:pt>
                <c:pt idx="136">
                  <c:v>13.682399999999999</c:v>
                </c:pt>
                <c:pt idx="137">
                  <c:v>13.734299999999999</c:v>
                </c:pt>
                <c:pt idx="138">
                  <c:v>13.7951</c:v>
                </c:pt>
                <c:pt idx="139">
                  <c:v>13.853400000000001</c:v>
                </c:pt>
                <c:pt idx="140">
                  <c:v>13.919700000000001</c:v>
                </c:pt>
                <c:pt idx="141">
                  <c:v>13.9937</c:v>
                </c:pt>
                <c:pt idx="142">
                  <c:v>14.061299999999999</c:v>
                </c:pt>
                <c:pt idx="143">
                  <c:v>14.148400000000001</c:v>
                </c:pt>
                <c:pt idx="144">
                  <c:v>14.238899999999999</c:v>
                </c:pt>
                <c:pt idx="145">
                  <c:v>14.3362</c:v>
                </c:pt>
                <c:pt idx="146">
                  <c:v>14.441599999999999</c:v>
                </c:pt>
                <c:pt idx="147">
                  <c:v>14.546799999999999</c:v>
                </c:pt>
                <c:pt idx="148">
                  <c:v>14.6676</c:v>
                </c:pt>
                <c:pt idx="149">
                  <c:v>14.786300000000001</c:v>
                </c:pt>
                <c:pt idx="150">
                  <c:v>14.9153</c:v>
                </c:pt>
                <c:pt idx="151">
                  <c:v>15.054399999999999</c:v>
                </c:pt>
                <c:pt idx="152">
                  <c:v>15.1891</c:v>
                </c:pt>
                <c:pt idx="153">
                  <c:v>15.3291</c:v>
                </c:pt>
                <c:pt idx="154">
                  <c:v>15.4678</c:v>
                </c:pt>
                <c:pt idx="155">
                  <c:v>15.6244</c:v>
                </c:pt>
                <c:pt idx="156">
                  <c:v>15.781700000000001</c:v>
                </c:pt>
                <c:pt idx="157">
                  <c:v>15.944900000000001</c:v>
                </c:pt>
                <c:pt idx="158">
                  <c:v>16.111599999999999</c:v>
                </c:pt>
                <c:pt idx="159">
                  <c:v>16.282</c:v>
                </c:pt>
                <c:pt idx="160">
                  <c:v>16.445699999999999</c:v>
                </c:pt>
                <c:pt idx="161">
                  <c:v>16.610399999999998</c:v>
                </c:pt>
                <c:pt idx="162">
                  <c:v>16.692499999999999</c:v>
                </c:pt>
                <c:pt idx="163">
                  <c:v>16.915099999999999</c:v>
                </c:pt>
                <c:pt idx="164">
                  <c:v>17.0883</c:v>
                </c:pt>
                <c:pt idx="165">
                  <c:v>17.254100000000001</c:v>
                </c:pt>
                <c:pt idx="166">
                  <c:v>17.418600000000001</c:v>
                </c:pt>
                <c:pt idx="167">
                  <c:v>17.572600000000001</c:v>
                </c:pt>
                <c:pt idx="168">
                  <c:v>17.7241</c:v>
                </c:pt>
                <c:pt idx="169">
                  <c:v>17.8613</c:v>
                </c:pt>
                <c:pt idx="170">
                  <c:v>18.001200000000001</c:v>
                </c:pt>
                <c:pt idx="171">
                  <c:v>18.128499999999999</c:v>
                </c:pt>
                <c:pt idx="172">
                  <c:v>18.2456</c:v>
                </c:pt>
                <c:pt idx="173">
                  <c:v>18.366099999999999</c:v>
                </c:pt>
                <c:pt idx="174">
                  <c:v>18.4679</c:v>
                </c:pt>
                <c:pt idx="175">
                  <c:v>18.565799999999999</c:v>
                </c:pt>
                <c:pt idx="176">
                  <c:v>18.6708</c:v>
                </c:pt>
                <c:pt idx="177">
                  <c:v>18.749300000000002</c:v>
                </c:pt>
                <c:pt idx="178">
                  <c:v>18.833100000000002</c:v>
                </c:pt>
                <c:pt idx="179">
                  <c:v>18.905200000000001</c:v>
                </c:pt>
                <c:pt idx="180">
                  <c:v>18.972200000000001</c:v>
                </c:pt>
                <c:pt idx="181">
                  <c:v>19.038699999999999</c:v>
                </c:pt>
                <c:pt idx="182">
                  <c:v>19.091699999999999</c:v>
                </c:pt>
                <c:pt idx="183">
                  <c:v>19.143000000000001</c:v>
                </c:pt>
                <c:pt idx="184">
                  <c:v>19.190899999999999</c:v>
                </c:pt>
                <c:pt idx="185">
                  <c:v>19.233599999999999</c:v>
                </c:pt>
                <c:pt idx="186">
                  <c:v>19.2776</c:v>
                </c:pt>
                <c:pt idx="187">
                  <c:v>19.311699999999998</c:v>
                </c:pt>
                <c:pt idx="188">
                  <c:v>19.347899999999999</c:v>
                </c:pt>
                <c:pt idx="189">
                  <c:v>19.390699999999999</c:v>
                </c:pt>
                <c:pt idx="190">
                  <c:v>19.426500000000001</c:v>
                </c:pt>
                <c:pt idx="191">
                  <c:v>19.465199999999999</c:v>
                </c:pt>
                <c:pt idx="192">
                  <c:v>19.505500000000001</c:v>
                </c:pt>
                <c:pt idx="193">
                  <c:v>19.550899999999999</c:v>
                </c:pt>
                <c:pt idx="194">
                  <c:v>19.5959</c:v>
                </c:pt>
                <c:pt idx="195">
                  <c:v>19.6479</c:v>
                </c:pt>
                <c:pt idx="196">
                  <c:v>19.708600000000001</c:v>
                </c:pt>
                <c:pt idx="197">
                  <c:v>19.763999999999999</c:v>
                </c:pt>
                <c:pt idx="198">
                  <c:v>19.843599999999999</c:v>
                </c:pt>
                <c:pt idx="199">
                  <c:v>19.907299999999999</c:v>
                </c:pt>
                <c:pt idx="200">
                  <c:v>19.994199999999999</c:v>
                </c:pt>
                <c:pt idx="201">
                  <c:v>20.086500000000001</c:v>
                </c:pt>
                <c:pt idx="202">
                  <c:v>20.182099999999998</c:v>
                </c:pt>
                <c:pt idx="203">
                  <c:v>20.291799999999999</c:v>
                </c:pt>
                <c:pt idx="204">
                  <c:v>20.398800000000001</c:v>
                </c:pt>
                <c:pt idx="205">
                  <c:v>20.527899999999999</c:v>
                </c:pt>
                <c:pt idx="206">
                  <c:v>20.651</c:v>
                </c:pt>
                <c:pt idx="207">
                  <c:v>20.785900000000002</c:v>
                </c:pt>
                <c:pt idx="208">
                  <c:v>20.9328</c:v>
                </c:pt>
                <c:pt idx="209">
                  <c:v>21.0806</c:v>
                </c:pt>
                <c:pt idx="210">
                  <c:v>21.231300000000001</c:v>
                </c:pt>
                <c:pt idx="211">
                  <c:v>21.395399999999999</c:v>
                </c:pt>
                <c:pt idx="212">
                  <c:v>21.5549</c:v>
                </c:pt>
                <c:pt idx="213">
                  <c:v>21.7302</c:v>
                </c:pt>
                <c:pt idx="214">
                  <c:v>21.899699999999999</c:v>
                </c:pt>
                <c:pt idx="215">
                  <c:v>22.079599999999999</c:v>
                </c:pt>
                <c:pt idx="216">
                  <c:v>22.248699999999999</c:v>
                </c:pt>
                <c:pt idx="217">
                  <c:v>22.429200000000002</c:v>
                </c:pt>
                <c:pt idx="218">
                  <c:v>22.599499999999999</c:v>
                </c:pt>
                <c:pt idx="219">
                  <c:v>22.779299999999999</c:v>
                </c:pt>
                <c:pt idx="220">
                  <c:v>22.950700000000001</c:v>
                </c:pt>
                <c:pt idx="221">
                  <c:v>23.12</c:v>
                </c:pt>
                <c:pt idx="222">
                  <c:v>23.290099999999999</c:v>
                </c:pt>
                <c:pt idx="223">
                  <c:v>23.448499999999999</c:v>
                </c:pt>
                <c:pt idx="224">
                  <c:v>23.603400000000001</c:v>
                </c:pt>
                <c:pt idx="225">
                  <c:v>23.760999999999999</c:v>
                </c:pt>
                <c:pt idx="226">
                  <c:v>23.9008</c:v>
                </c:pt>
                <c:pt idx="227">
                  <c:v>24.036899999999999</c:v>
                </c:pt>
                <c:pt idx="228">
                  <c:v>24.167899999999999</c:v>
                </c:pt>
                <c:pt idx="229">
                  <c:v>24.284400000000002</c:v>
                </c:pt>
                <c:pt idx="230">
                  <c:v>24.398599999999998</c:v>
                </c:pt>
                <c:pt idx="231">
                  <c:v>24.501100000000001</c:v>
                </c:pt>
                <c:pt idx="232">
                  <c:v>24.6051</c:v>
                </c:pt>
                <c:pt idx="233">
                  <c:v>24.685600000000001</c:v>
                </c:pt>
                <c:pt idx="234">
                  <c:v>24.770399999999999</c:v>
                </c:pt>
                <c:pt idx="235">
                  <c:v>24.843900000000001</c:v>
                </c:pt>
                <c:pt idx="236">
                  <c:v>24.9086</c:v>
                </c:pt>
                <c:pt idx="237">
                  <c:v>24.968900000000001</c:v>
                </c:pt>
                <c:pt idx="238">
                  <c:v>25.020299999999999</c:v>
                </c:pt>
                <c:pt idx="239">
                  <c:v>25.065100000000001</c:v>
                </c:pt>
                <c:pt idx="240">
                  <c:v>25.104199999999999</c:v>
                </c:pt>
                <c:pt idx="241">
                  <c:v>25.143599999999999</c:v>
                </c:pt>
                <c:pt idx="242">
                  <c:v>25.1721</c:v>
                </c:pt>
                <c:pt idx="243">
                  <c:v>25.206700000000001</c:v>
                </c:pt>
                <c:pt idx="244">
                  <c:v>25.227499999999999</c:v>
                </c:pt>
                <c:pt idx="245">
                  <c:v>25.259799999999998</c:v>
                </c:pt>
                <c:pt idx="246">
                  <c:v>25.286300000000001</c:v>
                </c:pt>
                <c:pt idx="247">
                  <c:v>25.318200000000001</c:v>
                </c:pt>
                <c:pt idx="248">
                  <c:v>25.3445</c:v>
                </c:pt>
                <c:pt idx="249">
                  <c:v>25.388100000000001</c:v>
                </c:pt>
                <c:pt idx="250">
                  <c:v>25.418700000000001</c:v>
                </c:pt>
                <c:pt idx="251">
                  <c:v>25.462599999999998</c:v>
                </c:pt>
                <c:pt idx="252">
                  <c:v>25.508800000000001</c:v>
                </c:pt>
                <c:pt idx="253">
                  <c:v>25.5562</c:v>
                </c:pt>
                <c:pt idx="254">
                  <c:v>25.623000000000001</c:v>
                </c:pt>
                <c:pt idx="255">
                  <c:v>25.6904</c:v>
                </c:pt>
                <c:pt idx="256">
                  <c:v>25.7743</c:v>
                </c:pt>
                <c:pt idx="257">
                  <c:v>25.856000000000002</c:v>
                </c:pt>
                <c:pt idx="258">
                  <c:v>25.945399999999999</c:v>
                </c:pt>
                <c:pt idx="259">
                  <c:v>26.039100000000001</c:v>
                </c:pt>
                <c:pt idx="260">
                  <c:v>26.152999999999999</c:v>
                </c:pt>
                <c:pt idx="261">
                  <c:v>26.264600000000002</c:v>
                </c:pt>
                <c:pt idx="262">
                  <c:v>26.4026</c:v>
                </c:pt>
                <c:pt idx="263">
                  <c:v>26.534300000000002</c:v>
                </c:pt>
                <c:pt idx="264">
                  <c:v>26.6752</c:v>
                </c:pt>
                <c:pt idx="265">
                  <c:v>26.8355</c:v>
                </c:pt>
                <c:pt idx="266">
                  <c:v>26.993300000000001</c:v>
                </c:pt>
                <c:pt idx="267">
                  <c:v>27.157699999999998</c:v>
                </c:pt>
                <c:pt idx="268">
                  <c:v>27.327100000000002</c:v>
                </c:pt>
                <c:pt idx="269">
                  <c:v>27.501899999999999</c:v>
                </c:pt>
                <c:pt idx="270">
                  <c:v>27.688300000000002</c:v>
                </c:pt>
                <c:pt idx="271">
                  <c:v>27.867699999999999</c:v>
                </c:pt>
                <c:pt idx="272">
                  <c:v>28.046199999999999</c:v>
                </c:pt>
                <c:pt idx="273">
                  <c:v>28.238199999999999</c:v>
                </c:pt>
                <c:pt idx="274">
                  <c:v>28.423400000000001</c:v>
                </c:pt>
                <c:pt idx="275">
                  <c:v>28.6007</c:v>
                </c:pt>
                <c:pt idx="276">
                  <c:v>28.785699999999999</c:v>
                </c:pt>
                <c:pt idx="277">
                  <c:v>28.9635</c:v>
                </c:pt>
                <c:pt idx="278">
                  <c:v>29.142700000000001</c:v>
                </c:pt>
                <c:pt idx="279">
                  <c:v>29.319199999999999</c:v>
                </c:pt>
                <c:pt idx="280">
                  <c:v>29.473800000000001</c:v>
                </c:pt>
                <c:pt idx="281">
                  <c:v>29.642800000000001</c:v>
                </c:pt>
                <c:pt idx="282">
                  <c:v>29.7895</c:v>
                </c:pt>
                <c:pt idx="283">
                  <c:v>29.9344</c:v>
                </c:pt>
                <c:pt idx="284">
                  <c:v>30.071000000000002</c:v>
                </c:pt>
                <c:pt idx="285">
                  <c:v>30.1965</c:v>
                </c:pt>
                <c:pt idx="286">
                  <c:v>30.315899999999999</c:v>
                </c:pt>
                <c:pt idx="287">
                  <c:v>30.433299999999999</c:v>
                </c:pt>
                <c:pt idx="288">
                  <c:v>30.523099999999999</c:v>
                </c:pt>
                <c:pt idx="289">
                  <c:v>30.617000000000001</c:v>
                </c:pt>
                <c:pt idx="290">
                  <c:v>30.7012</c:v>
                </c:pt>
                <c:pt idx="291">
                  <c:v>30.767099999999999</c:v>
                </c:pt>
                <c:pt idx="292">
                  <c:v>30.8413</c:v>
                </c:pt>
                <c:pt idx="293">
                  <c:v>30.8933</c:v>
                </c:pt>
                <c:pt idx="294">
                  <c:v>30.946899999999999</c:v>
                </c:pt>
                <c:pt idx="295">
                  <c:v>30.982399999999998</c:v>
                </c:pt>
                <c:pt idx="296">
                  <c:v>31.0166</c:v>
                </c:pt>
                <c:pt idx="297">
                  <c:v>31.0517</c:v>
                </c:pt>
                <c:pt idx="298">
                  <c:v>31.073</c:v>
                </c:pt>
                <c:pt idx="299">
                  <c:v>31.095199999999998</c:v>
                </c:pt>
                <c:pt idx="300">
                  <c:v>31.122</c:v>
                </c:pt>
                <c:pt idx="301">
                  <c:v>31.136900000000001</c:v>
                </c:pt>
                <c:pt idx="302">
                  <c:v>31.156099999999999</c:v>
                </c:pt>
                <c:pt idx="303">
                  <c:v>31.174700000000001</c:v>
                </c:pt>
                <c:pt idx="304">
                  <c:v>31.203099999999999</c:v>
                </c:pt>
                <c:pt idx="305">
                  <c:v>31.228999999999999</c:v>
                </c:pt>
                <c:pt idx="306">
                  <c:v>31.256399999999999</c:v>
                </c:pt>
                <c:pt idx="307">
                  <c:v>31.2864</c:v>
                </c:pt>
                <c:pt idx="308">
                  <c:v>31.325500000000002</c:v>
                </c:pt>
                <c:pt idx="309">
                  <c:v>31.3688</c:v>
                </c:pt>
                <c:pt idx="310">
                  <c:v>31.4178</c:v>
                </c:pt>
                <c:pt idx="311">
                  <c:v>31.4861</c:v>
                </c:pt>
                <c:pt idx="312">
                  <c:v>31.549499999999998</c:v>
                </c:pt>
                <c:pt idx="313">
                  <c:v>31.630500000000001</c:v>
                </c:pt>
                <c:pt idx="314">
                  <c:v>31.724599999999999</c:v>
                </c:pt>
                <c:pt idx="315">
                  <c:v>31.817699999999999</c:v>
                </c:pt>
                <c:pt idx="316">
                  <c:v>31.921900000000001</c:v>
                </c:pt>
                <c:pt idx="317">
                  <c:v>32.0351</c:v>
                </c:pt>
                <c:pt idx="318">
                  <c:v>32.156199999999998</c:v>
                </c:pt>
                <c:pt idx="319">
                  <c:v>32.304200000000002</c:v>
                </c:pt>
                <c:pt idx="320">
                  <c:v>32.439</c:v>
                </c:pt>
                <c:pt idx="321">
                  <c:v>32.591299999999997</c:v>
                </c:pt>
                <c:pt idx="322">
                  <c:v>32.760800000000003</c:v>
                </c:pt>
                <c:pt idx="323">
                  <c:v>32.915900000000001</c:v>
                </c:pt>
                <c:pt idx="324">
                  <c:v>33.104799999999997</c:v>
                </c:pt>
                <c:pt idx="325">
                  <c:v>33.279800000000002</c:v>
                </c:pt>
                <c:pt idx="326">
                  <c:v>33.461100000000002</c:v>
                </c:pt>
                <c:pt idx="327">
                  <c:v>33.652200000000001</c:v>
                </c:pt>
                <c:pt idx="328">
                  <c:v>33.8399</c:v>
                </c:pt>
                <c:pt idx="329">
                  <c:v>34.036700000000003</c:v>
                </c:pt>
                <c:pt idx="330">
                  <c:v>34.227899999999998</c:v>
                </c:pt>
                <c:pt idx="331">
                  <c:v>34.419800000000002</c:v>
                </c:pt>
                <c:pt idx="332">
                  <c:v>34.616199999999999</c:v>
                </c:pt>
                <c:pt idx="333">
                  <c:v>34.806600000000003</c:v>
                </c:pt>
                <c:pt idx="334">
                  <c:v>34.9985</c:v>
                </c:pt>
                <c:pt idx="335">
                  <c:v>35.168199999999999</c:v>
                </c:pt>
                <c:pt idx="336">
                  <c:v>35.3431</c:v>
                </c:pt>
                <c:pt idx="337">
                  <c:v>35.506999999999998</c:v>
                </c:pt>
                <c:pt idx="338">
                  <c:v>35.670299999999997</c:v>
                </c:pt>
                <c:pt idx="339">
                  <c:v>35.817900000000002</c:v>
                </c:pt>
                <c:pt idx="340">
                  <c:v>35.966200000000001</c:v>
                </c:pt>
                <c:pt idx="341">
                  <c:v>36.102699999999999</c:v>
                </c:pt>
                <c:pt idx="342">
                  <c:v>36.2241</c:v>
                </c:pt>
                <c:pt idx="343">
                  <c:v>36.335999999999999</c:v>
                </c:pt>
                <c:pt idx="344">
                  <c:v>36.443399999999997</c:v>
                </c:pt>
                <c:pt idx="345">
                  <c:v>36.530900000000003</c:v>
                </c:pt>
                <c:pt idx="346">
                  <c:v>36.624699999999997</c:v>
                </c:pt>
                <c:pt idx="347">
                  <c:v>36.696899999999999</c:v>
                </c:pt>
                <c:pt idx="348">
                  <c:v>36.756700000000002</c:v>
                </c:pt>
                <c:pt idx="349">
                  <c:v>36.818199999999997</c:v>
                </c:pt>
                <c:pt idx="350">
                  <c:v>36.865299999999998</c:v>
                </c:pt>
                <c:pt idx="351">
                  <c:v>36.9069</c:v>
                </c:pt>
                <c:pt idx="352">
                  <c:v>36.934100000000001</c:v>
                </c:pt>
                <c:pt idx="353">
                  <c:v>36.960299999999997</c:v>
                </c:pt>
                <c:pt idx="354">
                  <c:v>36.9878</c:v>
                </c:pt>
                <c:pt idx="355">
                  <c:v>37.003900000000002</c:v>
                </c:pt>
                <c:pt idx="356">
                  <c:v>37.013800000000003</c:v>
                </c:pt>
                <c:pt idx="357">
                  <c:v>37.027700000000003</c:v>
                </c:pt>
                <c:pt idx="358">
                  <c:v>37.038800000000002</c:v>
                </c:pt>
                <c:pt idx="359">
                  <c:v>37.047400000000003</c:v>
                </c:pt>
                <c:pt idx="360">
                  <c:v>37.067999999999998</c:v>
                </c:pt>
                <c:pt idx="361">
                  <c:v>37.079799999999999</c:v>
                </c:pt>
                <c:pt idx="362">
                  <c:v>37.096600000000002</c:v>
                </c:pt>
                <c:pt idx="363">
                  <c:v>37.130200000000002</c:v>
                </c:pt>
                <c:pt idx="364">
                  <c:v>37.152999999999999</c:v>
                </c:pt>
                <c:pt idx="365">
                  <c:v>37.188499999999998</c:v>
                </c:pt>
                <c:pt idx="366">
                  <c:v>37.2363</c:v>
                </c:pt>
                <c:pt idx="367">
                  <c:v>37.281999999999996</c:v>
                </c:pt>
                <c:pt idx="368">
                  <c:v>37.348500000000001</c:v>
                </c:pt>
                <c:pt idx="369">
                  <c:v>37.4133</c:v>
                </c:pt>
                <c:pt idx="370">
                  <c:v>37.498199999999997</c:v>
                </c:pt>
                <c:pt idx="371">
                  <c:v>37.593499999999999</c:v>
                </c:pt>
                <c:pt idx="372">
                  <c:v>37.680700000000002</c:v>
                </c:pt>
                <c:pt idx="373">
                  <c:v>37.802799999999998</c:v>
                </c:pt>
                <c:pt idx="374">
                  <c:v>37.930300000000003</c:v>
                </c:pt>
                <c:pt idx="375">
                  <c:v>38.060299999999998</c:v>
                </c:pt>
                <c:pt idx="376">
                  <c:v>38.206699999999998</c:v>
                </c:pt>
                <c:pt idx="377">
                  <c:v>38.360900000000001</c:v>
                </c:pt>
                <c:pt idx="378">
                  <c:v>38.5229</c:v>
                </c:pt>
                <c:pt idx="379">
                  <c:v>38.691600000000001</c:v>
                </c:pt>
                <c:pt idx="380">
                  <c:v>38.858600000000003</c:v>
                </c:pt>
                <c:pt idx="381">
                  <c:v>39.049599999999998</c:v>
                </c:pt>
                <c:pt idx="382">
                  <c:v>39.241999999999997</c:v>
                </c:pt>
                <c:pt idx="383">
                  <c:v>39.436799999999998</c:v>
                </c:pt>
                <c:pt idx="384">
                  <c:v>39.633000000000003</c:v>
                </c:pt>
                <c:pt idx="385">
                  <c:v>39.829300000000003</c:v>
                </c:pt>
                <c:pt idx="386">
                  <c:v>40.026600000000002</c:v>
                </c:pt>
                <c:pt idx="387">
                  <c:v>40.223599999999998</c:v>
                </c:pt>
                <c:pt idx="388">
                  <c:v>40.433799999999998</c:v>
                </c:pt>
                <c:pt idx="389">
                  <c:v>40.635899999999999</c:v>
                </c:pt>
                <c:pt idx="390">
                  <c:v>40.829500000000003</c:v>
                </c:pt>
                <c:pt idx="391">
                  <c:v>41.012900000000002</c:v>
                </c:pt>
                <c:pt idx="392">
                  <c:v>41.196599999999997</c:v>
                </c:pt>
                <c:pt idx="393">
                  <c:v>41.372100000000003</c:v>
                </c:pt>
                <c:pt idx="394">
                  <c:v>41.534399999999998</c:v>
                </c:pt>
                <c:pt idx="395">
                  <c:v>41.698700000000002</c:v>
                </c:pt>
                <c:pt idx="396">
                  <c:v>41.851300000000002</c:v>
                </c:pt>
                <c:pt idx="397">
                  <c:v>41.992199999999997</c:v>
                </c:pt>
                <c:pt idx="398">
                  <c:v>42.128799999999998</c:v>
                </c:pt>
                <c:pt idx="399">
                  <c:v>42.242199999999997</c:v>
                </c:pt>
                <c:pt idx="400">
                  <c:v>42.357700000000001</c:v>
                </c:pt>
                <c:pt idx="401">
                  <c:v>42.458399999999997</c:v>
                </c:pt>
                <c:pt idx="402">
                  <c:v>42.535899999999998</c:v>
                </c:pt>
                <c:pt idx="403">
                  <c:v>42.619</c:v>
                </c:pt>
                <c:pt idx="404">
                  <c:v>42.682200000000002</c:v>
                </c:pt>
                <c:pt idx="405">
                  <c:v>42.740299999999998</c:v>
                </c:pt>
                <c:pt idx="406">
                  <c:v>42.786799999999999</c:v>
                </c:pt>
                <c:pt idx="407">
                  <c:v>42.8262</c:v>
                </c:pt>
                <c:pt idx="408">
                  <c:v>42.853000000000002</c:v>
                </c:pt>
                <c:pt idx="409">
                  <c:v>42.875799999999998</c:v>
                </c:pt>
                <c:pt idx="410">
                  <c:v>42.895299999999999</c:v>
                </c:pt>
                <c:pt idx="411">
                  <c:v>42.908299999999997</c:v>
                </c:pt>
                <c:pt idx="412">
                  <c:v>42.910400000000003</c:v>
                </c:pt>
                <c:pt idx="413">
                  <c:v>42.918999999999997</c:v>
                </c:pt>
                <c:pt idx="414">
                  <c:v>42.926000000000002</c:v>
                </c:pt>
                <c:pt idx="415">
                  <c:v>42.929200000000002</c:v>
                </c:pt>
                <c:pt idx="416">
                  <c:v>42.929400000000001</c:v>
                </c:pt>
                <c:pt idx="417">
                  <c:v>42.941000000000003</c:v>
                </c:pt>
                <c:pt idx="418">
                  <c:v>42.948799999999999</c:v>
                </c:pt>
                <c:pt idx="419">
                  <c:v>42.968899999999998</c:v>
                </c:pt>
                <c:pt idx="420">
                  <c:v>42.991300000000003</c:v>
                </c:pt>
                <c:pt idx="421">
                  <c:v>43.014600000000002</c:v>
                </c:pt>
                <c:pt idx="422">
                  <c:v>43.062600000000003</c:v>
                </c:pt>
                <c:pt idx="423">
                  <c:v>43.097499999999997</c:v>
                </c:pt>
                <c:pt idx="424">
                  <c:v>43.148600000000002</c:v>
                </c:pt>
                <c:pt idx="425">
                  <c:v>43.220100000000002</c:v>
                </c:pt>
                <c:pt idx="426">
                  <c:v>43.281100000000002</c:v>
                </c:pt>
                <c:pt idx="427">
                  <c:v>43.374099999999999</c:v>
                </c:pt>
                <c:pt idx="428">
                  <c:v>43.472299999999997</c:v>
                </c:pt>
                <c:pt idx="429">
                  <c:v>43.569400000000002</c:v>
                </c:pt>
                <c:pt idx="430">
                  <c:v>43.701700000000002</c:v>
                </c:pt>
                <c:pt idx="431">
                  <c:v>43.829500000000003</c:v>
                </c:pt>
                <c:pt idx="432">
                  <c:v>43.964700000000001</c:v>
                </c:pt>
                <c:pt idx="433">
                  <c:v>44.121200000000002</c:v>
                </c:pt>
                <c:pt idx="434">
                  <c:v>44.268999999999998</c:v>
                </c:pt>
                <c:pt idx="435">
                  <c:v>44.453499999999998</c:v>
                </c:pt>
                <c:pt idx="436">
                  <c:v>44.628700000000002</c:v>
                </c:pt>
                <c:pt idx="437">
                  <c:v>44.818100000000001</c:v>
                </c:pt>
                <c:pt idx="438">
                  <c:v>45.0124</c:v>
                </c:pt>
                <c:pt idx="439">
                  <c:v>45.209800000000001</c:v>
                </c:pt>
                <c:pt idx="440">
                  <c:v>45.410400000000003</c:v>
                </c:pt>
                <c:pt idx="441">
                  <c:v>45.616500000000002</c:v>
                </c:pt>
                <c:pt idx="442">
                  <c:v>45.823999999999998</c:v>
                </c:pt>
                <c:pt idx="443">
                  <c:v>46.0304</c:v>
                </c:pt>
                <c:pt idx="444">
                  <c:v>46.240400000000001</c:v>
                </c:pt>
                <c:pt idx="445">
                  <c:v>46.443199999999997</c:v>
                </c:pt>
                <c:pt idx="446">
                  <c:v>46.6494</c:v>
                </c:pt>
                <c:pt idx="447">
                  <c:v>46.847099999999998</c:v>
                </c:pt>
                <c:pt idx="448">
                  <c:v>47.037799999999997</c:v>
                </c:pt>
                <c:pt idx="449">
                  <c:v>47.217500000000001</c:v>
                </c:pt>
                <c:pt idx="450">
                  <c:v>47.402299999999997</c:v>
                </c:pt>
                <c:pt idx="451">
                  <c:v>47.561799999999998</c:v>
                </c:pt>
                <c:pt idx="452">
                  <c:v>47.7301</c:v>
                </c:pt>
                <c:pt idx="453">
                  <c:v>47.875300000000003</c:v>
                </c:pt>
                <c:pt idx="454">
                  <c:v>48.011200000000002</c:v>
                </c:pt>
                <c:pt idx="455">
                  <c:v>48.146000000000001</c:v>
                </c:pt>
                <c:pt idx="456">
                  <c:v>48.250100000000003</c:v>
                </c:pt>
                <c:pt idx="457">
                  <c:v>48.362000000000002</c:v>
                </c:pt>
                <c:pt idx="458">
                  <c:v>48.453400000000002</c:v>
                </c:pt>
                <c:pt idx="459">
                  <c:v>48.527099999999997</c:v>
                </c:pt>
                <c:pt idx="460">
                  <c:v>48.604599999999998</c:v>
                </c:pt>
                <c:pt idx="461">
                  <c:v>48.654699999999998</c:v>
                </c:pt>
                <c:pt idx="462">
                  <c:v>48.705599999999997</c:v>
                </c:pt>
                <c:pt idx="463">
                  <c:v>48.7485</c:v>
                </c:pt>
                <c:pt idx="464">
                  <c:v>48.775399999999998</c:v>
                </c:pt>
                <c:pt idx="465">
                  <c:v>48.7988</c:v>
                </c:pt>
                <c:pt idx="466">
                  <c:v>48.807200000000002</c:v>
                </c:pt>
                <c:pt idx="467">
                  <c:v>48.816899999999997</c:v>
                </c:pt>
                <c:pt idx="468">
                  <c:v>48.824100000000001</c:v>
                </c:pt>
                <c:pt idx="469">
                  <c:v>48.824800000000003</c:v>
                </c:pt>
                <c:pt idx="470">
                  <c:v>48.820700000000002</c:v>
                </c:pt>
                <c:pt idx="471">
                  <c:v>48.814700000000002</c:v>
                </c:pt>
                <c:pt idx="472">
                  <c:v>48.8125</c:v>
                </c:pt>
                <c:pt idx="473">
                  <c:v>48.8125</c:v>
                </c:pt>
                <c:pt idx="474">
                  <c:v>48.817599999999999</c:v>
                </c:pt>
                <c:pt idx="475">
                  <c:v>48.821100000000001</c:v>
                </c:pt>
                <c:pt idx="476">
                  <c:v>48.836199999999998</c:v>
                </c:pt>
                <c:pt idx="477">
                  <c:v>48.8538</c:v>
                </c:pt>
                <c:pt idx="478">
                  <c:v>48.873800000000003</c:v>
                </c:pt>
                <c:pt idx="479">
                  <c:v>48.924500000000002</c:v>
                </c:pt>
                <c:pt idx="480">
                  <c:v>48.966200000000001</c:v>
                </c:pt>
                <c:pt idx="481">
                  <c:v>49.9255</c:v>
                </c:pt>
                <c:pt idx="482">
                  <c:v>49.982999999999997</c:v>
                </c:pt>
                <c:pt idx="483">
                  <c:v>49.987699999999997</c:v>
                </c:pt>
                <c:pt idx="484">
                  <c:v>49.987000000000002</c:v>
                </c:pt>
                <c:pt idx="485">
                  <c:v>49.989600000000003</c:v>
                </c:pt>
                <c:pt idx="486">
                  <c:v>49.9861</c:v>
                </c:pt>
                <c:pt idx="487">
                  <c:v>49.985599999999998</c:v>
                </c:pt>
                <c:pt idx="488">
                  <c:v>49.989699999999999</c:v>
                </c:pt>
                <c:pt idx="489">
                  <c:v>49.986699999999999</c:v>
                </c:pt>
                <c:pt idx="490">
                  <c:v>49.984000000000002</c:v>
                </c:pt>
                <c:pt idx="491">
                  <c:v>49.983699999999999</c:v>
                </c:pt>
                <c:pt idx="492">
                  <c:v>49.988999999999997</c:v>
                </c:pt>
                <c:pt idx="493">
                  <c:v>49.993200000000002</c:v>
                </c:pt>
                <c:pt idx="494">
                  <c:v>49.989199999999997</c:v>
                </c:pt>
                <c:pt idx="495">
                  <c:v>49.988599999999998</c:v>
                </c:pt>
                <c:pt idx="496">
                  <c:v>49.989400000000003</c:v>
                </c:pt>
                <c:pt idx="497">
                  <c:v>49.9863</c:v>
                </c:pt>
                <c:pt idx="498">
                  <c:v>49.9876</c:v>
                </c:pt>
                <c:pt idx="499">
                  <c:v>49.986899999999999</c:v>
                </c:pt>
                <c:pt idx="500">
                  <c:v>49.989699999999999</c:v>
                </c:pt>
                <c:pt idx="501">
                  <c:v>49.989899999999999</c:v>
                </c:pt>
                <c:pt idx="502">
                  <c:v>49.9925</c:v>
                </c:pt>
                <c:pt idx="503">
                  <c:v>49.990099999999998</c:v>
                </c:pt>
                <c:pt idx="504">
                  <c:v>49.990499999999997</c:v>
                </c:pt>
                <c:pt idx="505">
                  <c:v>49.984400000000001</c:v>
                </c:pt>
                <c:pt idx="506">
                  <c:v>49.983899999999998</c:v>
                </c:pt>
                <c:pt idx="507">
                  <c:v>49.989199999999997</c:v>
                </c:pt>
                <c:pt idx="508">
                  <c:v>49.9893</c:v>
                </c:pt>
                <c:pt idx="509">
                  <c:v>49.987699999999997</c:v>
                </c:pt>
                <c:pt idx="510">
                  <c:v>49.991900000000001</c:v>
                </c:pt>
                <c:pt idx="511">
                  <c:v>49.987299999999998</c:v>
                </c:pt>
                <c:pt idx="512">
                  <c:v>49.991</c:v>
                </c:pt>
                <c:pt idx="513">
                  <c:v>49.986199999999997</c:v>
                </c:pt>
                <c:pt idx="514">
                  <c:v>49.988300000000002</c:v>
                </c:pt>
                <c:pt idx="515">
                  <c:v>49.987000000000002</c:v>
                </c:pt>
                <c:pt idx="516">
                  <c:v>49.988199999999999</c:v>
                </c:pt>
                <c:pt idx="517">
                  <c:v>49.988700000000001</c:v>
                </c:pt>
                <c:pt idx="518">
                  <c:v>49.988799999999998</c:v>
                </c:pt>
                <c:pt idx="519">
                  <c:v>49.986600000000003</c:v>
                </c:pt>
                <c:pt idx="520">
                  <c:v>49.990200000000002</c:v>
                </c:pt>
                <c:pt idx="521">
                  <c:v>49.990400000000001</c:v>
                </c:pt>
                <c:pt idx="522">
                  <c:v>49.896099999999997</c:v>
                </c:pt>
                <c:pt idx="523">
                  <c:v>49.794600000000003</c:v>
                </c:pt>
                <c:pt idx="524">
                  <c:v>49.689399999999999</c:v>
                </c:pt>
                <c:pt idx="525">
                  <c:v>49.581299999999999</c:v>
                </c:pt>
                <c:pt idx="526">
                  <c:v>49.482199999999999</c:v>
                </c:pt>
                <c:pt idx="527">
                  <c:v>49.38</c:v>
                </c:pt>
                <c:pt idx="528">
                  <c:v>49.272399999999998</c:v>
                </c:pt>
                <c:pt idx="529">
                  <c:v>49.1693</c:v>
                </c:pt>
                <c:pt idx="530">
                  <c:v>49.064700000000002</c:v>
                </c:pt>
                <c:pt idx="531">
                  <c:v>48.959699999999998</c:v>
                </c:pt>
                <c:pt idx="532">
                  <c:v>48.855899999999998</c:v>
                </c:pt>
                <c:pt idx="533">
                  <c:v>48.750599999999999</c:v>
                </c:pt>
                <c:pt idx="534">
                  <c:v>48.65</c:v>
                </c:pt>
                <c:pt idx="535">
                  <c:v>48.542099999999998</c:v>
                </c:pt>
                <c:pt idx="536">
                  <c:v>48.440100000000001</c:v>
                </c:pt>
                <c:pt idx="537">
                  <c:v>48.336500000000001</c:v>
                </c:pt>
                <c:pt idx="538">
                  <c:v>48.229700000000001</c:v>
                </c:pt>
                <c:pt idx="539">
                  <c:v>48.1233</c:v>
                </c:pt>
                <c:pt idx="540">
                  <c:v>48.019199999999998</c:v>
                </c:pt>
                <c:pt idx="541">
                  <c:v>47.9163</c:v>
                </c:pt>
                <c:pt idx="542">
                  <c:v>47.814300000000003</c:v>
                </c:pt>
                <c:pt idx="543">
                  <c:v>47.712200000000003</c:v>
                </c:pt>
                <c:pt idx="544">
                  <c:v>47.601399999999998</c:v>
                </c:pt>
                <c:pt idx="545">
                  <c:v>47.505800000000001</c:v>
                </c:pt>
                <c:pt idx="546">
                  <c:v>47.396599999999999</c:v>
                </c:pt>
                <c:pt idx="547">
                  <c:v>47.285400000000003</c:v>
                </c:pt>
                <c:pt idx="548">
                  <c:v>47.179299999999998</c:v>
                </c:pt>
                <c:pt idx="549">
                  <c:v>47.080199999999998</c:v>
                </c:pt>
                <c:pt idx="550">
                  <c:v>46.9754</c:v>
                </c:pt>
                <c:pt idx="551">
                  <c:v>46.873699999999999</c:v>
                </c:pt>
                <c:pt idx="552">
                  <c:v>46.7699</c:v>
                </c:pt>
                <c:pt idx="553">
                  <c:v>46.666400000000003</c:v>
                </c:pt>
                <c:pt idx="554">
                  <c:v>46.558900000000001</c:v>
                </c:pt>
                <c:pt idx="555">
                  <c:v>46.4557</c:v>
                </c:pt>
                <c:pt idx="556">
                  <c:v>46.348599999999998</c:v>
                </c:pt>
                <c:pt idx="557">
                  <c:v>46.248399999999997</c:v>
                </c:pt>
                <c:pt idx="558">
                  <c:v>46.145899999999997</c:v>
                </c:pt>
                <c:pt idx="559">
                  <c:v>46.039700000000003</c:v>
                </c:pt>
                <c:pt idx="560">
                  <c:v>45.938299999999998</c:v>
                </c:pt>
                <c:pt idx="561">
                  <c:v>45.835099999999997</c:v>
                </c:pt>
                <c:pt idx="562">
                  <c:v>45.732300000000002</c:v>
                </c:pt>
                <c:pt idx="563">
                  <c:v>45.623699999999999</c:v>
                </c:pt>
                <c:pt idx="564">
                  <c:v>45.511299999999999</c:v>
                </c:pt>
                <c:pt idx="565">
                  <c:v>45.414900000000003</c:v>
                </c:pt>
                <c:pt idx="566">
                  <c:v>45.311399999999999</c:v>
                </c:pt>
                <c:pt idx="567">
                  <c:v>45.2044</c:v>
                </c:pt>
                <c:pt idx="568">
                  <c:v>45.095599999999997</c:v>
                </c:pt>
                <c:pt idx="569">
                  <c:v>44.992400000000004</c:v>
                </c:pt>
                <c:pt idx="570">
                  <c:v>44.890799999999999</c:v>
                </c:pt>
                <c:pt idx="571">
                  <c:v>44.785899999999998</c:v>
                </c:pt>
                <c:pt idx="572">
                  <c:v>44.680799999999998</c:v>
                </c:pt>
                <c:pt idx="573">
                  <c:v>44.577100000000002</c:v>
                </c:pt>
                <c:pt idx="574">
                  <c:v>44.4771</c:v>
                </c:pt>
                <c:pt idx="575">
                  <c:v>44.3705</c:v>
                </c:pt>
                <c:pt idx="576">
                  <c:v>44.263300000000001</c:v>
                </c:pt>
                <c:pt idx="577">
                  <c:v>44.158000000000001</c:v>
                </c:pt>
                <c:pt idx="578">
                  <c:v>44.060200000000002</c:v>
                </c:pt>
                <c:pt idx="579">
                  <c:v>43.951599999999999</c:v>
                </c:pt>
                <c:pt idx="580">
                  <c:v>43.847499999999997</c:v>
                </c:pt>
                <c:pt idx="581">
                  <c:v>43.741799999999998</c:v>
                </c:pt>
                <c:pt idx="582">
                  <c:v>43.634399999999999</c:v>
                </c:pt>
                <c:pt idx="583">
                  <c:v>43.534100000000002</c:v>
                </c:pt>
                <c:pt idx="584">
                  <c:v>43.432200000000002</c:v>
                </c:pt>
                <c:pt idx="585">
                  <c:v>43.328000000000003</c:v>
                </c:pt>
                <c:pt idx="586">
                  <c:v>43.224600000000002</c:v>
                </c:pt>
                <c:pt idx="587">
                  <c:v>43.1218</c:v>
                </c:pt>
                <c:pt idx="588">
                  <c:v>43.009300000000003</c:v>
                </c:pt>
                <c:pt idx="589">
                  <c:v>42.909599999999998</c:v>
                </c:pt>
                <c:pt idx="590">
                  <c:v>42.8033</c:v>
                </c:pt>
                <c:pt idx="591">
                  <c:v>42.6982</c:v>
                </c:pt>
                <c:pt idx="592">
                  <c:v>42.593299999999999</c:v>
                </c:pt>
                <c:pt idx="593">
                  <c:v>42.493499999999997</c:v>
                </c:pt>
                <c:pt idx="594">
                  <c:v>42.390300000000003</c:v>
                </c:pt>
                <c:pt idx="595">
                  <c:v>42.284700000000001</c:v>
                </c:pt>
                <c:pt idx="596">
                  <c:v>42.174700000000001</c:v>
                </c:pt>
                <c:pt idx="597">
                  <c:v>42.072299999999998</c:v>
                </c:pt>
                <c:pt idx="598">
                  <c:v>41.9664</c:v>
                </c:pt>
                <c:pt idx="599">
                  <c:v>41.861199999999997</c:v>
                </c:pt>
                <c:pt idx="600">
                  <c:v>41.758699999999997</c:v>
                </c:pt>
                <c:pt idx="601">
                  <c:v>41.6584</c:v>
                </c:pt>
                <c:pt idx="602">
                  <c:v>41.5535</c:v>
                </c:pt>
                <c:pt idx="603">
                  <c:v>41.445399999999999</c:v>
                </c:pt>
                <c:pt idx="604">
                  <c:v>41.345700000000001</c:v>
                </c:pt>
                <c:pt idx="605">
                  <c:v>41.242600000000003</c:v>
                </c:pt>
                <c:pt idx="606">
                  <c:v>41.133800000000001</c:v>
                </c:pt>
                <c:pt idx="607">
                  <c:v>41.027500000000003</c:v>
                </c:pt>
                <c:pt idx="608">
                  <c:v>40.923400000000001</c:v>
                </c:pt>
                <c:pt idx="609">
                  <c:v>40.824199999999998</c:v>
                </c:pt>
                <c:pt idx="610">
                  <c:v>40.722799999999999</c:v>
                </c:pt>
                <c:pt idx="611">
                  <c:v>40.613700000000001</c:v>
                </c:pt>
                <c:pt idx="612">
                  <c:v>40.5107</c:v>
                </c:pt>
                <c:pt idx="613">
                  <c:v>40.399900000000002</c:v>
                </c:pt>
                <c:pt idx="614">
                  <c:v>40.2971</c:v>
                </c:pt>
                <c:pt idx="615">
                  <c:v>40.194499999999998</c:v>
                </c:pt>
                <c:pt idx="616">
                  <c:v>40.093000000000004</c:v>
                </c:pt>
                <c:pt idx="617">
                  <c:v>39.99</c:v>
                </c:pt>
                <c:pt idx="618">
                  <c:v>39.883200000000002</c:v>
                </c:pt>
                <c:pt idx="619">
                  <c:v>39.778199999999998</c:v>
                </c:pt>
                <c:pt idx="620">
                  <c:v>39.673400000000001</c:v>
                </c:pt>
                <c:pt idx="621">
                  <c:v>39.566400000000002</c:v>
                </c:pt>
                <c:pt idx="622">
                  <c:v>39.462200000000003</c:v>
                </c:pt>
                <c:pt idx="623">
                  <c:v>39.360100000000003</c:v>
                </c:pt>
                <c:pt idx="624">
                  <c:v>39.261600000000001</c:v>
                </c:pt>
                <c:pt idx="625">
                  <c:v>39.1524</c:v>
                </c:pt>
                <c:pt idx="626">
                  <c:v>39.045299999999997</c:v>
                </c:pt>
                <c:pt idx="627">
                  <c:v>38.9437</c:v>
                </c:pt>
                <c:pt idx="628">
                  <c:v>38.835099999999997</c:v>
                </c:pt>
                <c:pt idx="629">
                  <c:v>38.735999999999997</c:v>
                </c:pt>
                <c:pt idx="630">
                  <c:v>38.634099999999997</c:v>
                </c:pt>
                <c:pt idx="631">
                  <c:v>38.524900000000002</c:v>
                </c:pt>
                <c:pt idx="632">
                  <c:v>38.422699999999999</c:v>
                </c:pt>
                <c:pt idx="633">
                  <c:v>38.3125</c:v>
                </c:pt>
                <c:pt idx="634">
                  <c:v>38.210799999999999</c:v>
                </c:pt>
                <c:pt idx="635">
                  <c:v>38.103099999999998</c:v>
                </c:pt>
                <c:pt idx="636">
                  <c:v>38.003999999999998</c:v>
                </c:pt>
                <c:pt idx="637">
                  <c:v>37.895899999999997</c:v>
                </c:pt>
                <c:pt idx="638">
                  <c:v>37.792999999999999</c:v>
                </c:pt>
                <c:pt idx="639">
                  <c:v>37.692900000000002</c:v>
                </c:pt>
                <c:pt idx="640">
                  <c:v>37.587400000000002</c:v>
                </c:pt>
                <c:pt idx="641">
                  <c:v>37.480600000000003</c:v>
                </c:pt>
                <c:pt idx="642">
                  <c:v>37.377000000000002</c:v>
                </c:pt>
                <c:pt idx="643">
                  <c:v>37.2727</c:v>
                </c:pt>
                <c:pt idx="644">
                  <c:v>37.170400000000001</c:v>
                </c:pt>
                <c:pt idx="645">
                  <c:v>37.067700000000002</c:v>
                </c:pt>
                <c:pt idx="646">
                  <c:v>36.962000000000003</c:v>
                </c:pt>
                <c:pt idx="647">
                  <c:v>36.856400000000001</c:v>
                </c:pt>
                <c:pt idx="648">
                  <c:v>36.753900000000002</c:v>
                </c:pt>
                <c:pt idx="649">
                  <c:v>36.6449</c:v>
                </c:pt>
                <c:pt idx="650">
                  <c:v>36.5428</c:v>
                </c:pt>
                <c:pt idx="651">
                  <c:v>36.439300000000003</c:v>
                </c:pt>
                <c:pt idx="652">
                  <c:v>36.3339</c:v>
                </c:pt>
                <c:pt idx="653">
                  <c:v>36.2318</c:v>
                </c:pt>
                <c:pt idx="654">
                  <c:v>36.122500000000002</c:v>
                </c:pt>
                <c:pt idx="655">
                  <c:v>36.025199999999998</c:v>
                </c:pt>
                <c:pt idx="656">
                  <c:v>35.917999999999999</c:v>
                </c:pt>
                <c:pt idx="657">
                  <c:v>35.814500000000002</c:v>
                </c:pt>
                <c:pt idx="658">
                  <c:v>35.712600000000002</c:v>
                </c:pt>
                <c:pt idx="659">
                  <c:v>35.605200000000004</c:v>
                </c:pt>
                <c:pt idx="660">
                  <c:v>35.4998</c:v>
                </c:pt>
                <c:pt idx="661">
                  <c:v>35.395400000000002</c:v>
                </c:pt>
                <c:pt idx="662">
                  <c:v>35.288800000000002</c:v>
                </c:pt>
                <c:pt idx="663">
                  <c:v>35.187100000000001</c:v>
                </c:pt>
                <c:pt idx="664">
                  <c:v>35.080100000000002</c:v>
                </c:pt>
                <c:pt idx="665">
                  <c:v>34.973100000000002</c:v>
                </c:pt>
                <c:pt idx="666">
                  <c:v>34.877000000000002</c:v>
                </c:pt>
                <c:pt idx="667">
                  <c:v>34.767899999999997</c:v>
                </c:pt>
                <c:pt idx="668">
                  <c:v>34.667999999999999</c:v>
                </c:pt>
                <c:pt idx="669">
                  <c:v>34.562100000000001</c:v>
                </c:pt>
                <c:pt idx="670">
                  <c:v>34.449300000000001</c:v>
                </c:pt>
                <c:pt idx="671">
                  <c:v>34.3506</c:v>
                </c:pt>
                <c:pt idx="672">
                  <c:v>34.248699999999999</c:v>
                </c:pt>
                <c:pt idx="673">
                  <c:v>34.143099999999997</c:v>
                </c:pt>
                <c:pt idx="674">
                  <c:v>34.037999999999997</c:v>
                </c:pt>
                <c:pt idx="675">
                  <c:v>33.935299999999998</c:v>
                </c:pt>
                <c:pt idx="676">
                  <c:v>33.835500000000003</c:v>
                </c:pt>
                <c:pt idx="677">
                  <c:v>33.721800000000002</c:v>
                </c:pt>
                <c:pt idx="678">
                  <c:v>33.621600000000001</c:v>
                </c:pt>
                <c:pt idx="679">
                  <c:v>33.520899999999997</c:v>
                </c:pt>
                <c:pt idx="680">
                  <c:v>33.4131</c:v>
                </c:pt>
                <c:pt idx="681">
                  <c:v>33.308799999999998</c:v>
                </c:pt>
                <c:pt idx="682">
                  <c:v>33.201300000000003</c:v>
                </c:pt>
                <c:pt idx="683">
                  <c:v>33.102800000000002</c:v>
                </c:pt>
                <c:pt idx="684">
                  <c:v>32.994199999999999</c:v>
                </c:pt>
                <c:pt idx="685">
                  <c:v>32.889800000000001</c:v>
                </c:pt>
                <c:pt idx="686">
                  <c:v>32.7883</c:v>
                </c:pt>
                <c:pt idx="687">
                  <c:v>32.682099999999998</c:v>
                </c:pt>
                <c:pt idx="688">
                  <c:v>32.580599999999997</c:v>
                </c:pt>
                <c:pt idx="689">
                  <c:v>32.476799999999997</c:v>
                </c:pt>
                <c:pt idx="690">
                  <c:v>32.371499999999997</c:v>
                </c:pt>
                <c:pt idx="691">
                  <c:v>32.270699999999998</c:v>
                </c:pt>
                <c:pt idx="692">
                  <c:v>32.156100000000002</c:v>
                </c:pt>
                <c:pt idx="693">
                  <c:v>32.057099999999998</c:v>
                </c:pt>
                <c:pt idx="694">
                  <c:v>31.949000000000002</c:v>
                </c:pt>
                <c:pt idx="695">
                  <c:v>31.8477</c:v>
                </c:pt>
                <c:pt idx="696">
                  <c:v>31.7438</c:v>
                </c:pt>
                <c:pt idx="697">
                  <c:v>31.6404</c:v>
                </c:pt>
                <c:pt idx="698">
                  <c:v>31.536899999999999</c:v>
                </c:pt>
                <c:pt idx="699">
                  <c:v>31.430800000000001</c:v>
                </c:pt>
                <c:pt idx="700">
                  <c:v>31.329799999999999</c:v>
                </c:pt>
                <c:pt idx="701">
                  <c:v>31.217400000000001</c:v>
                </c:pt>
                <c:pt idx="702">
                  <c:v>31.115600000000001</c:v>
                </c:pt>
                <c:pt idx="703">
                  <c:v>31.0124</c:v>
                </c:pt>
                <c:pt idx="704">
                  <c:v>30.911300000000001</c:v>
                </c:pt>
                <c:pt idx="705">
                  <c:v>30.801400000000001</c:v>
                </c:pt>
                <c:pt idx="706">
                  <c:v>30.6952</c:v>
                </c:pt>
                <c:pt idx="707">
                  <c:v>30.599799999999998</c:v>
                </c:pt>
                <c:pt idx="708">
                  <c:v>30.488800000000001</c:v>
                </c:pt>
                <c:pt idx="709">
                  <c:v>30.386500000000002</c:v>
                </c:pt>
                <c:pt idx="710">
                  <c:v>30.283200000000001</c:v>
                </c:pt>
                <c:pt idx="711">
                  <c:v>30.1785</c:v>
                </c:pt>
                <c:pt idx="712">
                  <c:v>30.077999999999999</c:v>
                </c:pt>
                <c:pt idx="713">
                  <c:v>29.971399999999999</c:v>
                </c:pt>
                <c:pt idx="714">
                  <c:v>29.865300000000001</c:v>
                </c:pt>
                <c:pt idx="715">
                  <c:v>29.761800000000001</c:v>
                </c:pt>
                <c:pt idx="716">
                  <c:v>29.657699999999998</c:v>
                </c:pt>
                <c:pt idx="717">
                  <c:v>29.5532</c:v>
                </c:pt>
                <c:pt idx="718">
                  <c:v>29.449300000000001</c:v>
                </c:pt>
                <c:pt idx="719">
                  <c:v>29.3445</c:v>
                </c:pt>
                <c:pt idx="720">
                  <c:v>29.2407</c:v>
                </c:pt>
                <c:pt idx="721">
                  <c:v>29.1326</c:v>
                </c:pt>
                <c:pt idx="722">
                  <c:v>29.033300000000001</c:v>
                </c:pt>
                <c:pt idx="723">
                  <c:v>28.925000000000001</c:v>
                </c:pt>
                <c:pt idx="724">
                  <c:v>28.82</c:v>
                </c:pt>
                <c:pt idx="725">
                  <c:v>28.720500000000001</c:v>
                </c:pt>
                <c:pt idx="726">
                  <c:v>28.617000000000001</c:v>
                </c:pt>
                <c:pt idx="727">
                  <c:v>28.511900000000001</c:v>
                </c:pt>
                <c:pt idx="728">
                  <c:v>28.403500000000001</c:v>
                </c:pt>
                <c:pt idx="729">
                  <c:v>28.2988</c:v>
                </c:pt>
                <c:pt idx="730">
                  <c:v>28.1935</c:v>
                </c:pt>
                <c:pt idx="731">
                  <c:v>28.088200000000001</c:v>
                </c:pt>
                <c:pt idx="732">
                  <c:v>27.989599999999999</c:v>
                </c:pt>
                <c:pt idx="733">
                  <c:v>27.881900000000002</c:v>
                </c:pt>
                <c:pt idx="734">
                  <c:v>27.776299999999999</c:v>
                </c:pt>
                <c:pt idx="735">
                  <c:v>27.677499999999998</c:v>
                </c:pt>
                <c:pt idx="736">
                  <c:v>27.569800000000001</c:v>
                </c:pt>
                <c:pt idx="737">
                  <c:v>27.464400000000001</c:v>
                </c:pt>
                <c:pt idx="738">
                  <c:v>27.3569</c:v>
                </c:pt>
                <c:pt idx="739">
                  <c:v>27.256399999999999</c:v>
                </c:pt>
                <c:pt idx="740">
                  <c:v>27.154199999999999</c:v>
                </c:pt>
                <c:pt idx="741">
                  <c:v>27.044599999999999</c:v>
                </c:pt>
                <c:pt idx="742">
                  <c:v>26.947700000000001</c:v>
                </c:pt>
                <c:pt idx="743">
                  <c:v>26.842500000000001</c:v>
                </c:pt>
                <c:pt idx="744">
                  <c:v>26.730499999999999</c:v>
                </c:pt>
                <c:pt idx="745">
                  <c:v>26.629799999999999</c:v>
                </c:pt>
                <c:pt idx="746">
                  <c:v>26.526499999999999</c:v>
                </c:pt>
                <c:pt idx="747">
                  <c:v>26.419</c:v>
                </c:pt>
                <c:pt idx="748">
                  <c:v>26.3187</c:v>
                </c:pt>
                <c:pt idx="749">
                  <c:v>26.218299999999999</c:v>
                </c:pt>
                <c:pt idx="750">
                  <c:v>26.109300000000001</c:v>
                </c:pt>
                <c:pt idx="751">
                  <c:v>26.010300000000001</c:v>
                </c:pt>
                <c:pt idx="752">
                  <c:v>25.898</c:v>
                </c:pt>
                <c:pt idx="753">
                  <c:v>25.794499999999999</c:v>
                </c:pt>
                <c:pt idx="754">
                  <c:v>25.692799999999998</c:v>
                </c:pt>
                <c:pt idx="755">
                  <c:v>25.588100000000001</c:v>
                </c:pt>
                <c:pt idx="756">
                  <c:v>25.480599999999999</c:v>
                </c:pt>
                <c:pt idx="757">
                  <c:v>25.379100000000001</c:v>
                </c:pt>
                <c:pt idx="758">
                  <c:v>25.2776</c:v>
                </c:pt>
                <c:pt idx="759">
                  <c:v>25.169699999999999</c:v>
                </c:pt>
                <c:pt idx="760">
                  <c:v>25.065899999999999</c:v>
                </c:pt>
                <c:pt idx="761">
                  <c:v>24.962599999999998</c:v>
                </c:pt>
                <c:pt idx="762">
                  <c:v>24.8537</c:v>
                </c:pt>
                <c:pt idx="763">
                  <c:v>24.7545</c:v>
                </c:pt>
                <c:pt idx="764">
                  <c:v>24.648399999999999</c:v>
                </c:pt>
                <c:pt idx="765">
                  <c:v>24.543800000000001</c:v>
                </c:pt>
                <c:pt idx="766">
                  <c:v>24.439</c:v>
                </c:pt>
                <c:pt idx="767">
                  <c:v>24.335999999999999</c:v>
                </c:pt>
                <c:pt idx="768">
                  <c:v>24.2302</c:v>
                </c:pt>
                <c:pt idx="769">
                  <c:v>24.126000000000001</c:v>
                </c:pt>
                <c:pt idx="770">
                  <c:v>24.025700000000001</c:v>
                </c:pt>
                <c:pt idx="771">
                  <c:v>23.919699999999999</c:v>
                </c:pt>
                <c:pt idx="772">
                  <c:v>23.8156</c:v>
                </c:pt>
                <c:pt idx="773">
                  <c:v>23.7149</c:v>
                </c:pt>
                <c:pt idx="774">
                  <c:v>23.604500000000002</c:v>
                </c:pt>
                <c:pt idx="775">
                  <c:v>23.499300000000002</c:v>
                </c:pt>
                <c:pt idx="776">
                  <c:v>23.3934</c:v>
                </c:pt>
                <c:pt idx="777">
                  <c:v>23.293500000000002</c:v>
                </c:pt>
                <c:pt idx="778">
                  <c:v>23.182600000000001</c:v>
                </c:pt>
                <c:pt idx="779">
                  <c:v>23.083500000000001</c:v>
                </c:pt>
                <c:pt idx="780">
                  <c:v>22.978000000000002</c:v>
                </c:pt>
                <c:pt idx="781">
                  <c:v>22.878599999999999</c:v>
                </c:pt>
                <c:pt idx="782">
                  <c:v>22.769200000000001</c:v>
                </c:pt>
                <c:pt idx="783">
                  <c:v>22.665800000000001</c:v>
                </c:pt>
                <c:pt idx="784">
                  <c:v>22.5627</c:v>
                </c:pt>
                <c:pt idx="785">
                  <c:v>22.4575</c:v>
                </c:pt>
                <c:pt idx="786">
                  <c:v>22.357900000000001</c:v>
                </c:pt>
                <c:pt idx="787">
                  <c:v>22.249500000000001</c:v>
                </c:pt>
                <c:pt idx="788">
                  <c:v>22.144300000000001</c:v>
                </c:pt>
                <c:pt idx="789">
                  <c:v>22.038</c:v>
                </c:pt>
                <c:pt idx="790">
                  <c:v>21.933</c:v>
                </c:pt>
                <c:pt idx="791">
                  <c:v>21.832599999999999</c:v>
                </c:pt>
                <c:pt idx="792">
                  <c:v>21.729199999999999</c:v>
                </c:pt>
                <c:pt idx="793">
                  <c:v>21.6234</c:v>
                </c:pt>
                <c:pt idx="794">
                  <c:v>21.5169</c:v>
                </c:pt>
                <c:pt idx="795">
                  <c:v>21.415600000000001</c:v>
                </c:pt>
                <c:pt idx="796">
                  <c:v>21.3123</c:v>
                </c:pt>
                <c:pt idx="797">
                  <c:v>21.205300000000001</c:v>
                </c:pt>
                <c:pt idx="798">
                  <c:v>21.1</c:v>
                </c:pt>
                <c:pt idx="799">
                  <c:v>20.995899999999999</c:v>
                </c:pt>
                <c:pt idx="800">
                  <c:v>20.8932</c:v>
                </c:pt>
                <c:pt idx="801">
                  <c:v>20.784400000000002</c:v>
                </c:pt>
                <c:pt idx="802">
                  <c:v>20.6846</c:v>
                </c:pt>
                <c:pt idx="803">
                  <c:v>20.581199999999999</c:v>
                </c:pt>
                <c:pt idx="804">
                  <c:v>20.4757</c:v>
                </c:pt>
                <c:pt idx="805">
                  <c:v>20.3704</c:v>
                </c:pt>
                <c:pt idx="806">
                  <c:v>20.265599999999999</c:v>
                </c:pt>
                <c:pt idx="807">
                  <c:v>20.163599999999999</c:v>
                </c:pt>
                <c:pt idx="808">
                  <c:v>20.055599999999998</c:v>
                </c:pt>
                <c:pt idx="809">
                  <c:v>19.950399999999998</c:v>
                </c:pt>
                <c:pt idx="810">
                  <c:v>19.8505</c:v>
                </c:pt>
                <c:pt idx="811">
                  <c:v>19.743200000000002</c:v>
                </c:pt>
                <c:pt idx="812">
                  <c:v>19.6419</c:v>
                </c:pt>
                <c:pt idx="813">
                  <c:v>19.535799999999998</c:v>
                </c:pt>
                <c:pt idx="814">
                  <c:v>19.43</c:v>
                </c:pt>
                <c:pt idx="815">
                  <c:v>19.323499999999999</c:v>
                </c:pt>
                <c:pt idx="816">
                  <c:v>19.222200000000001</c:v>
                </c:pt>
                <c:pt idx="817">
                  <c:v>19.1128</c:v>
                </c:pt>
                <c:pt idx="818">
                  <c:v>19.014399999999998</c:v>
                </c:pt>
                <c:pt idx="819">
                  <c:v>18.909500000000001</c:v>
                </c:pt>
                <c:pt idx="820">
                  <c:v>18.806699999999999</c:v>
                </c:pt>
                <c:pt idx="821">
                  <c:v>18.704999999999998</c:v>
                </c:pt>
                <c:pt idx="822">
                  <c:v>18.600899999999999</c:v>
                </c:pt>
                <c:pt idx="823">
                  <c:v>18.4892</c:v>
                </c:pt>
                <c:pt idx="824">
                  <c:v>18.384499999999999</c:v>
                </c:pt>
                <c:pt idx="825">
                  <c:v>18.285599999999999</c:v>
                </c:pt>
                <c:pt idx="826">
                  <c:v>18.185300000000002</c:v>
                </c:pt>
                <c:pt idx="827">
                  <c:v>18.078700000000001</c:v>
                </c:pt>
                <c:pt idx="828">
                  <c:v>17.971599999999999</c:v>
                </c:pt>
                <c:pt idx="829">
                  <c:v>17.868200000000002</c:v>
                </c:pt>
                <c:pt idx="830">
                  <c:v>17.7605</c:v>
                </c:pt>
                <c:pt idx="831">
                  <c:v>17.657299999999999</c:v>
                </c:pt>
                <c:pt idx="832">
                  <c:v>17.558399999999999</c:v>
                </c:pt>
                <c:pt idx="833">
                  <c:v>17.449200000000001</c:v>
                </c:pt>
                <c:pt idx="834">
                  <c:v>17.348800000000001</c:v>
                </c:pt>
                <c:pt idx="835">
                  <c:v>17.2408</c:v>
                </c:pt>
                <c:pt idx="836">
                  <c:v>17.137599999999999</c:v>
                </c:pt>
                <c:pt idx="837">
                  <c:v>17.031199999999998</c:v>
                </c:pt>
                <c:pt idx="838">
                  <c:v>16.9268</c:v>
                </c:pt>
                <c:pt idx="839">
                  <c:v>16.821899999999999</c:v>
                </c:pt>
                <c:pt idx="840">
                  <c:v>16.714600000000001</c:v>
                </c:pt>
                <c:pt idx="841">
                  <c:v>16.616299999999999</c:v>
                </c:pt>
                <c:pt idx="842">
                  <c:v>16.511700000000001</c:v>
                </c:pt>
                <c:pt idx="843">
                  <c:v>16.402899999999999</c:v>
                </c:pt>
                <c:pt idx="844">
                  <c:v>16.2974</c:v>
                </c:pt>
                <c:pt idx="845">
                  <c:v>16.1951</c:v>
                </c:pt>
                <c:pt idx="846">
                  <c:v>16.090599999999998</c:v>
                </c:pt>
                <c:pt idx="847">
                  <c:v>15.985099999999999</c:v>
                </c:pt>
                <c:pt idx="848">
                  <c:v>15.887499999999999</c:v>
                </c:pt>
                <c:pt idx="849">
                  <c:v>15.7751</c:v>
                </c:pt>
                <c:pt idx="850">
                  <c:v>15.678000000000001</c:v>
                </c:pt>
                <c:pt idx="851">
                  <c:v>15.5746</c:v>
                </c:pt>
                <c:pt idx="852">
                  <c:v>15.4666</c:v>
                </c:pt>
                <c:pt idx="853">
                  <c:v>15.3589</c:v>
                </c:pt>
                <c:pt idx="854">
                  <c:v>15.2559</c:v>
                </c:pt>
                <c:pt idx="855">
                  <c:v>15.1511</c:v>
                </c:pt>
                <c:pt idx="856">
                  <c:v>15.048</c:v>
                </c:pt>
                <c:pt idx="857">
                  <c:v>14.9482</c:v>
                </c:pt>
                <c:pt idx="858">
                  <c:v>14.8453</c:v>
                </c:pt>
                <c:pt idx="859">
                  <c:v>14.7346</c:v>
                </c:pt>
                <c:pt idx="860">
                  <c:v>14.6426</c:v>
                </c:pt>
                <c:pt idx="861">
                  <c:v>14.5258</c:v>
                </c:pt>
                <c:pt idx="862">
                  <c:v>14.4215</c:v>
                </c:pt>
                <c:pt idx="863">
                  <c:v>14.3179</c:v>
                </c:pt>
                <c:pt idx="864">
                  <c:v>14.211</c:v>
                </c:pt>
                <c:pt idx="865">
                  <c:v>14.1092</c:v>
                </c:pt>
                <c:pt idx="866">
                  <c:v>14.000400000000001</c:v>
                </c:pt>
                <c:pt idx="867">
                  <c:v>13.906000000000001</c:v>
                </c:pt>
                <c:pt idx="868">
                  <c:v>13.7972</c:v>
                </c:pt>
                <c:pt idx="869">
                  <c:v>13.6896</c:v>
                </c:pt>
                <c:pt idx="870">
                  <c:v>13.5852</c:v>
                </c:pt>
                <c:pt idx="871">
                  <c:v>13.486499999999999</c:v>
                </c:pt>
                <c:pt idx="872">
                  <c:v>13.378500000000001</c:v>
                </c:pt>
                <c:pt idx="873">
                  <c:v>13.273999999999999</c:v>
                </c:pt>
                <c:pt idx="874">
                  <c:v>13.1745</c:v>
                </c:pt>
                <c:pt idx="875">
                  <c:v>13.0646</c:v>
                </c:pt>
                <c:pt idx="876">
                  <c:v>12.9617</c:v>
                </c:pt>
                <c:pt idx="877">
                  <c:v>12.8575</c:v>
                </c:pt>
                <c:pt idx="878">
                  <c:v>12.755800000000001</c:v>
                </c:pt>
                <c:pt idx="879">
                  <c:v>12.6488</c:v>
                </c:pt>
                <c:pt idx="880">
                  <c:v>12.541700000000001</c:v>
                </c:pt>
                <c:pt idx="881">
                  <c:v>12.439399999999999</c:v>
                </c:pt>
                <c:pt idx="882">
                  <c:v>12.3352</c:v>
                </c:pt>
                <c:pt idx="883">
                  <c:v>12.230499999999999</c:v>
                </c:pt>
                <c:pt idx="884">
                  <c:v>12.1279</c:v>
                </c:pt>
                <c:pt idx="885">
                  <c:v>12.022500000000001</c:v>
                </c:pt>
                <c:pt idx="886">
                  <c:v>11.9198</c:v>
                </c:pt>
                <c:pt idx="887">
                  <c:v>11.814500000000001</c:v>
                </c:pt>
                <c:pt idx="888">
                  <c:v>11.707700000000001</c:v>
                </c:pt>
                <c:pt idx="889">
                  <c:v>11.6088</c:v>
                </c:pt>
                <c:pt idx="890">
                  <c:v>11.5015</c:v>
                </c:pt>
                <c:pt idx="891">
                  <c:v>11.401899999999999</c:v>
                </c:pt>
                <c:pt idx="892">
                  <c:v>11.2936</c:v>
                </c:pt>
                <c:pt idx="893">
                  <c:v>11.190899999999999</c:v>
                </c:pt>
                <c:pt idx="894">
                  <c:v>11.080299999999999</c:v>
                </c:pt>
                <c:pt idx="895">
                  <c:v>10.981</c:v>
                </c:pt>
                <c:pt idx="896">
                  <c:v>10.869199999999999</c:v>
                </c:pt>
                <c:pt idx="897">
                  <c:v>10.7706</c:v>
                </c:pt>
                <c:pt idx="898">
                  <c:v>10.667</c:v>
                </c:pt>
                <c:pt idx="899">
                  <c:v>10.5661</c:v>
                </c:pt>
                <c:pt idx="900">
                  <c:v>10.4566</c:v>
                </c:pt>
                <c:pt idx="901">
                  <c:v>10.354100000000001</c:v>
                </c:pt>
                <c:pt idx="902">
                  <c:v>10.247999999999999</c:v>
                </c:pt>
                <c:pt idx="903">
                  <c:v>10.141500000000001</c:v>
                </c:pt>
                <c:pt idx="904">
                  <c:v>10.043200000000001</c:v>
                </c:pt>
                <c:pt idx="905">
                  <c:v>9.9377999999999993</c:v>
                </c:pt>
                <c:pt idx="906">
                  <c:v>9.8351000000000006</c:v>
                </c:pt>
                <c:pt idx="907">
                  <c:v>9.7272999999999996</c:v>
                </c:pt>
                <c:pt idx="908">
                  <c:v>9.6181999999999999</c:v>
                </c:pt>
                <c:pt idx="909">
                  <c:v>9.5208999999999993</c:v>
                </c:pt>
                <c:pt idx="910">
                  <c:v>9.4152000000000005</c:v>
                </c:pt>
                <c:pt idx="911">
                  <c:v>9.3118999999999996</c:v>
                </c:pt>
                <c:pt idx="912">
                  <c:v>9.2105999999999995</c:v>
                </c:pt>
                <c:pt idx="913">
                  <c:v>9.0993999999999993</c:v>
                </c:pt>
                <c:pt idx="914">
                  <c:v>8.9984000000000002</c:v>
                </c:pt>
                <c:pt idx="915">
                  <c:v>8.8975000000000009</c:v>
                </c:pt>
                <c:pt idx="916">
                  <c:v>8.7919999999999998</c:v>
                </c:pt>
                <c:pt idx="917">
                  <c:v>8.6797000000000004</c:v>
                </c:pt>
                <c:pt idx="918">
                  <c:v>8.5782000000000007</c:v>
                </c:pt>
                <c:pt idx="919">
                  <c:v>8.4758999999999993</c:v>
                </c:pt>
                <c:pt idx="920">
                  <c:v>8.3721999999999994</c:v>
                </c:pt>
                <c:pt idx="921">
                  <c:v>8.2674000000000003</c:v>
                </c:pt>
                <c:pt idx="922">
                  <c:v>8.1585999999999999</c:v>
                </c:pt>
                <c:pt idx="923">
                  <c:v>8.0564999999999998</c:v>
                </c:pt>
                <c:pt idx="924">
                  <c:v>7.9542000000000002</c:v>
                </c:pt>
                <c:pt idx="925">
                  <c:v>7.8460000000000001</c:v>
                </c:pt>
                <c:pt idx="926">
                  <c:v>7.7451999999999996</c:v>
                </c:pt>
                <c:pt idx="927">
                  <c:v>7.6413000000000002</c:v>
                </c:pt>
                <c:pt idx="928">
                  <c:v>7.54</c:v>
                </c:pt>
                <c:pt idx="929">
                  <c:v>7.4290000000000003</c:v>
                </c:pt>
                <c:pt idx="930">
                  <c:v>7.3335999999999997</c:v>
                </c:pt>
                <c:pt idx="931">
                  <c:v>7.2202999999999999</c:v>
                </c:pt>
                <c:pt idx="932">
                  <c:v>7.1245000000000003</c:v>
                </c:pt>
                <c:pt idx="933">
                  <c:v>7.0118999999999998</c:v>
                </c:pt>
                <c:pt idx="934">
                  <c:v>6.9077000000000002</c:v>
                </c:pt>
                <c:pt idx="935">
                  <c:v>6.8053999999999997</c:v>
                </c:pt>
                <c:pt idx="936">
                  <c:v>6.7039</c:v>
                </c:pt>
                <c:pt idx="937">
                  <c:v>6.5994999999999999</c:v>
                </c:pt>
                <c:pt idx="938">
                  <c:v>6.4976000000000003</c:v>
                </c:pt>
                <c:pt idx="939">
                  <c:v>6.3865999999999996</c:v>
                </c:pt>
                <c:pt idx="940">
                  <c:v>6.2827999999999999</c:v>
                </c:pt>
                <c:pt idx="941">
                  <c:v>6.1856999999999998</c:v>
                </c:pt>
                <c:pt idx="942">
                  <c:v>6.0791000000000004</c:v>
                </c:pt>
                <c:pt idx="943">
                  <c:v>5.9679000000000002</c:v>
                </c:pt>
                <c:pt idx="944">
                  <c:v>5.8722000000000003</c:v>
                </c:pt>
                <c:pt idx="945">
                  <c:v>5.7653999999999996</c:v>
                </c:pt>
                <c:pt idx="946">
                  <c:v>5.6592000000000002</c:v>
                </c:pt>
                <c:pt idx="947">
                  <c:v>5.5552999999999999</c:v>
                </c:pt>
                <c:pt idx="948">
                  <c:v>5.4538000000000002</c:v>
                </c:pt>
                <c:pt idx="949">
                  <c:v>5.3478000000000003</c:v>
                </c:pt>
                <c:pt idx="950">
                  <c:v>5.2413999999999996</c:v>
                </c:pt>
                <c:pt idx="951">
                  <c:v>5.1375000000000002</c:v>
                </c:pt>
                <c:pt idx="952">
                  <c:v>5.0343</c:v>
                </c:pt>
                <c:pt idx="953">
                  <c:v>4.9257</c:v>
                </c:pt>
                <c:pt idx="954">
                  <c:v>4.8235000000000001</c:v>
                </c:pt>
                <c:pt idx="955">
                  <c:v>4.7218</c:v>
                </c:pt>
                <c:pt idx="956">
                  <c:v>4.6199000000000003</c:v>
                </c:pt>
                <c:pt idx="957">
                  <c:v>4.5132000000000003</c:v>
                </c:pt>
                <c:pt idx="958">
                  <c:v>4.4055999999999997</c:v>
                </c:pt>
                <c:pt idx="959">
                  <c:v>4.3030999999999997</c:v>
                </c:pt>
                <c:pt idx="960">
                  <c:v>4.2019000000000002</c:v>
                </c:pt>
                <c:pt idx="961">
                  <c:v>4.0944000000000003</c:v>
                </c:pt>
                <c:pt idx="962">
                  <c:v>3.9904999999999999</c:v>
                </c:pt>
                <c:pt idx="963">
                  <c:v>3.8908999999999998</c:v>
                </c:pt>
                <c:pt idx="964">
                  <c:v>3.7804000000000002</c:v>
                </c:pt>
                <c:pt idx="965">
                  <c:v>3.6772</c:v>
                </c:pt>
                <c:pt idx="966">
                  <c:v>3.5750000000000002</c:v>
                </c:pt>
                <c:pt idx="967">
                  <c:v>3.4670000000000001</c:v>
                </c:pt>
                <c:pt idx="968">
                  <c:v>3.3599000000000001</c:v>
                </c:pt>
                <c:pt idx="969">
                  <c:v>3.2627999999999999</c:v>
                </c:pt>
                <c:pt idx="970">
                  <c:v>3.1534</c:v>
                </c:pt>
                <c:pt idx="971">
                  <c:v>3.0512999999999999</c:v>
                </c:pt>
                <c:pt idx="972">
                  <c:v>2.9514</c:v>
                </c:pt>
                <c:pt idx="973">
                  <c:v>2.8445999999999998</c:v>
                </c:pt>
                <c:pt idx="974">
                  <c:v>2.7347000000000001</c:v>
                </c:pt>
                <c:pt idx="975">
                  <c:v>2.6337000000000002</c:v>
                </c:pt>
                <c:pt idx="976">
                  <c:v>2.5285000000000002</c:v>
                </c:pt>
                <c:pt idx="977">
                  <c:v>2.4300000000000002</c:v>
                </c:pt>
                <c:pt idx="978">
                  <c:v>2.3209</c:v>
                </c:pt>
                <c:pt idx="979">
                  <c:v>2.2195</c:v>
                </c:pt>
                <c:pt idx="980">
                  <c:v>2.1124999999999998</c:v>
                </c:pt>
                <c:pt idx="981">
                  <c:v>2.0047000000000001</c:v>
                </c:pt>
                <c:pt idx="982">
                  <c:v>1.9035</c:v>
                </c:pt>
                <c:pt idx="983">
                  <c:v>1.7959000000000001</c:v>
                </c:pt>
                <c:pt idx="984">
                  <c:v>1.6942999999999999</c:v>
                </c:pt>
                <c:pt idx="985">
                  <c:v>1.5880000000000001</c:v>
                </c:pt>
                <c:pt idx="986">
                  <c:v>1.4873000000000001</c:v>
                </c:pt>
                <c:pt idx="987">
                  <c:v>1.3842000000000001</c:v>
                </c:pt>
                <c:pt idx="988">
                  <c:v>1.2791999999999999</c:v>
                </c:pt>
                <c:pt idx="989">
                  <c:v>1.1754</c:v>
                </c:pt>
                <c:pt idx="990">
                  <c:v>1.0711999999999999</c:v>
                </c:pt>
                <c:pt idx="991">
                  <c:v>0.96109999999999995</c:v>
                </c:pt>
                <c:pt idx="992">
                  <c:v>0.86209999999999998</c:v>
                </c:pt>
                <c:pt idx="993">
                  <c:v>0.7571</c:v>
                </c:pt>
                <c:pt idx="994">
                  <c:v>0.64980000000000004</c:v>
                </c:pt>
                <c:pt idx="995">
                  <c:v>0.54679999999999995</c:v>
                </c:pt>
                <c:pt idx="996">
                  <c:v>0.4471</c:v>
                </c:pt>
                <c:pt idx="997">
                  <c:v>0.33550000000000002</c:v>
                </c:pt>
                <c:pt idx="998">
                  <c:v>0.23899999999999999</c:v>
                </c:pt>
                <c:pt idx="999">
                  <c:v>0.1305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2B-4345-A19E-15A8D9E94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42655"/>
        <c:axId val="272853567"/>
      </c:scatterChart>
      <c:valAx>
        <c:axId val="233942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853567"/>
        <c:crosses val="autoZero"/>
        <c:crossBetween val="midCat"/>
      </c:valAx>
      <c:valAx>
        <c:axId val="272853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942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SS curve A - elastic for 1-10 mN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'curves processed'!$AI$2:$AI$959</c:f>
              <c:numCache>
                <c:formatCode>General</c:formatCode>
                <c:ptCount val="958"/>
                <c:pt idx="0">
                  <c:v>3.756550965349819E-2</c:v>
                </c:pt>
                <c:pt idx="1">
                  <c:v>3.0937879668443993E-2</c:v>
                </c:pt>
                <c:pt idx="2">
                  <c:v>3.67274440566112E-2</c:v>
                </c:pt>
                <c:pt idx="3">
                  <c:v>3.4608192257987468E-2</c:v>
                </c:pt>
                <c:pt idx="4">
                  <c:v>3.9616232264855424E-2</c:v>
                </c:pt>
                <c:pt idx="5">
                  <c:v>4.2028520105213844E-2</c:v>
                </c:pt>
                <c:pt idx="6">
                  <c:v>3.1571556747470982E-2</c:v>
                </c:pt>
                <c:pt idx="7">
                  <c:v>3.6879975982297829E-2</c:v>
                </c:pt>
                <c:pt idx="8">
                  <c:v>4.960361428927066E-2</c:v>
                </c:pt>
                <c:pt idx="9">
                  <c:v>4.6626512048348334E-2</c:v>
                </c:pt>
                <c:pt idx="10">
                  <c:v>4.5449074875410257E-2</c:v>
                </c:pt>
                <c:pt idx="11">
                  <c:v>4.8523522174512404E-2</c:v>
                </c:pt>
                <c:pt idx="12">
                  <c:v>4.74426217430685E-2</c:v>
                </c:pt>
                <c:pt idx="13">
                  <c:v>4.8211025223011905E-2</c:v>
                </c:pt>
                <c:pt idx="14">
                  <c:v>3.9629371977049389E-2</c:v>
                </c:pt>
                <c:pt idx="15">
                  <c:v>4.2873294360246013E-2</c:v>
                </c:pt>
                <c:pt idx="16">
                  <c:v>4.8147941717553829E-2</c:v>
                </c:pt>
                <c:pt idx="17">
                  <c:v>4.9986079833527514E-2</c:v>
                </c:pt>
                <c:pt idx="18">
                  <c:v>5.8984168038784715E-2</c:v>
                </c:pt>
                <c:pt idx="19">
                  <c:v>5.2850890884159278E-2</c:v>
                </c:pt>
                <c:pt idx="20">
                  <c:v>5.5210561548341211E-2</c:v>
                </c:pt>
                <c:pt idx="21">
                  <c:v>6.1818029908825477E-2</c:v>
                </c:pt>
                <c:pt idx="22">
                  <c:v>5.5064071261214126E-2</c:v>
                </c:pt>
                <c:pt idx="23">
                  <c:v>5.5624033500930536E-2</c:v>
                </c:pt>
                <c:pt idx="24">
                  <c:v>5.8868849222820298E-2</c:v>
                </c:pt>
                <c:pt idx="25">
                  <c:v>5.8296386228630995E-2</c:v>
                </c:pt>
                <c:pt idx="26">
                  <c:v>6.7321701887989596E-2</c:v>
                </c:pt>
                <c:pt idx="27">
                  <c:v>5.9457394970743968E-2</c:v>
                </c:pt>
                <c:pt idx="28">
                  <c:v>7.329514806624414E-2</c:v>
                </c:pt>
                <c:pt idx="29">
                  <c:v>6.7299950126474897E-2</c:v>
                </c:pt>
                <c:pt idx="30">
                  <c:v>5.745264599039112E-2</c:v>
                </c:pt>
                <c:pt idx="31">
                  <c:v>5.8444213465693368E-2</c:v>
                </c:pt>
                <c:pt idx="32">
                  <c:v>6.8703459040937526E-2</c:v>
                </c:pt>
                <c:pt idx="33">
                  <c:v>7.2879781595862017E-2</c:v>
                </c:pt>
                <c:pt idx="34">
                  <c:v>6.5260447532430349E-2</c:v>
                </c:pt>
                <c:pt idx="35">
                  <c:v>5.9616822698527652E-2</c:v>
                </c:pt>
                <c:pt idx="36">
                  <c:v>6.4328627558390056E-2</c:v>
                </c:pt>
                <c:pt idx="37">
                  <c:v>7.0990246802465545E-2</c:v>
                </c:pt>
                <c:pt idx="38">
                  <c:v>7.4758284503120276E-2</c:v>
                </c:pt>
                <c:pt idx="39">
                  <c:v>6.7572367799274655E-2</c:v>
                </c:pt>
                <c:pt idx="40">
                  <c:v>7.2961912173104645E-2</c:v>
                </c:pt>
                <c:pt idx="41">
                  <c:v>7.3515676143041664E-2</c:v>
                </c:pt>
                <c:pt idx="42">
                  <c:v>7.7737512368772882E-2</c:v>
                </c:pt>
                <c:pt idx="43">
                  <c:v>6.4035761676790107E-2</c:v>
                </c:pt>
                <c:pt idx="44">
                  <c:v>7.5003866241829378E-2</c:v>
                </c:pt>
                <c:pt idx="45">
                  <c:v>6.7023390155072748E-2</c:v>
                </c:pt>
                <c:pt idx="46">
                  <c:v>7.3477577352455567E-2</c:v>
                </c:pt>
                <c:pt idx="47">
                  <c:v>6.9777923981115028E-2</c:v>
                </c:pt>
                <c:pt idx="48">
                  <c:v>7.8080590694387927E-2</c:v>
                </c:pt>
                <c:pt idx="49">
                  <c:v>7.5381582000243211E-2</c:v>
                </c:pt>
                <c:pt idx="50">
                  <c:v>7.8173298337204988E-2</c:v>
                </c:pt>
                <c:pt idx="51">
                  <c:v>7.6440808822879555E-2</c:v>
                </c:pt>
                <c:pt idx="52">
                  <c:v>7.5970268989428241E-2</c:v>
                </c:pt>
                <c:pt idx="53">
                  <c:v>8.8122502625611082E-2</c:v>
                </c:pt>
                <c:pt idx="54">
                  <c:v>9.3883533899465896E-2</c:v>
                </c:pt>
                <c:pt idx="55">
                  <c:v>7.1040353778384607E-2</c:v>
                </c:pt>
                <c:pt idx="56">
                  <c:v>8.3849266233241543E-2</c:v>
                </c:pt>
                <c:pt idx="57">
                  <c:v>8.5760465668799274E-2</c:v>
                </c:pt>
                <c:pt idx="58">
                  <c:v>9.1151009209271147E-2</c:v>
                </c:pt>
                <c:pt idx="59">
                  <c:v>8.0099249102791883E-2</c:v>
                </c:pt>
                <c:pt idx="60">
                  <c:v>7.041074294169776E-2</c:v>
                </c:pt>
                <c:pt idx="61">
                  <c:v>7.9874394219187642E-2</c:v>
                </c:pt>
                <c:pt idx="62">
                  <c:v>9.4341357916007049E-2</c:v>
                </c:pt>
                <c:pt idx="63">
                  <c:v>8.4401169455276689E-2</c:v>
                </c:pt>
                <c:pt idx="64">
                  <c:v>7.7205255527329042E-2</c:v>
                </c:pt>
                <c:pt idx="65">
                  <c:v>9.3516916630397989E-2</c:v>
                </c:pt>
                <c:pt idx="66">
                  <c:v>8.2005254189543214E-2</c:v>
                </c:pt>
                <c:pt idx="67">
                  <c:v>7.9326923834109622E-2</c:v>
                </c:pt>
                <c:pt idx="68">
                  <c:v>8.1585904070197279E-2</c:v>
                </c:pt>
                <c:pt idx="69">
                  <c:v>8.6858195769210098E-2</c:v>
                </c:pt>
                <c:pt idx="70">
                  <c:v>9.2166421859228326E-2</c:v>
                </c:pt>
                <c:pt idx="71">
                  <c:v>8.407830970440805E-2</c:v>
                </c:pt>
                <c:pt idx="72">
                  <c:v>9.6316692305094043E-2</c:v>
                </c:pt>
                <c:pt idx="73">
                  <c:v>9.7549647189805258E-2</c:v>
                </c:pt>
                <c:pt idx="74">
                  <c:v>8.3267063802959049E-2</c:v>
                </c:pt>
                <c:pt idx="75">
                  <c:v>8.8929191267646451E-2</c:v>
                </c:pt>
                <c:pt idx="76">
                  <c:v>9.2741447945696012E-2</c:v>
                </c:pt>
                <c:pt idx="77">
                  <c:v>7.5238235350743921E-2</c:v>
                </c:pt>
                <c:pt idx="78">
                  <c:v>8.359396675938971E-2</c:v>
                </c:pt>
                <c:pt idx="79">
                  <c:v>8.8026706160136178E-2</c:v>
                </c:pt>
                <c:pt idx="80">
                  <c:v>8.828760333310634E-2</c:v>
                </c:pt>
                <c:pt idx="81">
                  <c:v>0.10250219319013561</c:v>
                </c:pt>
                <c:pt idx="82">
                  <c:v>8.9121447926113082E-2</c:v>
                </c:pt>
                <c:pt idx="83">
                  <c:v>0.10975163605226611</c:v>
                </c:pt>
                <c:pt idx="84">
                  <c:v>9.8453169301713994E-2</c:v>
                </c:pt>
                <c:pt idx="85">
                  <c:v>9.6004016378899062E-2</c:v>
                </c:pt>
                <c:pt idx="86">
                  <c:v>9.4286538229591432E-2</c:v>
                </c:pt>
                <c:pt idx="87">
                  <c:v>9.3275427763835045E-2</c:v>
                </c:pt>
                <c:pt idx="88">
                  <c:v>8.9268576703474198E-2</c:v>
                </c:pt>
                <c:pt idx="89">
                  <c:v>0.10057068480041159</c:v>
                </c:pt>
                <c:pt idx="90">
                  <c:v>9.4460325580466062E-2</c:v>
                </c:pt>
                <c:pt idx="91">
                  <c:v>0.10662259807706161</c:v>
                </c:pt>
                <c:pt idx="92">
                  <c:v>0.11869652176666026</c:v>
                </c:pt>
                <c:pt idx="93">
                  <c:v>0.10759062771776404</c:v>
                </c:pt>
                <c:pt idx="94">
                  <c:v>8.7813924602866439E-2</c:v>
                </c:pt>
                <c:pt idx="95">
                  <c:v>9.3823789680726882E-2</c:v>
                </c:pt>
                <c:pt idx="96">
                  <c:v>8.666751094871096E-2</c:v>
                </c:pt>
                <c:pt idx="97">
                  <c:v>0.10900937113401392</c:v>
                </c:pt>
                <c:pt idx="98">
                  <c:v>0.10560496783648073</c:v>
                </c:pt>
                <c:pt idx="99">
                  <c:v>0.10785637444225309</c:v>
                </c:pt>
                <c:pt idx="100">
                  <c:v>0.10170435252232983</c:v>
                </c:pt>
                <c:pt idx="101">
                  <c:v>0.10439494385889941</c:v>
                </c:pt>
                <c:pt idx="102">
                  <c:v>0.10741728877752822</c:v>
                </c:pt>
                <c:pt idx="103">
                  <c:v>0.1002554784515941</c:v>
                </c:pt>
                <c:pt idx="104">
                  <c:v>0.11695785276036992</c:v>
                </c:pt>
                <c:pt idx="105">
                  <c:v>0.10558877454010999</c:v>
                </c:pt>
                <c:pt idx="106">
                  <c:v>0.12454921872868691</c:v>
                </c:pt>
                <c:pt idx="107">
                  <c:v>0.11406876470778854</c:v>
                </c:pt>
                <c:pt idx="108">
                  <c:v>0.10883792138387804</c:v>
                </c:pt>
                <c:pt idx="109">
                  <c:v>0.11622126364694016</c:v>
                </c:pt>
                <c:pt idx="110">
                  <c:v>0.11531768478835087</c:v>
                </c:pt>
                <c:pt idx="111">
                  <c:v>0.11457021960312712</c:v>
                </c:pt>
                <c:pt idx="112">
                  <c:v>0.10422445226270699</c:v>
                </c:pt>
                <c:pt idx="113">
                  <c:v>9.6053642515185153E-2</c:v>
                </c:pt>
                <c:pt idx="114">
                  <c:v>0.10614388331006358</c:v>
                </c:pt>
                <c:pt idx="115">
                  <c:v>0.10109475566846438</c:v>
                </c:pt>
                <c:pt idx="116">
                  <c:v>0.10666894901087283</c:v>
                </c:pt>
                <c:pt idx="117">
                  <c:v>0.11339154275990376</c:v>
                </c:pt>
                <c:pt idx="118">
                  <c:v>0.10216222669075557</c:v>
                </c:pt>
                <c:pt idx="119">
                  <c:v>0.10740400747360801</c:v>
                </c:pt>
                <c:pt idx="120">
                  <c:v>0.12283632630043788</c:v>
                </c:pt>
                <c:pt idx="121">
                  <c:v>0.11096860527870284</c:v>
                </c:pt>
                <c:pt idx="122">
                  <c:v>0.11387465874353439</c:v>
                </c:pt>
                <c:pt idx="123">
                  <c:v>0.11467624570098427</c:v>
                </c:pt>
                <c:pt idx="124">
                  <c:v>0.11332486484478248</c:v>
                </c:pt>
                <c:pt idx="125">
                  <c:v>0.12552239900405801</c:v>
                </c:pt>
                <c:pt idx="126">
                  <c:v>0.10909890754558313</c:v>
                </c:pt>
                <c:pt idx="127">
                  <c:v>0.12040888662499466</c:v>
                </c:pt>
                <c:pt idx="128">
                  <c:v>0.11671316832264335</c:v>
                </c:pt>
                <c:pt idx="129">
                  <c:v>0.12308662765042978</c:v>
                </c:pt>
                <c:pt idx="130">
                  <c:v>0.11555802809511223</c:v>
                </c:pt>
                <c:pt idx="131">
                  <c:v>0.11781297830398177</c:v>
                </c:pt>
                <c:pt idx="132">
                  <c:v>0.12623694776499192</c:v>
                </c:pt>
                <c:pt idx="133">
                  <c:v>0.11553686362110215</c:v>
                </c:pt>
                <c:pt idx="134">
                  <c:v>0.12245817573425309</c:v>
                </c:pt>
                <c:pt idx="135">
                  <c:v>0.11884869679456624</c:v>
                </c:pt>
                <c:pt idx="136">
                  <c:v>0.11660626855315934</c:v>
                </c:pt>
                <c:pt idx="137">
                  <c:v>0.12230109176318109</c:v>
                </c:pt>
                <c:pt idx="138">
                  <c:v>0.12351199366182646</c:v>
                </c:pt>
                <c:pt idx="139">
                  <c:v>0.11989674526718147</c:v>
                </c:pt>
                <c:pt idx="140">
                  <c:v>0.11989674526718147</c:v>
                </c:pt>
                <c:pt idx="141">
                  <c:v>0.12333597229382171</c:v>
                </c:pt>
                <c:pt idx="142">
                  <c:v>0.11759680770158916</c:v>
                </c:pt>
                <c:pt idx="143">
                  <c:v>0.13156153542912311</c:v>
                </c:pt>
                <c:pt idx="144">
                  <c:v>0.11974536048780372</c:v>
                </c:pt>
                <c:pt idx="145">
                  <c:v>0.12200470691210191</c:v>
                </c:pt>
                <c:pt idx="146">
                  <c:v>0.116490587731182</c:v>
                </c:pt>
                <c:pt idx="147">
                  <c:v>0.12416408225567892</c:v>
                </c:pt>
                <c:pt idx="148">
                  <c:v>0.11249053606070054</c:v>
                </c:pt>
                <c:pt idx="149">
                  <c:v>0.12068945102101407</c:v>
                </c:pt>
                <c:pt idx="150">
                  <c:v>0.11748530630364203</c:v>
                </c:pt>
                <c:pt idx="151">
                  <c:v>0.12063321176145163</c:v>
                </c:pt>
                <c:pt idx="152">
                  <c:v>0.11444689320958232</c:v>
                </c:pt>
                <c:pt idx="153">
                  <c:v>0.12389663668560286</c:v>
                </c:pt>
                <c:pt idx="154">
                  <c:v>0.12985320575702605</c:v>
                </c:pt>
                <c:pt idx="155">
                  <c:v>0.13352137541117934</c:v>
                </c:pt>
                <c:pt idx="156">
                  <c:v>0.12262167129598103</c:v>
                </c:pt>
                <c:pt idx="157">
                  <c:v>0.13597650678366216</c:v>
                </c:pt>
                <c:pt idx="158">
                  <c:v>0.12041803546399531</c:v>
                </c:pt>
                <c:pt idx="159">
                  <c:v>0.14638556108202389</c:v>
                </c:pt>
                <c:pt idx="160">
                  <c:v>0.13049085020157986</c:v>
                </c:pt>
                <c:pt idx="161">
                  <c:v>0.1366695909201808</c:v>
                </c:pt>
                <c:pt idx="162">
                  <c:v>0.13800948887037864</c:v>
                </c:pt>
                <c:pt idx="163">
                  <c:v>0.13406636061693927</c:v>
                </c:pt>
                <c:pt idx="164">
                  <c:v>0.14050905700978422</c:v>
                </c:pt>
                <c:pt idx="165">
                  <c:v>0.13369964159997935</c:v>
                </c:pt>
                <c:pt idx="166">
                  <c:v>0.13889186069124065</c:v>
                </c:pt>
                <c:pt idx="167">
                  <c:v>0.13733627185149877</c:v>
                </c:pt>
                <c:pt idx="168">
                  <c:v>0.1322964086642878</c:v>
                </c:pt>
                <c:pt idx="169">
                  <c:v>0.14249760232957795</c:v>
                </c:pt>
                <c:pt idx="170">
                  <c:v>0.1436196306943778</c:v>
                </c:pt>
                <c:pt idx="171">
                  <c:v>0.13820002198892958</c:v>
                </c:pt>
                <c:pt idx="172">
                  <c:v>0.13951621267453845</c:v>
                </c:pt>
                <c:pt idx="173">
                  <c:v>0.14195816561573191</c:v>
                </c:pt>
                <c:pt idx="174">
                  <c:v>0.11715036312791891</c:v>
                </c:pt>
                <c:pt idx="175">
                  <c:v>0.13403690195716847</c:v>
                </c:pt>
                <c:pt idx="176">
                  <c:v>0.13267737177394057</c:v>
                </c:pt>
                <c:pt idx="177">
                  <c:v>0.13754626615096591</c:v>
                </c:pt>
                <c:pt idx="178">
                  <c:v>0.12802533816665135</c:v>
                </c:pt>
                <c:pt idx="179">
                  <c:v>0.13590568568637901</c:v>
                </c:pt>
                <c:pt idx="180">
                  <c:v>0.12275352255543909</c:v>
                </c:pt>
                <c:pt idx="181">
                  <c:v>0.12268706952067225</c:v>
                </c:pt>
                <c:pt idx="182">
                  <c:v>0.14199892305633363</c:v>
                </c:pt>
                <c:pt idx="183">
                  <c:v>0.13093500494316621</c:v>
                </c:pt>
                <c:pt idx="184">
                  <c:v>0.13205410754951805</c:v>
                </c:pt>
                <c:pt idx="185">
                  <c:v>0.13190489386867113</c:v>
                </c:pt>
                <c:pt idx="186">
                  <c:v>0.14384609513497956</c:v>
                </c:pt>
                <c:pt idx="187">
                  <c:v>0.14125427360101597</c:v>
                </c:pt>
                <c:pt idx="188">
                  <c:v>0.14253840336102522</c:v>
                </c:pt>
                <c:pt idx="189">
                  <c:v>0.14357882966293051</c:v>
                </c:pt>
                <c:pt idx="190">
                  <c:v>0.13976700232674652</c:v>
                </c:pt>
                <c:pt idx="191">
                  <c:v>0.15007658637860322</c:v>
                </c:pt>
                <c:pt idx="192">
                  <c:v>0.1430586165119779</c:v>
                </c:pt>
                <c:pt idx="193">
                  <c:v>0.13578444957069088</c:v>
                </c:pt>
                <c:pt idx="194">
                  <c:v>0.15368582802429626</c:v>
                </c:pt>
                <c:pt idx="195">
                  <c:v>0.13772422742170071</c:v>
                </c:pt>
                <c:pt idx="196">
                  <c:v>0.14640953906090709</c:v>
                </c:pt>
                <c:pt idx="197">
                  <c:v>0.14108539421526095</c:v>
                </c:pt>
                <c:pt idx="198">
                  <c:v>0.12686748627108735</c:v>
                </c:pt>
                <c:pt idx="199">
                  <c:v>0.13620126134032934</c:v>
                </c:pt>
                <c:pt idx="200">
                  <c:v>0.14207200536361941</c:v>
                </c:pt>
                <c:pt idx="201">
                  <c:v>0.14183589329392679</c:v>
                </c:pt>
                <c:pt idx="202">
                  <c:v>0.13828999596157859</c:v>
                </c:pt>
                <c:pt idx="203">
                  <c:v>0.14160378312372049</c:v>
                </c:pt>
                <c:pt idx="204">
                  <c:v>0.14160378312372049</c:v>
                </c:pt>
                <c:pt idx="205">
                  <c:v>0.13143510392037969</c:v>
                </c:pt>
                <c:pt idx="206">
                  <c:v>0.14115116829181815</c:v>
                </c:pt>
                <c:pt idx="207">
                  <c:v>0.14858017714928229</c:v>
                </c:pt>
                <c:pt idx="208">
                  <c:v>0.13863891941648587</c:v>
                </c:pt>
                <c:pt idx="209">
                  <c:v>0.14828336598458924</c:v>
                </c:pt>
                <c:pt idx="210">
                  <c:v>0.14672678616613116</c:v>
                </c:pt>
                <c:pt idx="211">
                  <c:v>0.16043956991997521</c:v>
                </c:pt>
                <c:pt idx="212">
                  <c:v>0.14897828340212871</c:v>
                </c:pt>
                <c:pt idx="213">
                  <c:v>0.14282215598881759</c:v>
                </c:pt>
                <c:pt idx="214">
                  <c:v>0.13381482898351163</c:v>
                </c:pt>
                <c:pt idx="215">
                  <c:v>0.155320783641576</c:v>
                </c:pt>
                <c:pt idx="216">
                  <c:v>0.12970647897085993</c:v>
                </c:pt>
                <c:pt idx="217">
                  <c:v>0.14714600555517726</c:v>
                </c:pt>
                <c:pt idx="218">
                  <c:v>0.15063950046389465</c:v>
                </c:pt>
                <c:pt idx="219">
                  <c:v>0.15193811684720412</c:v>
                </c:pt>
                <c:pt idx="220">
                  <c:v>0.14906948275197696</c:v>
                </c:pt>
                <c:pt idx="221">
                  <c:v>0.14634192902208887</c:v>
                </c:pt>
                <c:pt idx="222">
                  <c:v>0.15661153807627054</c:v>
                </c:pt>
                <c:pt idx="223">
                  <c:v>0.13928807933259243</c:v>
                </c:pt>
                <c:pt idx="224">
                  <c:v>0.13509896416469491</c:v>
                </c:pt>
                <c:pt idx="225">
                  <c:v>0.16002308962047793</c:v>
                </c:pt>
                <c:pt idx="226">
                  <c:v>0.15687117258899647</c:v>
                </c:pt>
                <c:pt idx="227">
                  <c:v>0.15038889272994702</c:v>
                </c:pt>
                <c:pt idx="228">
                  <c:v>0.1654277820029417</c:v>
                </c:pt>
                <c:pt idx="229">
                  <c:v>0.16646820830484699</c:v>
                </c:pt>
                <c:pt idx="230">
                  <c:v>0.15923046011767975</c:v>
                </c:pt>
                <c:pt idx="231">
                  <c:v>0.15228057691522937</c:v>
                </c:pt>
                <c:pt idx="232">
                  <c:v>0.15748675048498079</c:v>
                </c:pt>
                <c:pt idx="233">
                  <c:v>0.13836116940262935</c:v>
                </c:pt>
                <c:pt idx="234">
                  <c:v>0.14805431423144375</c:v>
                </c:pt>
                <c:pt idx="235">
                  <c:v>0.16081761718243032</c:v>
                </c:pt>
                <c:pt idx="236">
                  <c:v>0.14219159459372346</c:v>
                </c:pt>
                <c:pt idx="237">
                  <c:v>0.15606394528579406</c:v>
                </c:pt>
                <c:pt idx="238">
                  <c:v>0.14525951830446984</c:v>
                </c:pt>
                <c:pt idx="239">
                  <c:v>0.15964860733437533</c:v>
                </c:pt>
                <c:pt idx="240">
                  <c:v>0.15445678270561516</c:v>
                </c:pt>
                <c:pt idx="241">
                  <c:v>0.15964860733437533</c:v>
                </c:pt>
                <c:pt idx="242">
                  <c:v>0.15049315878740352</c:v>
                </c:pt>
                <c:pt idx="243">
                  <c:v>0.15631770779845386</c:v>
                </c:pt>
                <c:pt idx="244">
                  <c:v>0.16433400050606689</c:v>
                </c:pt>
                <c:pt idx="245">
                  <c:v>0.14764522864442298</c:v>
                </c:pt>
                <c:pt idx="246">
                  <c:v>0.16173899784164114</c:v>
                </c:pt>
                <c:pt idx="247">
                  <c:v>0.14912776993975876</c:v>
                </c:pt>
                <c:pt idx="248">
                  <c:v>0.16135135763973901</c:v>
                </c:pt>
                <c:pt idx="249">
                  <c:v>0.17999375022961578</c:v>
                </c:pt>
                <c:pt idx="250">
                  <c:v>0.1568012552635222</c:v>
                </c:pt>
                <c:pt idx="251">
                  <c:v>0.16734251612157411</c:v>
                </c:pt>
                <c:pt idx="252">
                  <c:v>0.16190048307697008</c:v>
                </c:pt>
                <c:pt idx="253">
                  <c:v>0.16830425471997398</c:v>
                </c:pt>
                <c:pt idx="254">
                  <c:v>0.16510371479415153</c:v>
                </c:pt>
                <c:pt idx="255">
                  <c:v>0.15736447816317567</c:v>
                </c:pt>
                <c:pt idx="256">
                  <c:v>0.1721594291015939</c:v>
                </c:pt>
                <c:pt idx="257">
                  <c:v>0.13687229796010858</c:v>
                </c:pt>
                <c:pt idx="258">
                  <c:v>0.16835989249012936</c:v>
                </c:pt>
                <c:pt idx="259">
                  <c:v>0.15316952625041846</c:v>
                </c:pt>
                <c:pt idx="260">
                  <c:v>0.17361011766538331</c:v>
                </c:pt>
                <c:pt idx="261">
                  <c:v>0.16655279580906693</c:v>
                </c:pt>
                <c:pt idx="262">
                  <c:v>0.14610241686329656</c:v>
                </c:pt>
                <c:pt idx="263">
                  <c:v>0.16480352622179853</c:v>
                </c:pt>
                <c:pt idx="264">
                  <c:v>0.18170954097310876</c:v>
                </c:pt>
                <c:pt idx="265">
                  <c:v>0.17214326086069404</c:v>
                </c:pt>
                <c:pt idx="266">
                  <c:v>0.15779798912230286</c:v>
                </c:pt>
                <c:pt idx="267">
                  <c:v>0.15747204103273357</c:v>
                </c:pt>
                <c:pt idx="268">
                  <c:v>0.16890146336575454</c:v>
                </c:pt>
                <c:pt idx="269">
                  <c:v>0.16581282165797753</c:v>
                </c:pt>
                <c:pt idx="270">
                  <c:v>0.16982442218196084</c:v>
                </c:pt>
                <c:pt idx="271">
                  <c:v>0.15800503913263228</c:v>
                </c:pt>
                <c:pt idx="272">
                  <c:v>0.15683463143535351</c:v>
                </c:pt>
                <c:pt idx="273">
                  <c:v>0.16249711554948329</c:v>
                </c:pt>
                <c:pt idx="274">
                  <c:v>0.17739268447485257</c:v>
                </c:pt>
                <c:pt idx="275">
                  <c:v>0.17259329863057976</c:v>
                </c:pt>
                <c:pt idx="276">
                  <c:v>0.1633707559556633</c:v>
                </c:pt>
                <c:pt idx="277">
                  <c:v>0.15937789572889979</c:v>
                </c:pt>
                <c:pt idx="278">
                  <c:v>0.17930013269501227</c:v>
                </c:pt>
                <c:pt idx="279">
                  <c:v>0.17031860485520517</c:v>
                </c:pt>
                <c:pt idx="280">
                  <c:v>0.16349556172797475</c:v>
                </c:pt>
                <c:pt idx="281">
                  <c:v>0.16856519154899721</c:v>
                </c:pt>
                <c:pt idx="282">
                  <c:v>0.14972162056870011</c:v>
                </c:pt>
                <c:pt idx="283">
                  <c:v>0.17720809271161131</c:v>
                </c:pt>
                <c:pt idx="284">
                  <c:v>0.14747519124993158</c:v>
                </c:pt>
                <c:pt idx="285">
                  <c:v>0.17033956198635508</c:v>
                </c:pt>
                <c:pt idx="286">
                  <c:v>0.17530357451943956</c:v>
                </c:pt>
                <c:pt idx="287">
                  <c:v>0.16569177076611169</c:v>
                </c:pt>
                <c:pt idx="288">
                  <c:v>0.16948623879892341</c:v>
                </c:pt>
                <c:pt idx="289">
                  <c:v>0.16906927405961023</c:v>
                </c:pt>
                <c:pt idx="290">
                  <c:v>0.16531217908050777</c:v>
                </c:pt>
                <c:pt idx="291">
                  <c:v>0.18850076528637086</c:v>
                </c:pt>
                <c:pt idx="292">
                  <c:v>0.15686427321033658</c:v>
                </c:pt>
                <c:pt idx="293">
                  <c:v>0.17388830286107082</c:v>
                </c:pt>
                <c:pt idx="294">
                  <c:v>0.16577969089917438</c:v>
                </c:pt>
                <c:pt idx="295">
                  <c:v>0.16910809593654699</c:v>
                </c:pt>
                <c:pt idx="296">
                  <c:v>0.16785544337405403</c:v>
                </c:pt>
                <c:pt idx="297">
                  <c:v>0.16870319813856943</c:v>
                </c:pt>
                <c:pt idx="298">
                  <c:v>0.16870319813856943</c:v>
                </c:pt>
                <c:pt idx="299">
                  <c:v>0.19234771967997025</c:v>
                </c:pt>
                <c:pt idx="300">
                  <c:v>0.17971738699317222</c:v>
                </c:pt>
                <c:pt idx="301">
                  <c:v>0.18113248452855155</c:v>
                </c:pt>
                <c:pt idx="302">
                  <c:v>0.18203364116799708</c:v>
                </c:pt>
                <c:pt idx="303">
                  <c:v>0.18061150334637208</c:v>
                </c:pt>
                <c:pt idx="304">
                  <c:v>0.16246656868213433</c:v>
                </c:pt>
                <c:pt idx="305">
                  <c:v>0.17600544940564553</c:v>
                </c:pt>
                <c:pt idx="306">
                  <c:v>0.19137021487503927</c:v>
                </c:pt>
                <c:pt idx="307">
                  <c:v>0.18383595444688811</c:v>
                </c:pt>
                <c:pt idx="308">
                  <c:v>0.17001168918814763</c:v>
                </c:pt>
                <c:pt idx="309">
                  <c:v>0.18187296982918119</c:v>
                </c:pt>
                <c:pt idx="310">
                  <c:v>0.17208802920564931</c:v>
                </c:pt>
                <c:pt idx="311">
                  <c:v>0.19167528456238989</c:v>
                </c:pt>
                <c:pt idx="312">
                  <c:v>0.15899669056633248</c:v>
                </c:pt>
                <c:pt idx="313">
                  <c:v>0.17812411198784614</c:v>
                </c:pt>
                <c:pt idx="314">
                  <c:v>0.17375878677075274</c:v>
                </c:pt>
                <c:pt idx="315">
                  <c:v>0.1763329910192083</c:v>
                </c:pt>
                <c:pt idx="316">
                  <c:v>0.1883417376441158</c:v>
                </c:pt>
                <c:pt idx="317">
                  <c:v>0.1883417376441158</c:v>
                </c:pt>
                <c:pt idx="318">
                  <c:v>0.18070562085723524</c:v>
                </c:pt>
                <c:pt idx="319">
                  <c:v>0.27669907211851336</c:v>
                </c:pt>
                <c:pt idx="320">
                  <c:v>0.11489395138618223</c:v>
                </c:pt>
                <c:pt idx="321">
                  <c:v>0.2050506836671683</c:v>
                </c:pt>
                <c:pt idx="322">
                  <c:v>0.20584545375890148</c:v>
                </c:pt>
                <c:pt idx="323">
                  <c:v>0.1848210697794497</c:v>
                </c:pt>
                <c:pt idx="324">
                  <c:v>0.18255332659197177</c:v>
                </c:pt>
                <c:pt idx="325">
                  <c:v>0.20047408810537576</c:v>
                </c:pt>
                <c:pt idx="326">
                  <c:v>0.18905467802342393</c:v>
                </c:pt>
                <c:pt idx="327">
                  <c:v>0.20320162671905428</c:v>
                </c:pt>
                <c:pt idx="328">
                  <c:v>0.18509312358586769</c:v>
                </c:pt>
                <c:pt idx="329">
                  <c:v>0.18132248743445875</c:v>
                </c:pt>
                <c:pt idx="330">
                  <c:v>0.21654340225985719</c:v>
                </c:pt>
                <c:pt idx="331">
                  <c:v>0.1917167701536315</c:v>
                </c:pt>
                <c:pt idx="332">
                  <c:v>0.18883737379581075</c:v>
                </c:pt>
                <c:pt idx="333">
                  <c:v>0.19244573125687722</c:v>
                </c:pt>
                <c:pt idx="334">
                  <c:v>0.21208690000377139</c:v>
                </c:pt>
                <c:pt idx="335">
                  <c:v>0.17530882485860874</c:v>
                </c:pt>
                <c:pt idx="336">
                  <c:v>0.20085050795059151</c:v>
                </c:pt>
                <c:pt idx="337">
                  <c:v>0.19640563608870254</c:v>
                </c:pt>
                <c:pt idx="338">
                  <c:v>0.18013534670857334</c:v>
                </c:pt>
                <c:pt idx="339">
                  <c:v>0.20585078778636284</c:v>
                </c:pt>
                <c:pt idx="340">
                  <c:v>0.214487883777399</c:v>
                </c:pt>
                <c:pt idx="341">
                  <c:v>0.18003634077998618</c:v>
                </c:pt>
                <c:pt idx="342">
                  <c:v>0.16978385256366607</c:v>
                </c:pt>
                <c:pt idx="343">
                  <c:v>0.19935910430056275</c:v>
                </c:pt>
                <c:pt idx="344">
                  <c:v>0.21098712965848163</c:v>
                </c:pt>
                <c:pt idx="345">
                  <c:v>0.19455971845628992</c:v>
                </c:pt>
                <c:pt idx="346">
                  <c:v>0.19097886474237047</c:v>
                </c:pt>
                <c:pt idx="347">
                  <c:v>0.20157420545945787</c:v>
                </c:pt>
                <c:pt idx="348">
                  <c:v>0.19477297353680464</c:v>
                </c:pt>
                <c:pt idx="349">
                  <c:v>0.21776700513489963</c:v>
                </c:pt>
                <c:pt idx="350">
                  <c:v>0.16477955828604782</c:v>
                </c:pt>
                <c:pt idx="351">
                  <c:v>0.18580789721085125</c:v>
                </c:pt>
                <c:pt idx="352">
                  <c:v>0.1956900581423105</c:v>
                </c:pt>
                <c:pt idx="353">
                  <c:v>0.18431272918054825</c:v>
                </c:pt>
                <c:pt idx="354">
                  <c:v>0.19051638510337651</c:v>
                </c:pt>
                <c:pt idx="355">
                  <c:v>0.1882617533270052</c:v>
                </c:pt>
                <c:pt idx="356">
                  <c:v>0.18893895387854118</c:v>
                </c:pt>
                <c:pt idx="357">
                  <c:v>0.20541750063258365</c:v>
                </c:pt>
                <c:pt idx="358">
                  <c:v>0.20882842202527679</c:v>
                </c:pt>
                <c:pt idx="359">
                  <c:v>0.19029335498161318</c:v>
                </c:pt>
                <c:pt idx="360">
                  <c:v>0.22105495811713841</c:v>
                </c:pt>
                <c:pt idx="361">
                  <c:v>0.19560014475819523</c:v>
                </c:pt>
                <c:pt idx="362">
                  <c:v>0.18507697587606736</c:v>
                </c:pt>
                <c:pt idx="363">
                  <c:v>0.20063529426865043</c:v>
                </c:pt>
                <c:pt idx="364">
                  <c:v>0.16415614985616855</c:v>
                </c:pt>
                <c:pt idx="365">
                  <c:v>0.18221991376944671</c:v>
                </c:pt>
                <c:pt idx="366">
                  <c:v>0.19030122940663102</c:v>
                </c:pt>
                <c:pt idx="367">
                  <c:v>0.21328739189058524</c:v>
                </c:pt>
                <c:pt idx="368">
                  <c:v>0.19786902621174776</c:v>
                </c:pt>
                <c:pt idx="369">
                  <c:v>0.19163200723464943</c:v>
                </c:pt>
                <c:pt idx="370">
                  <c:v>0.19571095939390112</c:v>
                </c:pt>
                <c:pt idx="371">
                  <c:v>0.20167775693639814</c:v>
                </c:pt>
                <c:pt idx="372">
                  <c:v>0.18815845154795732</c:v>
                </c:pt>
                <c:pt idx="373">
                  <c:v>0.17345857252077315</c:v>
                </c:pt>
                <c:pt idx="374">
                  <c:v>0.21985850537630289</c:v>
                </c:pt>
                <c:pt idx="375">
                  <c:v>0.20958087319004756</c:v>
                </c:pt>
                <c:pt idx="376">
                  <c:v>0.18589716355589617</c:v>
                </c:pt>
                <c:pt idx="377">
                  <c:v>0.23366240696956392</c:v>
                </c:pt>
                <c:pt idx="378">
                  <c:v>0.20216666764566935</c:v>
                </c:pt>
                <c:pt idx="379">
                  <c:v>0.20782994104316782</c:v>
                </c:pt>
                <c:pt idx="380">
                  <c:v>0.19810690286570973</c:v>
                </c:pt>
                <c:pt idx="381">
                  <c:v>0.21112252970960219</c:v>
                </c:pt>
                <c:pt idx="382">
                  <c:v>0.20353728912123323</c:v>
                </c:pt>
                <c:pt idx="383">
                  <c:v>0.18045065701828319</c:v>
                </c:pt>
                <c:pt idx="384">
                  <c:v>0.18699246486155802</c:v>
                </c:pt>
                <c:pt idx="385">
                  <c:v>0.22294849326542007</c:v>
                </c:pt>
                <c:pt idx="386">
                  <c:v>0.19397778510098693</c:v>
                </c:pt>
                <c:pt idx="387">
                  <c:v>0.21264515343261894</c:v>
                </c:pt>
                <c:pt idx="388">
                  <c:v>0.2057319151743682</c:v>
                </c:pt>
                <c:pt idx="389">
                  <c:v>0.19308917178376456</c:v>
                </c:pt>
                <c:pt idx="390">
                  <c:v>0.20161284094478743</c:v>
                </c:pt>
                <c:pt idx="391">
                  <c:v>0.20398475672060845</c:v>
                </c:pt>
                <c:pt idx="392">
                  <c:v>0.1999531927339829</c:v>
                </c:pt>
                <c:pt idx="393">
                  <c:v>0.1880640839768272</c:v>
                </c:pt>
                <c:pt idx="394">
                  <c:v>0.21027893029471451</c:v>
                </c:pt>
                <c:pt idx="395">
                  <c:v>0.21224696558867992</c:v>
                </c:pt>
                <c:pt idx="396">
                  <c:v>0.19674578270860779</c:v>
                </c:pt>
                <c:pt idx="397">
                  <c:v>0.21423900131305959</c:v>
                </c:pt>
                <c:pt idx="398">
                  <c:v>0.21625547919356652</c:v>
                </c:pt>
                <c:pt idx="399">
                  <c:v>0.20560517442884263</c:v>
                </c:pt>
                <c:pt idx="400">
                  <c:v>0.2210255625110058</c:v>
                </c:pt>
                <c:pt idx="401">
                  <c:v>0.21372612587331638</c:v>
                </c:pt>
                <c:pt idx="402">
                  <c:v>0.21372612587331638</c:v>
                </c:pt>
                <c:pt idx="403">
                  <c:v>0.21441556498903674</c:v>
                </c:pt>
                <c:pt idx="404">
                  <c:v>0.21128657207922888</c:v>
                </c:pt>
                <c:pt idx="405">
                  <c:v>0.20587285962413368</c:v>
                </c:pt>
                <c:pt idx="406">
                  <c:v>0.20418366174891389</c:v>
                </c:pt>
                <c:pt idx="407">
                  <c:v>0.21458792476796684</c:v>
                </c:pt>
                <c:pt idx="408">
                  <c:v>0.22117037644796578</c:v>
                </c:pt>
                <c:pt idx="409">
                  <c:v>0.19980783565871829</c:v>
                </c:pt>
                <c:pt idx="410">
                  <c:v>0.21595038778236664</c:v>
                </c:pt>
                <c:pt idx="411">
                  <c:v>0.20678472750367713</c:v>
                </c:pt>
                <c:pt idx="412">
                  <c:v>0.21534977538844483</c:v>
                </c:pt>
                <c:pt idx="413">
                  <c:v>0.20743499394236792</c:v>
                </c:pt>
                <c:pt idx="414">
                  <c:v>0.19316697848601458</c:v>
                </c:pt>
                <c:pt idx="415">
                  <c:v>0.19074482201597048</c:v>
                </c:pt>
                <c:pt idx="416">
                  <c:v>0.20873552681974952</c:v>
                </c:pt>
                <c:pt idx="417">
                  <c:v>0.19645696641858776</c:v>
                </c:pt>
                <c:pt idx="418">
                  <c:v>0.2347254752451306</c:v>
                </c:pt>
                <c:pt idx="419">
                  <c:v>0.19602074262492289</c:v>
                </c:pt>
                <c:pt idx="420">
                  <c:v>0.21367830350690803</c:v>
                </c:pt>
                <c:pt idx="421">
                  <c:v>0.20715527039052889</c:v>
                </c:pt>
                <c:pt idx="422">
                  <c:v>0.22272598977912725</c:v>
                </c:pt>
                <c:pt idx="423">
                  <c:v>0.20896202411861939</c:v>
                </c:pt>
                <c:pt idx="424">
                  <c:v>0.22076737980073272</c:v>
                </c:pt>
                <c:pt idx="425">
                  <c:v>0.1929079076264609</c:v>
                </c:pt>
                <c:pt idx="426">
                  <c:v>0.21024794426704166</c:v>
                </c:pt>
                <c:pt idx="427">
                  <c:v>0.21208237837707908</c:v>
                </c:pt>
                <c:pt idx="428">
                  <c:v>0.21891295270902664</c:v>
                </c:pt>
                <c:pt idx="429">
                  <c:v>0.20637964349268942</c:v>
                </c:pt>
                <c:pt idx="430">
                  <c:v>0.22024373053704499</c:v>
                </c:pt>
                <c:pt idx="431">
                  <c:v>0.20318913660738677</c:v>
                </c:pt>
                <c:pt idx="432">
                  <c:v>0.20940008482852146</c:v>
                </c:pt>
                <c:pt idx="433">
                  <c:v>0.20940008482852146</c:v>
                </c:pt>
                <c:pt idx="434">
                  <c:v>0.21002891391209061</c:v>
                </c:pt>
                <c:pt idx="435">
                  <c:v>0.22821255491196477</c:v>
                </c:pt>
                <c:pt idx="436">
                  <c:v>0.21848952340011166</c:v>
                </c:pt>
                <c:pt idx="437">
                  <c:v>0.22487810595567048</c:v>
                </c:pt>
                <c:pt idx="438">
                  <c:v>0.22621666611016852</c:v>
                </c:pt>
                <c:pt idx="439">
                  <c:v>0.23093748094076433</c:v>
                </c:pt>
                <c:pt idx="440">
                  <c:v>0.26115398450508714</c:v>
                </c:pt>
                <c:pt idx="441">
                  <c:v>0.23160258862530861</c:v>
                </c:pt>
                <c:pt idx="442">
                  <c:v>0.22304138847094732</c:v>
                </c:pt>
                <c:pt idx="443">
                  <c:v>0.20830545642379003</c:v>
                </c:pt>
                <c:pt idx="444">
                  <c:v>0.2295591753331738</c:v>
                </c:pt>
                <c:pt idx="445">
                  <c:v>0.26499448427722078</c:v>
                </c:pt>
                <c:pt idx="446">
                  <c:v>0.22372104548313826</c:v>
                </c:pt>
                <c:pt idx="447">
                  <c:v>0.21466525374986523</c:v>
                </c:pt>
                <c:pt idx="448">
                  <c:v>0.23021687188979562</c:v>
                </c:pt>
                <c:pt idx="449">
                  <c:v>0.20912023942483887</c:v>
                </c:pt>
                <c:pt idx="450">
                  <c:v>0.21474175123733458</c:v>
                </c:pt>
                <c:pt idx="451">
                  <c:v>0.21769789469214024</c:v>
                </c:pt>
                <c:pt idx="452">
                  <c:v>0.2136747846625712</c:v>
                </c:pt>
                <c:pt idx="453">
                  <c:v>0.22824351998047379</c:v>
                </c:pt>
                <c:pt idx="454">
                  <c:v>0.21894188266180961</c:v>
                </c:pt>
                <c:pt idx="455">
                  <c:v>0.2282471938021613</c:v>
                </c:pt>
                <c:pt idx="456">
                  <c:v>0.21720297474721803</c:v>
                </c:pt>
                <c:pt idx="457">
                  <c:v>0.22383536019995659</c:v>
                </c:pt>
                <c:pt idx="458">
                  <c:v>0.20014111866700354</c:v>
                </c:pt>
                <c:pt idx="459">
                  <c:v>0.22263985782847709</c:v>
                </c:pt>
                <c:pt idx="460">
                  <c:v>0.26117367937571351</c:v>
                </c:pt>
                <c:pt idx="461">
                  <c:v>0.21451302496874589</c:v>
                </c:pt>
                <c:pt idx="462">
                  <c:v>0.24534124412593092</c:v>
                </c:pt>
                <c:pt idx="463">
                  <c:v>0.24027154773239798</c:v>
                </c:pt>
                <c:pt idx="464">
                  <c:v>0.22270746786729531</c:v>
                </c:pt>
                <c:pt idx="465">
                  <c:v>0.21518400233676674</c:v>
                </c:pt>
                <c:pt idx="466">
                  <c:v>0.24888752077505555</c:v>
                </c:pt>
                <c:pt idx="467">
                  <c:v>0.22394473157766917</c:v>
                </c:pt>
                <c:pt idx="468">
                  <c:v>0.21637615747436653</c:v>
                </c:pt>
                <c:pt idx="469">
                  <c:v>0.22216161623036562</c:v>
                </c:pt>
                <c:pt idx="470">
                  <c:v>0.20321302013799003</c:v>
                </c:pt>
                <c:pt idx="471">
                  <c:v>0.2414630983901592</c:v>
                </c:pt>
                <c:pt idx="472">
                  <c:v>0.21703400473941517</c:v>
                </c:pt>
                <c:pt idx="473">
                  <c:v>0.22581725703181024</c:v>
                </c:pt>
                <c:pt idx="474">
                  <c:v>0.24419773144137619</c:v>
                </c:pt>
                <c:pt idx="475">
                  <c:v>0.21378912031028574</c:v>
                </c:pt>
                <c:pt idx="476">
                  <c:v>0.23461613107964377</c:v>
                </c:pt>
                <c:pt idx="477">
                  <c:v>0.23656620384103608</c:v>
                </c:pt>
                <c:pt idx="478">
                  <c:v>0.22287026572392343</c:v>
                </c:pt>
                <c:pt idx="479">
                  <c:v>0.24262741360431447</c:v>
                </c:pt>
                <c:pt idx="480">
                  <c:v>0.23013105012953849</c:v>
                </c:pt>
                <c:pt idx="481">
                  <c:v>0.20823751788865463</c:v>
                </c:pt>
                <c:pt idx="482">
                  <c:v>0.22467732193249579</c:v>
                </c:pt>
                <c:pt idx="483">
                  <c:v>0.2229330107311655</c:v>
                </c:pt>
                <c:pt idx="484">
                  <c:v>0.23581090633842508</c:v>
                </c:pt>
                <c:pt idx="485">
                  <c:v>0.24450018094774401</c:v>
                </c:pt>
                <c:pt idx="486">
                  <c:v>0.22412516586876532</c:v>
                </c:pt>
                <c:pt idx="487">
                  <c:v>0.24104178067046109</c:v>
                </c:pt>
                <c:pt idx="488">
                  <c:v>0.20600440777724816</c:v>
                </c:pt>
                <c:pt idx="489">
                  <c:v>0.24505860184424685</c:v>
                </c:pt>
                <c:pt idx="490">
                  <c:v>0.25218239840948659</c:v>
                </c:pt>
                <c:pt idx="491">
                  <c:v>0.25432642935462735</c:v>
                </c:pt>
                <c:pt idx="492">
                  <c:v>0.21911691614497919</c:v>
                </c:pt>
                <c:pt idx="493">
                  <c:v>0.24775151314119806</c:v>
                </c:pt>
                <c:pt idx="494">
                  <c:v>0.23760170220685023</c:v>
                </c:pt>
                <c:pt idx="495">
                  <c:v>0.23192148200671966</c:v>
                </c:pt>
                <c:pt idx="496">
                  <c:v>0.24893815754626658</c:v>
                </c:pt>
                <c:pt idx="497">
                  <c:v>0.24478918825382887</c:v>
                </c:pt>
                <c:pt idx="498">
                  <c:v>0.22088250389449388</c:v>
                </c:pt>
                <c:pt idx="499">
                  <c:v>0.25165311177334293</c:v>
                </c:pt>
                <c:pt idx="500">
                  <c:v>0.23746200302309053</c:v>
                </c:pt>
                <c:pt idx="501">
                  <c:v>0.23187417426316415</c:v>
                </c:pt>
                <c:pt idx="502">
                  <c:v>0.24390321503681478</c:v>
                </c:pt>
                <c:pt idx="503">
                  <c:v>0.23368737356930419</c:v>
                </c:pt>
                <c:pt idx="504">
                  <c:v>0.24723058146379384</c:v>
                </c:pt>
                <c:pt idx="505">
                  <c:v>0.24515400075495228</c:v>
                </c:pt>
                <c:pt idx="506">
                  <c:v>0.2438216420551971</c:v>
                </c:pt>
                <c:pt idx="507">
                  <c:v>0.23304471000707688</c:v>
                </c:pt>
                <c:pt idx="508">
                  <c:v>0.23124141499782275</c:v>
                </c:pt>
                <c:pt idx="509">
                  <c:v>0.2366833655381414</c:v>
                </c:pt>
                <c:pt idx="510">
                  <c:v>0.23482367725903935</c:v>
                </c:pt>
                <c:pt idx="511">
                  <c:v>0.22328364459516545</c:v>
                </c:pt>
                <c:pt idx="512">
                  <c:v>0.25228900768300189</c:v>
                </c:pt>
                <c:pt idx="513">
                  <c:v>0.27088022061439598</c:v>
                </c:pt>
                <c:pt idx="514">
                  <c:v>0.23843102751996309</c:v>
                </c:pt>
                <c:pt idx="515">
                  <c:v>0.23414900090327811</c:v>
                </c:pt>
                <c:pt idx="516">
                  <c:v>0.23715284056830971</c:v>
                </c:pt>
                <c:pt idx="517">
                  <c:v>0.26205737479239583</c:v>
                </c:pt>
                <c:pt idx="518">
                  <c:v>0.25830471986967185</c:v>
                </c:pt>
                <c:pt idx="519">
                  <c:v>0.21261922821046253</c:v>
                </c:pt>
                <c:pt idx="520">
                  <c:v>0.23175495874940416</c:v>
                </c:pt>
                <c:pt idx="521">
                  <c:v>0.22021534901938591</c:v>
                </c:pt>
                <c:pt idx="522">
                  <c:v>0.25734743390220993</c:v>
                </c:pt>
                <c:pt idx="523">
                  <c:v>0.24193954626688899</c:v>
                </c:pt>
                <c:pt idx="524">
                  <c:v>0.23760801686659477</c:v>
                </c:pt>
                <c:pt idx="525">
                  <c:v>0.25641107221818987</c:v>
                </c:pt>
                <c:pt idx="526">
                  <c:v>0.24312552443486393</c:v>
                </c:pt>
                <c:pt idx="527">
                  <c:v>0.23057682896636436</c:v>
                </c:pt>
                <c:pt idx="528">
                  <c:v>0.23694532664496434</c:v>
                </c:pt>
                <c:pt idx="529">
                  <c:v>0.24618003591436191</c:v>
                </c:pt>
                <c:pt idx="530">
                  <c:v>0.23572643676003519</c:v>
                </c:pt>
                <c:pt idx="531">
                  <c:v>0.23809554667722146</c:v>
                </c:pt>
                <c:pt idx="532">
                  <c:v>0.25812750370639487</c:v>
                </c:pt>
                <c:pt idx="533">
                  <c:v>0.24668345893878882</c:v>
                </c:pt>
                <c:pt idx="534">
                  <c:v>0.24225560643855748</c:v>
                </c:pt>
                <c:pt idx="535">
                  <c:v>0.26577111867558562</c:v>
                </c:pt>
                <c:pt idx="536">
                  <c:v>0.23450392824316374</c:v>
                </c:pt>
                <c:pt idx="537">
                  <c:v>0.22619456723969333</c:v>
                </c:pt>
                <c:pt idx="538">
                  <c:v>0.2439984525280435</c:v>
                </c:pt>
                <c:pt idx="539">
                  <c:v>0.23735045340509436</c:v>
                </c:pt>
                <c:pt idx="540">
                  <c:v>0.23108415758107048</c:v>
                </c:pt>
                <c:pt idx="541">
                  <c:v>0.22359531914094322</c:v>
                </c:pt>
                <c:pt idx="542">
                  <c:v>0.24085092451568815</c:v>
                </c:pt>
                <c:pt idx="543">
                  <c:v>0.22157754667060683</c:v>
                </c:pt>
                <c:pt idx="544">
                  <c:v>0.22997859109413699</c:v>
                </c:pt>
                <c:pt idx="545">
                  <c:v>0.22009017924919674</c:v>
                </c:pt>
                <c:pt idx="546">
                  <c:v>0.27022183118929161</c:v>
                </c:pt>
                <c:pt idx="547">
                  <c:v>0.25261334977866351</c:v>
                </c:pt>
                <c:pt idx="548">
                  <c:v>0.25585771413869968</c:v>
                </c:pt>
                <c:pt idx="549">
                  <c:v>0.2473902540085921</c:v>
                </c:pt>
                <c:pt idx="550">
                  <c:v>0.26539306587519357</c:v>
                </c:pt>
                <c:pt idx="551">
                  <c:v>0.2549853061146134</c:v>
                </c:pt>
                <c:pt idx="552">
                  <c:v>0.24362457465406134</c:v>
                </c:pt>
                <c:pt idx="553">
                  <c:v>0.24061761450404864</c:v>
                </c:pt>
                <c:pt idx="554">
                  <c:v>0.24419114343232662</c:v>
                </c:pt>
                <c:pt idx="555">
                  <c:v>0.24235812679676252</c:v>
                </c:pt>
                <c:pt idx="556">
                  <c:v>0.25028032706944014</c:v>
                </c:pt>
                <c:pt idx="557">
                  <c:v>0.24711418732815282</c:v>
                </c:pt>
                <c:pt idx="558">
                  <c:v>0.26848622515112824</c:v>
                </c:pt>
                <c:pt idx="559">
                  <c:v>0.25017285701592112</c:v>
                </c:pt>
                <c:pt idx="560">
                  <c:v>0.26683874566512239</c:v>
                </c:pt>
                <c:pt idx="561">
                  <c:v>0.26683874566512239</c:v>
                </c:pt>
                <c:pt idx="562">
                  <c:v>0.22630449019270349</c:v>
                </c:pt>
                <c:pt idx="563">
                  <c:v>0.245724211891162</c:v>
                </c:pt>
                <c:pt idx="564">
                  <c:v>0.25765223650772634</c:v>
                </c:pt>
                <c:pt idx="565">
                  <c:v>0.2530484070965639</c:v>
                </c:pt>
                <c:pt idx="566">
                  <c:v>0.25957027325884646</c:v>
                </c:pt>
                <c:pt idx="567">
                  <c:v>0.26016020569807108</c:v>
                </c:pt>
                <c:pt idx="568">
                  <c:v>0.26484569004521141</c:v>
                </c:pt>
                <c:pt idx="569">
                  <c:v>0.26134007057652042</c:v>
                </c:pt>
                <c:pt idx="570">
                  <c:v>0.28074265516604724</c:v>
                </c:pt>
                <c:pt idx="571">
                  <c:v>0.27616532926660081</c:v>
                </c:pt>
                <c:pt idx="572">
                  <c:v>0.28611723302395575</c:v>
                </c:pt>
                <c:pt idx="573">
                  <c:v>0.257794517027645</c:v>
                </c:pt>
                <c:pt idx="574">
                  <c:v>0.24833864691593829</c:v>
                </c:pt>
                <c:pt idx="575">
                  <c:v>0.263699800333419</c:v>
                </c:pt>
                <c:pt idx="576">
                  <c:v>0.23095589260312105</c:v>
                </c:pt>
                <c:pt idx="577">
                  <c:v>0.28548141695056922</c:v>
                </c:pt>
                <c:pt idx="578">
                  <c:v>0.25066661000537782</c:v>
                </c:pt>
                <c:pt idx="579">
                  <c:v>0.25370000957789179</c:v>
                </c:pt>
                <c:pt idx="580">
                  <c:v>0.26200786211939914</c:v>
                </c:pt>
                <c:pt idx="581">
                  <c:v>0.2722631354249011</c:v>
                </c:pt>
                <c:pt idx="582">
                  <c:v>0.24990336101802516</c:v>
                </c:pt>
                <c:pt idx="583">
                  <c:v>0.24687829820924187</c:v>
                </c:pt>
                <c:pt idx="584">
                  <c:v>0.25722222533242756</c:v>
                </c:pt>
                <c:pt idx="585">
                  <c:v>0.25278318645805797</c:v>
                </c:pt>
                <c:pt idx="586">
                  <c:v>0.25278318645805797</c:v>
                </c:pt>
                <c:pt idx="587">
                  <c:v>0.27323446755795566</c:v>
                </c:pt>
                <c:pt idx="588">
                  <c:v>0.28271475782042765</c:v>
                </c:pt>
                <c:pt idx="589">
                  <c:v>0.2647306923736803</c:v>
                </c:pt>
                <c:pt idx="590">
                  <c:v>0.2647306923736803</c:v>
                </c:pt>
                <c:pt idx="591">
                  <c:v>0.27277497863423761</c:v>
                </c:pt>
                <c:pt idx="592">
                  <c:v>0.25990156536757364</c:v>
                </c:pt>
                <c:pt idx="593">
                  <c:v>0.2768296579205603</c:v>
                </c:pt>
                <c:pt idx="594">
                  <c:v>0.28488662126901404</c:v>
                </c:pt>
                <c:pt idx="595">
                  <c:v>0.26159289876475955</c:v>
                </c:pt>
                <c:pt idx="596">
                  <c:v>0.27802805470809522</c:v>
                </c:pt>
                <c:pt idx="597">
                  <c:v>0.27014114387033389</c:v>
                </c:pt>
                <c:pt idx="598">
                  <c:v>0.25156722752672339</c:v>
                </c:pt>
                <c:pt idx="599">
                  <c:v>0.26328423216194546</c:v>
                </c:pt>
                <c:pt idx="600">
                  <c:v>0.28129841646776282</c:v>
                </c:pt>
                <c:pt idx="601">
                  <c:v>0.27327115317390066</c:v>
                </c:pt>
                <c:pt idx="602">
                  <c:v>0.23804953787593119</c:v>
                </c:pt>
                <c:pt idx="603">
                  <c:v>0.25082052764156121</c:v>
                </c:pt>
                <c:pt idx="604">
                  <c:v>0.27246493865631527</c:v>
                </c:pt>
                <c:pt idx="605">
                  <c:v>0.24674330187387009</c:v>
                </c:pt>
                <c:pt idx="606">
                  <c:v>0.24339384528734698</c:v>
                </c:pt>
                <c:pt idx="607">
                  <c:v>0.25791620431441759</c:v>
                </c:pt>
                <c:pt idx="608">
                  <c:v>0.25668803191292033</c:v>
                </c:pt>
                <c:pt idx="609">
                  <c:v>0.26875091340757634</c:v>
                </c:pt>
                <c:pt idx="610">
                  <c:v>0.24166687717916266</c:v>
                </c:pt>
                <c:pt idx="611">
                  <c:v>0.26406527067381674</c:v>
                </c:pt>
                <c:pt idx="612">
                  <c:v>0.26592072245755888</c:v>
                </c:pt>
                <c:pt idx="613">
                  <c:v>0.26206679894368123</c:v>
                </c:pt>
                <c:pt idx="614">
                  <c:v>0.2613570878584211</c:v>
                </c:pt>
                <c:pt idx="615">
                  <c:v>0.27375236767719185</c:v>
                </c:pt>
                <c:pt idx="616">
                  <c:v>0.2522070424433388</c:v>
                </c:pt>
                <c:pt idx="617">
                  <c:v>0.26760376500475863</c:v>
                </c:pt>
                <c:pt idx="618">
                  <c:v>0.27216723857801167</c:v>
                </c:pt>
                <c:pt idx="619">
                  <c:v>0.30058030194604585</c:v>
                </c:pt>
                <c:pt idx="620">
                  <c:v>0.26872579336955843</c:v>
                </c:pt>
                <c:pt idx="621">
                  <c:v>0.25031991711136953</c:v>
                </c:pt>
                <c:pt idx="622">
                  <c:v>0.2260679372041132</c:v>
                </c:pt>
                <c:pt idx="623">
                  <c:v>0.24415337218044222</c:v>
                </c:pt>
                <c:pt idx="624">
                  <c:v>0.252518145109216</c:v>
                </c:pt>
                <c:pt idx="625">
                  <c:v>0.26143792666833499</c:v>
                </c:pt>
                <c:pt idx="626">
                  <c:v>0.26198032900582113</c:v>
                </c:pt>
                <c:pt idx="627">
                  <c:v>0.26833907485547692</c:v>
                </c:pt>
                <c:pt idx="628">
                  <c:v>0.26377283958779923</c:v>
                </c:pt>
                <c:pt idx="629">
                  <c:v>0.25293285987871161</c:v>
                </c:pt>
                <c:pt idx="630">
                  <c:v>0.25003037480471813</c:v>
                </c:pt>
                <c:pt idx="631">
                  <c:v>0.27535242623691586</c:v>
                </c:pt>
                <c:pt idx="632">
                  <c:v>0.27591899501518108</c:v>
                </c:pt>
                <c:pt idx="633">
                  <c:v>0.2745597881431851</c:v>
                </c:pt>
                <c:pt idx="634">
                  <c:v>0.26220696660223552</c:v>
                </c:pt>
                <c:pt idx="635">
                  <c:v>0.27377492101115769</c:v>
                </c:pt>
                <c:pt idx="636">
                  <c:v>0.27111691206930177</c:v>
                </c:pt>
                <c:pt idx="637">
                  <c:v>0.25554580264605364</c:v>
                </c:pt>
                <c:pt idx="638">
                  <c:v>0.26452347958818556</c:v>
                </c:pt>
                <c:pt idx="639">
                  <c:v>0.28524580997921284</c:v>
                </c:pt>
                <c:pt idx="640">
                  <c:v>0.24864347153055277</c:v>
                </c:pt>
                <c:pt idx="641">
                  <c:v>0.26312089466875932</c:v>
                </c:pt>
                <c:pt idx="642">
                  <c:v>0.26365569323515925</c:v>
                </c:pt>
                <c:pt idx="643">
                  <c:v>0.2661430110958683</c:v>
                </c:pt>
                <c:pt idx="644">
                  <c:v>0.24524334259196209</c:v>
                </c:pt>
                <c:pt idx="645">
                  <c:v>0.27500588416865651</c:v>
                </c:pt>
                <c:pt idx="646">
                  <c:v>0.25570116681059829</c:v>
                </c:pt>
                <c:pt idx="647">
                  <c:v>0.28241621408931755</c:v>
                </c:pt>
                <c:pt idx="648">
                  <c:v>0.2734620477171269</c:v>
                </c:pt>
                <c:pt idx="649">
                  <c:v>0.25392904430876073</c:v>
                </c:pt>
                <c:pt idx="650">
                  <c:v>0.26386367045542591</c:v>
                </c:pt>
                <c:pt idx="651">
                  <c:v>0.26811736953794163</c:v>
                </c:pt>
                <c:pt idx="652">
                  <c:v>0.27511272406149589</c:v>
                </c:pt>
                <c:pt idx="653">
                  <c:v>0.26919198825352458</c:v>
                </c:pt>
                <c:pt idx="654">
                  <c:v>0.28813011808040573</c:v>
                </c:pt>
                <c:pt idx="655">
                  <c:v>0.29163624564066154</c:v>
                </c:pt>
                <c:pt idx="656">
                  <c:v>0.26475732899175264</c:v>
                </c:pt>
                <c:pt idx="657">
                  <c:v>0.2524859091421926</c:v>
                </c:pt>
                <c:pt idx="658">
                  <c:v>0.29221719433715687</c:v>
                </c:pt>
                <c:pt idx="659">
                  <c:v>0.24911931496051323</c:v>
                </c:pt>
                <c:pt idx="660">
                  <c:v>0.27134122568469043</c:v>
                </c:pt>
                <c:pt idx="661">
                  <c:v>0.27841407675023389</c:v>
                </c:pt>
                <c:pt idx="662">
                  <c:v>0.24586684261550096</c:v>
                </c:pt>
                <c:pt idx="663">
                  <c:v>0.25903828061275996</c:v>
                </c:pt>
                <c:pt idx="664">
                  <c:v>0.27424066863428215</c:v>
                </c:pt>
                <c:pt idx="665">
                  <c:v>0.26969198446146947</c:v>
                </c:pt>
                <c:pt idx="666">
                  <c:v>0.27221247029755796</c:v>
                </c:pt>
                <c:pt idx="667">
                  <c:v>0.26774273182058245</c:v>
                </c:pt>
                <c:pt idx="668">
                  <c:v>0.26582892013680254</c:v>
                </c:pt>
                <c:pt idx="669">
                  <c:v>0.28951664569354735</c:v>
                </c:pt>
                <c:pt idx="670">
                  <c:v>0.26159289876475955</c:v>
                </c:pt>
                <c:pt idx="671">
                  <c:v>0.27181137137275801</c:v>
                </c:pt>
                <c:pt idx="672">
                  <c:v>0.26093891651784767</c:v>
                </c:pt>
                <c:pt idx="673">
                  <c:v>0.27488646312955756</c:v>
                </c:pt>
                <c:pt idx="674">
                  <c:v>0.28611723302395575</c:v>
                </c:pt>
                <c:pt idx="675">
                  <c:v>0.29090934431598264</c:v>
                </c:pt>
                <c:pt idx="676">
                  <c:v>0.26130352608913487</c:v>
                </c:pt>
                <c:pt idx="677">
                  <c:v>0.27778893797818804</c:v>
                </c:pt>
                <c:pt idx="678">
                  <c:v>0.25334825078018641</c:v>
                </c:pt>
                <c:pt idx="679">
                  <c:v>0.24852693546348625</c:v>
                </c:pt>
                <c:pt idx="680">
                  <c:v>0.2593796400688787</c:v>
                </c:pt>
                <c:pt idx="681">
                  <c:v>0.30209332217757773</c:v>
                </c:pt>
                <c:pt idx="682">
                  <c:v>0.26687167923310673</c:v>
                </c:pt>
                <c:pt idx="683">
                  <c:v>0.26037917625411522</c:v>
                </c:pt>
                <c:pt idx="684">
                  <c:v>0.26910485700631515</c:v>
                </c:pt>
                <c:pt idx="685">
                  <c:v>0.25799881529573948</c:v>
                </c:pt>
                <c:pt idx="686">
                  <c:v>0.2689245383041306</c:v>
                </c:pt>
                <c:pt idx="687">
                  <c:v>0.2815501034827283</c:v>
                </c:pt>
                <c:pt idx="688">
                  <c:v>0.27187610377841948</c:v>
                </c:pt>
                <c:pt idx="689">
                  <c:v>0.29167290745160535</c:v>
                </c:pt>
                <c:pt idx="690">
                  <c:v>0.28530362951772659</c:v>
                </c:pt>
                <c:pt idx="691">
                  <c:v>0.27116696319027161</c:v>
                </c:pt>
                <c:pt idx="692">
                  <c:v>0.27922922556226798</c:v>
                </c:pt>
                <c:pt idx="693">
                  <c:v>0.28028891901791225</c:v>
                </c:pt>
                <c:pt idx="694">
                  <c:v>0.27446540000488068</c:v>
                </c:pt>
                <c:pt idx="695">
                  <c:v>0.26537685718029785</c:v>
                </c:pt>
                <c:pt idx="696">
                  <c:v>0.25799045418431266</c:v>
                </c:pt>
                <c:pt idx="697">
                  <c:v>0.26940596100662739</c:v>
                </c:pt>
                <c:pt idx="698">
                  <c:v>0.26293187103753179</c:v>
                </c:pt>
                <c:pt idx="699">
                  <c:v>0.24742769625067593</c:v>
                </c:pt>
                <c:pt idx="700">
                  <c:v>0.2986784774006172</c:v>
                </c:pt>
                <c:pt idx="701">
                  <c:v>0.28799781577622591</c:v>
                </c:pt>
                <c:pt idx="702">
                  <c:v>0.25348568082783524</c:v>
                </c:pt>
                <c:pt idx="703">
                  <c:v>0.26376816160320044</c:v>
                </c:pt>
                <c:pt idx="704">
                  <c:v>0.27610954505271418</c:v>
                </c:pt>
                <c:pt idx="705">
                  <c:v>0.24827592155949704</c:v>
                </c:pt>
                <c:pt idx="706">
                  <c:v>0.27662275982047024</c:v>
                </c:pt>
                <c:pt idx="707">
                  <c:v>0.27416389084428827</c:v>
                </c:pt>
                <c:pt idx="708">
                  <c:v>0.27467254370299754</c:v>
                </c:pt>
                <c:pt idx="709">
                  <c:v>0.28143531466538196</c:v>
                </c:pt>
                <c:pt idx="710">
                  <c:v>0.26235495434908485</c:v>
                </c:pt>
                <c:pt idx="711">
                  <c:v>0.28585353050503964</c:v>
                </c:pt>
                <c:pt idx="712">
                  <c:v>0.28454227577795227</c:v>
                </c:pt>
                <c:pt idx="713">
                  <c:v>0.28904494424559629</c:v>
                </c:pt>
                <c:pt idx="714">
                  <c:v>0.30076864688895061</c:v>
                </c:pt>
                <c:pt idx="715">
                  <c:v>0.29367504672647538</c:v>
                </c:pt>
                <c:pt idx="716">
                  <c:v>0.2942148905623696</c:v>
                </c:pt>
                <c:pt idx="717">
                  <c:v>0.25821489129104108</c:v>
                </c:pt>
                <c:pt idx="718">
                  <c:v>0.29337090935414056</c:v>
                </c:pt>
                <c:pt idx="719">
                  <c:v>0.27457215169141025</c:v>
                </c:pt>
                <c:pt idx="720">
                  <c:v>0.29583442207005234</c:v>
                </c:pt>
                <c:pt idx="721">
                  <c:v>0.26351637596155925</c:v>
                </c:pt>
                <c:pt idx="722">
                  <c:v>0.31573539885457624</c:v>
                </c:pt>
                <c:pt idx="723">
                  <c:v>0.30556209352072944</c:v>
                </c:pt>
                <c:pt idx="724">
                  <c:v>0.28100799671995658</c:v>
                </c:pt>
                <c:pt idx="725">
                  <c:v>0.27537221903266312</c:v>
                </c:pt>
                <c:pt idx="726">
                  <c:v>0.27113598734630656</c:v>
                </c:pt>
                <c:pt idx="727">
                  <c:v>0.30372444736389148</c:v>
                </c:pt>
                <c:pt idx="728">
                  <c:v>0.2985336412495237</c:v>
                </c:pt>
                <c:pt idx="729">
                  <c:v>0.28380776656905388</c:v>
                </c:pt>
                <c:pt idx="730">
                  <c:v>0.29907348508541798</c:v>
                </c:pt>
                <c:pt idx="731">
                  <c:v>0.25105939024236429</c:v>
                </c:pt>
                <c:pt idx="732">
                  <c:v>0.27310074087780156</c:v>
                </c:pt>
                <c:pt idx="733">
                  <c:v>0.28534741087232174</c:v>
                </c:pt>
                <c:pt idx="734">
                  <c:v>0.29241706200796946</c:v>
                </c:pt>
                <c:pt idx="735">
                  <c:v>0.29702961121370663</c:v>
                </c:pt>
                <c:pt idx="736">
                  <c:v>0.29481941614818663</c:v>
                </c:pt>
                <c:pt idx="737">
                  <c:v>0.29948719718395378</c:v>
                </c:pt>
                <c:pt idx="738">
                  <c:v>0.2791509003938073</c:v>
                </c:pt>
                <c:pt idx="739">
                  <c:v>0.29451700500264072</c:v>
                </c:pt>
                <c:pt idx="740">
                  <c:v>0.28586290659460112</c:v>
                </c:pt>
                <c:pt idx="741">
                  <c:v>0.31431024818046266</c:v>
                </c:pt>
                <c:pt idx="742">
                  <c:v>0.32274023885102215</c:v>
                </c:pt>
                <c:pt idx="743">
                  <c:v>0.27467254370299754</c:v>
                </c:pt>
                <c:pt idx="744">
                  <c:v>0.28738886517072887</c:v>
                </c:pt>
                <c:pt idx="745">
                  <c:v>0.30555161111614898</c:v>
                </c:pt>
                <c:pt idx="746">
                  <c:v>0.31293208481460666</c:v>
                </c:pt>
                <c:pt idx="747">
                  <c:v>0.30376558571515305</c:v>
                </c:pt>
                <c:pt idx="748">
                  <c:v>0.31403785189875721</c:v>
                </c:pt>
                <c:pt idx="749">
                  <c:v>0.29819190524331535</c:v>
                </c:pt>
                <c:pt idx="750">
                  <c:v>0.31459073544083249</c:v>
                </c:pt>
                <c:pt idx="751">
                  <c:v>0.29122646932795498</c:v>
                </c:pt>
                <c:pt idx="752">
                  <c:v>0.28118417728216349</c:v>
                </c:pt>
                <c:pt idx="753">
                  <c:v>0.30825083029562034</c:v>
                </c:pt>
                <c:pt idx="754">
                  <c:v>0.27738823269441132</c:v>
                </c:pt>
                <c:pt idx="755">
                  <c:v>0.27163329010739035</c:v>
                </c:pt>
                <c:pt idx="756">
                  <c:v>0.30081683398665438</c:v>
                </c:pt>
                <c:pt idx="757">
                  <c:v>0.28194213176952898</c:v>
                </c:pt>
                <c:pt idx="758">
                  <c:v>0.30750917567995245</c:v>
                </c:pt>
                <c:pt idx="759">
                  <c:v>0.28122634015175135</c:v>
                </c:pt>
                <c:pt idx="760">
                  <c:v>0.29694329048972706</c:v>
                </c:pt>
                <c:pt idx="761">
                  <c:v>0.28051664037752938</c:v>
                </c:pt>
                <c:pt idx="762">
                  <c:v>0.27981295500817371</c:v>
                </c:pt>
                <c:pt idx="763">
                  <c:v>0.27677951579555893</c:v>
                </c:pt>
                <c:pt idx="764">
                  <c:v>0.31803030901508933</c:v>
                </c:pt>
                <c:pt idx="765">
                  <c:v>0.28562392744977655</c:v>
                </c:pt>
                <c:pt idx="766">
                  <c:v>0.28810761377542676</c:v>
                </c:pt>
                <c:pt idx="767">
                  <c:v>0.25828481736014686</c:v>
                </c:pt>
                <c:pt idx="768">
                  <c:v>0.25629034000601442</c:v>
                </c:pt>
                <c:pt idx="769">
                  <c:v>0.30501671997599689</c:v>
                </c:pt>
                <c:pt idx="770">
                  <c:v>0.27186976264480367</c:v>
                </c:pt>
                <c:pt idx="771">
                  <c:v>0.28392569677100626</c:v>
                </c:pt>
                <c:pt idx="772">
                  <c:v>0.28034680143355667</c:v>
                </c:pt>
                <c:pt idx="773">
                  <c:v>0.28933760014890075</c:v>
                </c:pt>
                <c:pt idx="774">
                  <c:v>0.33144273528517648</c:v>
                </c:pt>
                <c:pt idx="775">
                  <c:v>0.27105843128585283</c:v>
                </c:pt>
                <c:pt idx="776">
                  <c:v>0.30158302940362902</c:v>
                </c:pt>
                <c:pt idx="777">
                  <c:v>0.26197609148755946</c:v>
                </c:pt>
                <c:pt idx="778">
                  <c:v>0.2895703720432104</c:v>
                </c:pt>
                <c:pt idx="779">
                  <c:v>0.26494005199698584</c:v>
                </c:pt>
                <c:pt idx="780">
                  <c:v>0.3045012362318299</c:v>
                </c:pt>
                <c:pt idx="781">
                  <c:v>0.27181137137275796</c:v>
                </c:pt>
                <c:pt idx="782">
                  <c:v>0.3149963556095513</c:v>
                </c:pt>
                <c:pt idx="783">
                  <c:v>0.293581160841972</c:v>
                </c:pt>
                <c:pt idx="784">
                  <c:v>0.3175498304547566</c:v>
                </c:pt>
                <c:pt idx="785">
                  <c:v>0.3251832398406882</c:v>
                </c:pt>
                <c:pt idx="786">
                  <c:v>0.33319267924563128</c:v>
                </c:pt>
                <c:pt idx="787">
                  <c:v>0.31366926287070707</c:v>
                </c:pt>
                <c:pt idx="788">
                  <c:v>0.28879577733311618</c:v>
                </c:pt>
                <c:pt idx="789">
                  <c:v>0.27747532476119147</c:v>
                </c:pt>
                <c:pt idx="790">
                  <c:v>0.31380599751014504</c:v>
                </c:pt>
                <c:pt idx="791">
                  <c:v>0.28611723302395575</c:v>
                </c:pt>
                <c:pt idx="792">
                  <c:v>0.30181570067659763</c:v>
                </c:pt>
                <c:pt idx="793">
                  <c:v>0.28186094360707048</c:v>
                </c:pt>
                <c:pt idx="794">
                  <c:v>0.29074380955796014</c:v>
                </c:pt>
                <c:pt idx="795">
                  <c:v>0.28951184426322302</c:v>
                </c:pt>
                <c:pt idx="796">
                  <c:v>0.29499673335918208</c:v>
                </c:pt>
                <c:pt idx="797">
                  <c:v>0.32131099595929685</c:v>
                </c:pt>
                <c:pt idx="798">
                  <c:v>0.29549003893336123</c:v>
                </c:pt>
                <c:pt idx="799">
                  <c:v>0.29986085557095804</c:v>
                </c:pt>
                <c:pt idx="800">
                  <c:v>0.29096667765148038</c:v>
                </c:pt>
                <c:pt idx="801">
                  <c:v>0.3030069727707444</c:v>
                </c:pt>
                <c:pt idx="802">
                  <c:v>0.2762352723652971</c:v>
                </c:pt>
                <c:pt idx="803">
                  <c:v>0.29569540648999376</c:v>
                </c:pt>
                <c:pt idx="804">
                  <c:v>0.30946850495685257</c:v>
                </c:pt>
                <c:pt idx="805">
                  <c:v>0.30586691813534389</c:v>
                </c:pt>
                <c:pt idx="806">
                  <c:v>0.29924642207180824</c:v>
                </c:pt>
                <c:pt idx="807">
                  <c:v>0.26897246497504951</c:v>
                </c:pt>
                <c:pt idx="808">
                  <c:v>0.30235969603404933</c:v>
                </c:pt>
                <c:pt idx="809">
                  <c:v>0.3041877951096793</c:v>
                </c:pt>
                <c:pt idx="810">
                  <c:v>0.27676997680564325</c:v>
                </c:pt>
                <c:pt idx="811">
                  <c:v>0.30204027903572372</c:v>
                </c:pt>
                <c:pt idx="812">
                  <c:v>0.32066226300196338</c:v>
                </c:pt>
                <c:pt idx="813">
                  <c:v>0.3226766572436835</c:v>
                </c:pt>
                <c:pt idx="814">
                  <c:v>0.32024130668736334</c:v>
                </c:pt>
                <c:pt idx="815">
                  <c:v>0.26189907022866965</c:v>
                </c:pt>
                <c:pt idx="816">
                  <c:v>0.336737974251271</c:v>
                </c:pt>
                <c:pt idx="817">
                  <c:v>0.29932264377890755</c:v>
                </c:pt>
                <c:pt idx="818">
                  <c:v>0.33567438056207632</c:v>
                </c:pt>
                <c:pt idx="819">
                  <c:v>0.32937063632616881</c:v>
                </c:pt>
                <c:pt idx="820">
                  <c:v>0.33622197335255283</c:v>
                </c:pt>
                <c:pt idx="821">
                  <c:v>0.28964954454277003</c:v>
                </c:pt>
                <c:pt idx="822">
                  <c:v>0.28846245624546363</c:v>
                </c:pt>
                <c:pt idx="823">
                  <c:v>0.28312966352250085</c:v>
                </c:pt>
                <c:pt idx="824">
                  <c:v>0.2979482409717818</c:v>
                </c:pt>
                <c:pt idx="825">
                  <c:v>0.31807987887528055</c:v>
                </c:pt>
                <c:pt idx="826">
                  <c:v>0.29969567798102481</c:v>
                </c:pt>
                <c:pt idx="827">
                  <c:v>0.30404560899884742</c:v>
                </c:pt>
                <c:pt idx="828">
                  <c:v>0.31819315600870413</c:v>
                </c:pt>
                <c:pt idx="829">
                  <c:v>0.30194499485081289</c:v>
                </c:pt>
                <c:pt idx="830">
                  <c:v>0.30115051136928223</c:v>
                </c:pt>
                <c:pt idx="831">
                  <c:v>0.30683606713948364</c:v>
                </c:pt>
                <c:pt idx="832">
                  <c:v>0.31135552170117808</c:v>
                </c:pt>
                <c:pt idx="833">
                  <c:v>0.29756192234491396</c:v>
                </c:pt>
                <c:pt idx="834">
                  <c:v>0.31099699241734324</c:v>
                </c:pt>
                <c:pt idx="835">
                  <c:v>0.30357523368304457</c:v>
                </c:pt>
                <c:pt idx="836">
                  <c:v>0.2888861094725747</c:v>
                </c:pt>
                <c:pt idx="837">
                  <c:v>0.31751416832923945</c:v>
                </c:pt>
                <c:pt idx="838">
                  <c:v>0.27643326513699112</c:v>
                </c:pt>
                <c:pt idx="839">
                  <c:v>0.28230233658363635</c:v>
                </c:pt>
                <c:pt idx="840">
                  <c:v>0.31852697269392599</c:v>
                </c:pt>
                <c:pt idx="841">
                  <c:v>0.2777538062124863</c:v>
                </c:pt>
                <c:pt idx="842">
                  <c:v>0.28431491974506473</c:v>
                </c:pt>
                <c:pt idx="843">
                  <c:v>0.32004617924095585</c:v>
                </c:pt>
                <c:pt idx="844">
                  <c:v>0.3449756352460267</c:v>
                </c:pt>
                <c:pt idx="845">
                  <c:v>0.31824267673190876</c:v>
                </c:pt>
                <c:pt idx="846">
                  <c:v>0.33592282543923702</c:v>
                </c:pt>
                <c:pt idx="847">
                  <c:v>0.32735935670308453</c:v>
                </c:pt>
                <c:pt idx="848">
                  <c:v>0.30712330835989177</c:v>
                </c:pt>
                <c:pt idx="849">
                  <c:v>0.30077778545989403</c:v>
                </c:pt>
                <c:pt idx="850">
                  <c:v>0.29161068389801575</c:v>
                </c:pt>
                <c:pt idx="851">
                  <c:v>0.33961450171029539</c:v>
                </c:pt>
                <c:pt idx="852">
                  <c:v>0.28567017484735585</c:v>
                </c:pt>
                <c:pt idx="853">
                  <c:v>0.31301714382107981</c:v>
                </c:pt>
                <c:pt idx="854">
                  <c:v>0.28837012462256961</c:v>
                </c:pt>
                <c:pt idx="855">
                  <c:v>0.33345662976064661</c:v>
                </c:pt>
                <c:pt idx="856">
                  <c:v>0.33096804252500822</c:v>
                </c:pt>
                <c:pt idx="857">
                  <c:v>0.3324656354776101</c:v>
                </c:pt>
                <c:pt idx="858">
                  <c:v>0.31314618014366563</c:v>
                </c:pt>
                <c:pt idx="859">
                  <c:v>0.32706378815005077</c:v>
                </c:pt>
                <c:pt idx="860">
                  <c:v>0.30083183357947352</c:v>
                </c:pt>
                <c:pt idx="861">
                  <c:v>0.31818209534560604</c:v>
                </c:pt>
                <c:pt idx="862">
                  <c:v>0.29645881975976146</c:v>
                </c:pt>
                <c:pt idx="863">
                  <c:v>0.2993226437789076</c:v>
                </c:pt>
                <c:pt idx="864">
                  <c:v>0.2783727064157886</c:v>
                </c:pt>
                <c:pt idx="865">
                  <c:v>0.31291808776290864</c:v>
                </c:pt>
                <c:pt idx="866">
                  <c:v>0.3238497240166347</c:v>
                </c:pt>
                <c:pt idx="867">
                  <c:v>0.30146986503987538</c:v>
                </c:pt>
                <c:pt idx="868">
                  <c:v>0.33307638427362735</c:v>
                </c:pt>
                <c:pt idx="869">
                  <c:v>0.32484926020187121</c:v>
                </c:pt>
                <c:pt idx="870">
                  <c:v>0.31125724094656276</c:v>
                </c:pt>
                <c:pt idx="871">
                  <c:v>0.3417657223827435</c:v>
                </c:pt>
                <c:pt idx="872">
                  <c:v>0.29565447412475426</c:v>
                </c:pt>
                <c:pt idx="873">
                  <c:v>0.3175292526495645</c:v>
                </c:pt>
                <c:pt idx="874">
                  <c:v>0.30456887499039864</c:v>
                </c:pt>
                <c:pt idx="875">
                  <c:v>0.32212853993903989</c:v>
                </c:pt>
                <c:pt idx="876">
                  <c:v>0.28033059235605556</c:v>
                </c:pt>
                <c:pt idx="877">
                  <c:v>0.30929036429366458</c:v>
                </c:pt>
                <c:pt idx="878">
                  <c:v>0.28831813481644775</c:v>
                </c:pt>
                <c:pt idx="879">
                  <c:v>0.31104861017542085</c:v>
                </c:pt>
                <c:pt idx="880">
                  <c:v>0.30273049171566935</c:v>
                </c:pt>
                <c:pt idx="881">
                  <c:v>0.30895951417895473</c:v>
                </c:pt>
                <c:pt idx="882">
                  <c:v>0.3031919711237725</c:v>
                </c:pt>
                <c:pt idx="883">
                  <c:v>0.32459506780993608</c:v>
                </c:pt>
                <c:pt idx="884">
                  <c:v>0.28633481266884092</c:v>
                </c:pt>
                <c:pt idx="885">
                  <c:v>0.35189745669114564</c:v>
                </c:pt>
                <c:pt idx="886">
                  <c:v>0.32369314431379714</c:v>
                </c:pt>
                <c:pt idx="887">
                  <c:v>0.30457640934808194</c:v>
                </c:pt>
                <c:pt idx="888">
                  <c:v>0.33275308157852129</c:v>
                </c:pt>
                <c:pt idx="889">
                  <c:v>0.29164073173098198</c:v>
                </c:pt>
                <c:pt idx="890">
                  <c:v>0.3038128369941121</c:v>
                </c:pt>
                <c:pt idx="891">
                  <c:v>0.29711311099899401</c:v>
                </c:pt>
                <c:pt idx="892">
                  <c:v>0.32847744674438556</c:v>
                </c:pt>
                <c:pt idx="893">
                  <c:v>0.34699879950302581</c:v>
                </c:pt>
                <c:pt idx="894">
                  <c:v>0.33090079993205324</c:v>
                </c:pt>
                <c:pt idx="895">
                  <c:v>0.34180103532547895</c:v>
                </c:pt>
                <c:pt idx="896">
                  <c:v>0.30488652351032725</c:v>
                </c:pt>
                <c:pt idx="897">
                  <c:v>0.31157582763588332</c:v>
                </c:pt>
                <c:pt idx="898">
                  <c:v>0.34908915371689947</c:v>
                </c:pt>
                <c:pt idx="899">
                  <c:v>0.30703021953414056</c:v>
                </c:pt>
                <c:pt idx="900">
                  <c:v>0.30997964193202654</c:v>
                </c:pt>
                <c:pt idx="901">
                  <c:v>0.29720704825744249</c:v>
                </c:pt>
                <c:pt idx="902">
                  <c:v>0.34540278581270339</c:v>
                </c:pt>
                <c:pt idx="903">
                  <c:v>0.33100804027426611</c:v>
                </c:pt>
                <c:pt idx="904">
                  <c:v>0.32726941377378427</c:v>
                </c:pt>
                <c:pt idx="905">
                  <c:v>0.34334067962874687</c:v>
                </c:pt>
                <c:pt idx="906">
                  <c:v>0.32775642182999526</c:v>
                </c:pt>
                <c:pt idx="907">
                  <c:v>0.30489014238442086</c:v>
                </c:pt>
                <c:pt idx="908">
                  <c:v>0.33442273989813009</c:v>
                </c:pt>
                <c:pt idx="909">
                  <c:v>0.29942501130413979</c:v>
                </c:pt>
                <c:pt idx="910">
                  <c:v>0.30823147334532919</c:v>
                </c:pt>
                <c:pt idx="911">
                  <c:v>0.32283561126203009</c:v>
                </c:pt>
                <c:pt idx="912">
                  <c:v>0.3283074012834204</c:v>
                </c:pt>
                <c:pt idx="913">
                  <c:v>0.3154268032361659</c:v>
                </c:pt>
                <c:pt idx="914">
                  <c:v>0.35322472949684719</c:v>
                </c:pt>
                <c:pt idx="915">
                  <c:v>0.3614392580897971</c:v>
                </c:pt>
                <c:pt idx="916">
                  <c:v>0.31764851992863663</c:v>
                </c:pt>
                <c:pt idx="917">
                  <c:v>0.33165248627968319</c:v>
                </c:pt>
                <c:pt idx="918">
                  <c:v>0.32387046128188851</c:v>
                </c:pt>
                <c:pt idx="919">
                  <c:v>0.29233251374133007</c:v>
                </c:pt>
                <c:pt idx="920">
                  <c:v>0.30774499237064845</c:v>
                </c:pt>
                <c:pt idx="921">
                  <c:v>0.31646651037305551</c:v>
                </c:pt>
                <c:pt idx="922">
                  <c:v>0.31565191514255764</c:v>
                </c:pt>
                <c:pt idx="923">
                  <c:v>0.27898975746819887</c:v>
                </c:pt>
                <c:pt idx="924">
                  <c:v>0.29404707393922641</c:v>
                </c:pt>
                <c:pt idx="925">
                  <c:v>0.31530348892278498</c:v>
                </c:pt>
                <c:pt idx="926">
                  <c:v>0.37619624705733518</c:v>
                </c:pt>
                <c:pt idx="927">
                  <c:v>0.32007911596826277</c:v>
                </c:pt>
                <c:pt idx="928">
                  <c:v>0.31044846228898509</c:v>
                </c:pt>
                <c:pt idx="929">
                  <c:v>0.31291233897381826</c:v>
                </c:pt>
                <c:pt idx="930">
                  <c:v>0.29912256179777191</c:v>
                </c:pt>
                <c:pt idx="931">
                  <c:v>0.32544363460008796</c:v>
                </c:pt>
                <c:pt idx="932">
                  <c:v>0.31012864003067209</c:v>
                </c:pt>
                <c:pt idx="933">
                  <c:v>0.33700957489800404</c:v>
                </c:pt>
                <c:pt idx="934">
                  <c:v>0.35093671236389617</c:v>
                </c:pt>
                <c:pt idx="935">
                  <c:v>0.31724678797696215</c:v>
                </c:pt>
                <c:pt idx="936">
                  <c:v>0.30431472753812311</c:v>
                </c:pt>
                <c:pt idx="937">
                  <c:v>0.32732753407678894</c:v>
                </c:pt>
                <c:pt idx="938">
                  <c:v>0.33609720537497589</c:v>
                </c:pt>
                <c:pt idx="939">
                  <c:v>0.34936420032398813</c:v>
                </c:pt>
                <c:pt idx="940">
                  <c:v>0.31780671142262495</c:v>
                </c:pt>
                <c:pt idx="941">
                  <c:v>0.3408952331926447</c:v>
                </c:pt>
                <c:pt idx="942">
                  <c:v>0.3049005017568262</c:v>
                </c:pt>
                <c:pt idx="943">
                  <c:v>0.33472124834099592</c:v>
                </c:pt>
                <c:pt idx="944">
                  <c:v>0.32434342205144778</c:v>
                </c:pt>
                <c:pt idx="945">
                  <c:v>0.32090908855966882</c:v>
                </c:pt>
                <c:pt idx="946">
                  <c:v>0.30317629823821424</c:v>
                </c:pt>
                <c:pt idx="947">
                  <c:v>0.32265750615713568</c:v>
                </c:pt>
                <c:pt idx="948">
                  <c:v>0.30360817330692963</c:v>
                </c:pt>
                <c:pt idx="949">
                  <c:v>0.328859644161412</c:v>
                </c:pt>
                <c:pt idx="950">
                  <c:v>0.32488150330462068</c:v>
                </c:pt>
                <c:pt idx="951">
                  <c:v>0.32274023885102215</c:v>
                </c:pt>
                <c:pt idx="952">
                  <c:v>0.32449601046572335</c:v>
                </c:pt>
                <c:pt idx="953">
                  <c:v>0.31936563875875534</c:v>
                </c:pt>
                <c:pt idx="954">
                  <c:v>0.30649224810293441</c:v>
                </c:pt>
                <c:pt idx="955">
                  <c:v>0.29572408902330033</c:v>
                </c:pt>
                <c:pt idx="956">
                  <c:v>0.34627521535206957</c:v>
                </c:pt>
                <c:pt idx="957">
                  <c:v>0.33669231238835623</c:v>
                </c:pt>
              </c:numCache>
            </c:numRef>
          </c:xVal>
          <c:yVal>
            <c:numRef>
              <c:f>'curves processed'!$AJ$2:$AJ$959</c:f>
              <c:numCache>
                <c:formatCode>General</c:formatCode>
                <c:ptCount val="958"/>
                <c:pt idx="0">
                  <c:v>4.412428401976964</c:v>
                </c:pt>
                <c:pt idx="1">
                  <c:v>3.3334202159729132</c:v>
                </c:pt>
                <c:pt idx="2">
                  <c:v>4.197549216375636</c:v>
                </c:pt>
                <c:pt idx="3">
                  <c:v>3.5455340343674111</c:v>
                </c:pt>
                <c:pt idx="4">
                  <c:v>4.4395761166585519</c:v>
                </c:pt>
                <c:pt idx="5">
                  <c:v>4.9920875886945693</c:v>
                </c:pt>
                <c:pt idx="6">
                  <c:v>2.7330133512698258</c:v>
                </c:pt>
                <c:pt idx="7">
                  <c:v>3.7647695386969242</c:v>
                </c:pt>
                <c:pt idx="8">
                  <c:v>6.7564398383701807</c:v>
                </c:pt>
                <c:pt idx="9">
                  <c:v>6.0248315493281268</c:v>
                </c:pt>
                <c:pt idx="10">
                  <c:v>5.2849968125315412</c:v>
                </c:pt>
                <c:pt idx="11">
                  <c:v>6.2809704296843156</c:v>
                </c:pt>
                <c:pt idx="12">
                  <c:v>5.7830961642197725</c:v>
                </c:pt>
                <c:pt idx="13">
                  <c:v>5.8314603124359703</c:v>
                </c:pt>
                <c:pt idx="14">
                  <c:v>3.8892494460850555</c:v>
                </c:pt>
                <c:pt idx="15">
                  <c:v>4.4903228138809661</c:v>
                </c:pt>
                <c:pt idx="16">
                  <c:v>5.5673210229403498</c:v>
                </c:pt>
                <c:pt idx="17">
                  <c:v>6.0336228555728102</c:v>
                </c:pt>
                <c:pt idx="18">
                  <c:v>8.3084134026474743</c:v>
                </c:pt>
                <c:pt idx="19">
                  <c:v>6.5284850468947697</c:v>
                </c:pt>
                <c:pt idx="20">
                  <c:v>7.0075413660459356</c:v>
                </c:pt>
                <c:pt idx="21">
                  <c:v>8.7165850902395245</c:v>
                </c:pt>
                <c:pt idx="22">
                  <c:v>6.7978605053408119</c:v>
                </c:pt>
                <c:pt idx="23">
                  <c:v>6.931119853364283</c:v>
                </c:pt>
                <c:pt idx="24">
                  <c:v>7.6418547747581247</c:v>
                </c:pt>
                <c:pt idx="25">
                  <c:v>7.6219201987642391</c:v>
                </c:pt>
                <c:pt idx="26">
                  <c:v>9.7185619603165243</c:v>
                </c:pt>
                <c:pt idx="27">
                  <c:v>7.6015059980857886</c:v>
                </c:pt>
                <c:pt idx="28">
                  <c:v>11.174337488343816</c:v>
                </c:pt>
                <c:pt idx="29">
                  <c:v>9.4515064830712046</c:v>
                </c:pt>
                <c:pt idx="30">
                  <c:v>6.677931440579604</c:v>
                </c:pt>
                <c:pt idx="31">
                  <c:v>6.8821400117922717</c:v>
                </c:pt>
                <c:pt idx="32">
                  <c:v>9.516654514293041</c:v>
                </c:pt>
                <c:pt idx="33">
                  <c:v>10.549654624528021</c:v>
                </c:pt>
                <c:pt idx="34">
                  <c:v>8.3706186227248907</c:v>
                </c:pt>
                <c:pt idx="35">
                  <c:v>7.0248480130686826</c:v>
                </c:pt>
                <c:pt idx="36">
                  <c:v>8.0135177286955237</c:v>
                </c:pt>
                <c:pt idx="37">
                  <c:v>9.7048288171654544</c:v>
                </c:pt>
                <c:pt idx="38">
                  <c:v>10.60268106557324</c:v>
                </c:pt>
                <c:pt idx="39">
                  <c:v>8.6164298963221171</c:v>
                </c:pt>
                <c:pt idx="40">
                  <c:v>9.9608083004588455</c:v>
                </c:pt>
                <c:pt idx="41">
                  <c:v>10.09027916071858</c:v>
                </c:pt>
                <c:pt idx="42">
                  <c:v>11.063469229353098</c:v>
                </c:pt>
                <c:pt idx="43">
                  <c:v>7.6169745257938217</c:v>
                </c:pt>
                <c:pt idx="44">
                  <c:v>10.115842000571361</c:v>
                </c:pt>
                <c:pt idx="45">
                  <c:v>8.0701262829608691</c:v>
                </c:pt>
                <c:pt idx="46">
                  <c:v>9.6715567180086488</c:v>
                </c:pt>
                <c:pt idx="47">
                  <c:v>8.6303726538789114</c:v>
                </c:pt>
                <c:pt idx="48">
                  <c:v>10.688971030209789</c:v>
                </c:pt>
                <c:pt idx="49">
                  <c:v>9.7835813736636936</c:v>
                </c:pt>
                <c:pt idx="50">
                  <c:v>10.45753429399409</c:v>
                </c:pt>
                <c:pt idx="51">
                  <c:v>9.9450624659017652</c:v>
                </c:pt>
                <c:pt idx="52">
                  <c:v>9.7871001263024784</c:v>
                </c:pt>
                <c:pt idx="53">
                  <c:v>13.028553335796746</c:v>
                </c:pt>
                <c:pt idx="54">
                  <c:v>14.642063639603355</c:v>
                </c:pt>
                <c:pt idx="55">
                  <c:v>8.3547998135763368</c:v>
                </c:pt>
                <c:pt idx="56">
                  <c:v>11.565392020174789</c:v>
                </c:pt>
                <c:pt idx="57">
                  <c:v>12.147512382046703</c:v>
                </c:pt>
                <c:pt idx="58">
                  <c:v>13.526270442250476</c:v>
                </c:pt>
                <c:pt idx="59">
                  <c:v>10.37442939339248</c:v>
                </c:pt>
                <c:pt idx="60">
                  <c:v>7.9356291115445732</c:v>
                </c:pt>
                <c:pt idx="61">
                  <c:v>10.214032555060232</c:v>
                </c:pt>
                <c:pt idx="62">
                  <c:v>14.151957609128559</c:v>
                </c:pt>
                <c:pt idx="63">
                  <c:v>11.223583257084211</c:v>
                </c:pt>
                <c:pt idx="64">
                  <c:v>9.3603775397967137</c:v>
                </c:pt>
                <c:pt idx="65">
                  <c:v>13.671072654027265</c:v>
                </c:pt>
                <c:pt idx="66">
                  <c:v>10.437685635210263</c:v>
                </c:pt>
                <c:pt idx="67">
                  <c:v>9.6432992648208327</c:v>
                </c:pt>
                <c:pt idx="68">
                  <c:v>10.288604870670246</c:v>
                </c:pt>
                <c:pt idx="69">
                  <c:v>11.472503615876608</c:v>
                </c:pt>
                <c:pt idx="70">
                  <c:v>12.798748544628976</c:v>
                </c:pt>
                <c:pt idx="71">
                  <c:v>10.668558897434519</c:v>
                </c:pt>
                <c:pt idx="72">
                  <c:v>13.782943143019576</c:v>
                </c:pt>
                <c:pt idx="73">
                  <c:v>14.043656651818681</c:v>
                </c:pt>
                <c:pt idx="74">
                  <c:v>10.314954426596524</c:v>
                </c:pt>
                <c:pt idx="75">
                  <c:v>11.652145955238076</c:v>
                </c:pt>
                <c:pt idx="76">
                  <c:v>12.548417960457845</c:v>
                </c:pt>
                <c:pt idx="77">
                  <c:v>8.2561553226162481</c:v>
                </c:pt>
                <c:pt idx="78">
                  <c:v>10.092690300388373</c:v>
                </c:pt>
                <c:pt idx="79">
                  <c:v>11.175794100321829</c:v>
                </c:pt>
                <c:pt idx="80">
                  <c:v>11.197681148434727</c:v>
                </c:pt>
                <c:pt idx="81">
                  <c:v>14.911700484431666</c:v>
                </c:pt>
                <c:pt idx="82">
                  <c:v>11.380804916554641</c:v>
                </c:pt>
                <c:pt idx="83">
                  <c:v>17.048061042120999</c:v>
                </c:pt>
                <c:pt idx="84">
                  <c:v>13.779453164610324</c:v>
                </c:pt>
                <c:pt idx="85">
                  <c:v>12.943142004326912</c:v>
                </c:pt>
                <c:pt idx="86">
                  <c:v>12.401428364682122</c:v>
                </c:pt>
                <c:pt idx="87">
                  <c:v>12.150807440404229</c:v>
                </c:pt>
                <c:pt idx="88">
                  <c:v>10.99882953187335</c:v>
                </c:pt>
                <c:pt idx="89">
                  <c:v>13.757597540811718</c:v>
                </c:pt>
                <c:pt idx="90">
                  <c:v>12.15479771109484</c:v>
                </c:pt>
                <c:pt idx="91">
                  <c:v>15.267902748797066</c:v>
                </c:pt>
                <c:pt idx="92">
                  <c:v>18.862753794934516</c:v>
                </c:pt>
                <c:pt idx="93">
                  <c:v>15.436755011850714</c:v>
                </c:pt>
                <c:pt idx="94">
                  <c:v>10.265436070766876</c:v>
                </c:pt>
                <c:pt idx="95">
                  <c:v>11.639027855729067</c:v>
                </c:pt>
                <c:pt idx="96">
                  <c:v>9.9175630969668909</c:v>
                </c:pt>
                <c:pt idx="97">
                  <c:v>15.516073698156379</c:v>
                </c:pt>
                <c:pt idx="98">
                  <c:v>14.504584545584089</c:v>
                </c:pt>
                <c:pt idx="99">
                  <c:v>15.176290633215476</c:v>
                </c:pt>
                <c:pt idx="100">
                  <c:v>13.287451377022334</c:v>
                </c:pt>
                <c:pt idx="101">
                  <c:v>14.139627156212725</c:v>
                </c:pt>
                <c:pt idx="102">
                  <c:v>14.80463709329163</c:v>
                </c:pt>
                <c:pt idx="103">
                  <c:v>12.876795622249976</c:v>
                </c:pt>
                <c:pt idx="104">
                  <c:v>17.336581296484763</c:v>
                </c:pt>
                <c:pt idx="105">
                  <c:v>13.977310252671749</c:v>
                </c:pt>
                <c:pt idx="106">
                  <c:v>19.371932982364353</c:v>
                </c:pt>
                <c:pt idx="107">
                  <c:v>16.218419242159584</c:v>
                </c:pt>
                <c:pt idx="108">
                  <c:v>14.68028949704598</c:v>
                </c:pt>
                <c:pt idx="109">
                  <c:v>16.719542387883614</c:v>
                </c:pt>
                <c:pt idx="110">
                  <c:v>16.246382804827327</c:v>
                </c:pt>
                <c:pt idx="111">
                  <c:v>16.115275524982543</c:v>
                </c:pt>
                <c:pt idx="112">
                  <c:v>13.19699640595622</c:v>
                </c:pt>
                <c:pt idx="113">
                  <c:v>11.264647648233288</c:v>
                </c:pt>
                <c:pt idx="114">
                  <c:v>13.694778044009899</c:v>
                </c:pt>
                <c:pt idx="115">
                  <c:v>12.324525127476523</c:v>
                </c:pt>
                <c:pt idx="116">
                  <c:v>13.665569005618817</c:v>
                </c:pt>
                <c:pt idx="117">
                  <c:v>15.358233014573166</c:v>
                </c:pt>
                <c:pt idx="118">
                  <c:v>12.418787738933259</c:v>
                </c:pt>
                <c:pt idx="119">
                  <c:v>13.752622291822142</c:v>
                </c:pt>
                <c:pt idx="120">
                  <c:v>17.955213828377655</c:v>
                </c:pt>
                <c:pt idx="121">
                  <c:v>14.539593274771338</c:v>
                </c:pt>
                <c:pt idx="122">
                  <c:v>15.251870383608654</c:v>
                </c:pt>
                <c:pt idx="123">
                  <c:v>15.436028804082156</c:v>
                </c:pt>
                <c:pt idx="124">
                  <c:v>14.897370216760473</c:v>
                </c:pt>
                <c:pt idx="125">
                  <c:v>18.064633499889176</c:v>
                </c:pt>
                <c:pt idx="126">
                  <c:v>13.762060903208312</c:v>
                </c:pt>
                <c:pt idx="127">
                  <c:v>16.567174794750628</c:v>
                </c:pt>
                <c:pt idx="128">
                  <c:v>15.688204213304713</c:v>
                </c:pt>
                <c:pt idx="129">
                  <c:v>17.245431362538248</c:v>
                </c:pt>
                <c:pt idx="130">
                  <c:v>15.32028673679446</c:v>
                </c:pt>
                <c:pt idx="131">
                  <c:v>15.742185447521912</c:v>
                </c:pt>
                <c:pt idx="132">
                  <c:v>17.867104038754054</c:v>
                </c:pt>
                <c:pt idx="133">
                  <c:v>15.07983975465827</c:v>
                </c:pt>
                <c:pt idx="134">
                  <c:v>16.747999378883129</c:v>
                </c:pt>
                <c:pt idx="135">
                  <c:v>15.602143500909621</c:v>
                </c:pt>
                <c:pt idx="136">
                  <c:v>15.134352913357716</c:v>
                </c:pt>
                <c:pt idx="137">
                  <c:v>16.462355808171012</c:v>
                </c:pt>
                <c:pt idx="138">
                  <c:v>16.914727982081988</c:v>
                </c:pt>
                <c:pt idx="139">
                  <c:v>15.761623640720389</c:v>
                </c:pt>
                <c:pt idx="140">
                  <c:v>15.874891251184382</c:v>
                </c:pt>
                <c:pt idx="141">
                  <c:v>16.619613655665621</c:v>
                </c:pt>
                <c:pt idx="142">
                  <c:v>14.941353998404079</c:v>
                </c:pt>
                <c:pt idx="143">
                  <c:v>18.497880794334069</c:v>
                </c:pt>
                <c:pt idx="144">
                  <c:v>15.43139255436628</c:v>
                </c:pt>
                <c:pt idx="145">
                  <c:v>16.136755330581948</c:v>
                </c:pt>
                <c:pt idx="146">
                  <c:v>14.551765257345551</c:v>
                </c:pt>
                <c:pt idx="147">
                  <c:v>16.35903646361248</c:v>
                </c:pt>
                <c:pt idx="148">
                  <c:v>13.51880408433891</c:v>
                </c:pt>
                <c:pt idx="149">
                  <c:v>15.39534459539167</c:v>
                </c:pt>
                <c:pt idx="150">
                  <c:v>14.686541233425073</c:v>
                </c:pt>
                <c:pt idx="151">
                  <c:v>15.319958242295968</c:v>
                </c:pt>
                <c:pt idx="152">
                  <c:v>13.881948704824005</c:v>
                </c:pt>
                <c:pt idx="153">
                  <c:v>16.099551487728419</c:v>
                </c:pt>
                <c:pt idx="154">
                  <c:v>17.795813314329102</c:v>
                </c:pt>
                <c:pt idx="155">
                  <c:v>18.627483366789125</c:v>
                </c:pt>
                <c:pt idx="156">
                  <c:v>15.547281364939247</c:v>
                </c:pt>
                <c:pt idx="157">
                  <c:v>19.243004387687986</c:v>
                </c:pt>
                <c:pt idx="158">
                  <c:v>14.937365834719902</c:v>
                </c:pt>
                <c:pt idx="159">
                  <c:v>22.213865722541129</c:v>
                </c:pt>
                <c:pt idx="160">
                  <c:v>17.470538829876848</c:v>
                </c:pt>
                <c:pt idx="161">
                  <c:v>18.969267561220093</c:v>
                </c:pt>
                <c:pt idx="162">
                  <c:v>19.465373882544323</c:v>
                </c:pt>
                <c:pt idx="163">
                  <c:v>18.482224515134394</c:v>
                </c:pt>
                <c:pt idx="164">
                  <c:v>20.097568932920517</c:v>
                </c:pt>
                <c:pt idx="165">
                  <c:v>18.02219589702268</c:v>
                </c:pt>
                <c:pt idx="166">
                  <c:v>19.578185577206753</c:v>
                </c:pt>
                <c:pt idx="167">
                  <c:v>18.946186073381138</c:v>
                </c:pt>
                <c:pt idx="168">
                  <c:v>17.682219261098336</c:v>
                </c:pt>
                <c:pt idx="169">
                  <c:v>20.312497351641181</c:v>
                </c:pt>
                <c:pt idx="170">
                  <c:v>20.427909268411867</c:v>
                </c:pt>
                <c:pt idx="171">
                  <c:v>19.026410059978875</c:v>
                </c:pt>
                <c:pt idx="172">
                  <c:v>19.503811232588497</c:v>
                </c:pt>
                <c:pt idx="173">
                  <c:v>19.99392375490126</c:v>
                </c:pt>
                <c:pt idx="174">
                  <c:v>13.488194219211408</c:v>
                </c:pt>
                <c:pt idx="175">
                  <c:v>17.754389265785491</c:v>
                </c:pt>
                <c:pt idx="176">
                  <c:v>17.234916617122213</c:v>
                </c:pt>
                <c:pt idx="177">
                  <c:v>18.626160321333007</c:v>
                </c:pt>
                <c:pt idx="178">
                  <c:v>15.98119586839136</c:v>
                </c:pt>
                <c:pt idx="179">
                  <c:v>17.840797320510877</c:v>
                </c:pt>
                <c:pt idx="180">
                  <c:v>14.636039086488946</c:v>
                </c:pt>
                <c:pt idx="181">
                  <c:v>14.482720793550051</c:v>
                </c:pt>
                <c:pt idx="182">
                  <c:v>19.510056817234805</c:v>
                </c:pt>
                <c:pt idx="183">
                  <c:v>16.429621394592715</c:v>
                </c:pt>
                <c:pt idx="184">
                  <c:v>16.804648887085701</c:v>
                </c:pt>
                <c:pt idx="185">
                  <c:v>16.610716318635571</c:v>
                </c:pt>
                <c:pt idx="186">
                  <c:v>19.570101381567678</c:v>
                </c:pt>
                <c:pt idx="187">
                  <c:v>18.980375745989583</c:v>
                </c:pt>
                <c:pt idx="188">
                  <c:v>19.426277284993382</c:v>
                </c:pt>
                <c:pt idx="189">
                  <c:v>19.529481863949211</c:v>
                </c:pt>
                <c:pt idx="190">
                  <c:v>18.602199941068946</c:v>
                </c:pt>
                <c:pt idx="191">
                  <c:v>21.251358708871031</c:v>
                </c:pt>
                <c:pt idx="192">
                  <c:v>19.13688271443575</c:v>
                </c:pt>
                <c:pt idx="193">
                  <c:v>17.333371301244679</c:v>
                </c:pt>
                <c:pt idx="194">
                  <c:v>22.000055109352669</c:v>
                </c:pt>
                <c:pt idx="195">
                  <c:v>17.505842657475963</c:v>
                </c:pt>
                <c:pt idx="196">
                  <c:v>19.880861841147439</c:v>
                </c:pt>
                <c:pt idx="197">
                  <c:v>18.311013186926004</c:v>
                </c:pt>
                <c:pt idx="198">
                  <c:v>14.878537288946493</c:v>
                </c:pt>
                <c:pt idx="199">
                  <c:v>16.992998060750004</c:v>
                </c:pt>
                <c:pt idx="200">
                  <c:v>18.578718058079897</c:v>
                </c:pt>
                <c:pt idx="201">
                  <c:v>18.350206426444977</c:v>
                </c:pt>
                <c:pt idx="202">
                  <c:v>17.544227115979439</c:v>
                </c:pt>
                <c:pt idx="203">
                  <c:v>18.230222353647385</c:v>
                </c:pt>
                <c:pt idx="204">
                  <c:v>18.31645803176303</c:v>
                </c:pt>
                <c:pt idx="205">
                  <c:v>15.639593946310466</c:v>
                </c:pt>
                <c:pt idx="206">
                  <c:v>17.894444577420096</c:v>
                </c:pt>
                <c:pt idx="207">
                  <c:v>19.920032894500743</c:v>
                </c:pt>
                <c:pt idx="208">
                  <c:v>17.190924256660317</c:v>
                </c:pt>
                <c:pt idx="209">
                  <c:v>19.756691014071542</c:v>
                </c:pt>
                <c:pt idx="210">
                  <c:v>19.192280908729256</c:v>
                </c:pt>
                <c:pt idx="211">
                  <c:v>23.052133718375146</c:v>
                </c:pt>
                <c:pt idx="212">
                  <c:v>19.703078516926226</c:v>
                </c:pt>
                <c:pt idx="213">
                  <c:v>18.190381128737215</c:v>
                </c:pt>
                <c:pt idx="214">
                  <c:v>15.829947673841648</c:v>
                </c:pt>
                <c:pt idx="215">
                  <c:v>21.422740853795119</c:v>
                </c:pt>
                <c:pt idx="216">
                  <c:v>14.810842625628984</c:v>
                </c:pt>
                <c:pt idx="217">
                  <c:v>19.163088874414726</c:v>
                </c:pt>
                <c:pt idx="218">
                  <c:v>19.911552862347083</c:v>
                </c:pt>
                <c:pt idx="219">
                  <c:v>20.345570207695562</c:v>
                </c:pt>
                <c:pt idx="220">
                  <c:v>19.417466160358284</c:v>
                </c:pt>
                <c:pt idx="221">
                  <c:v>18.571058384529188</c:v>
                </c:pt>
                <c:pt idx="222">
                  <c:v>21.361371081672413</c:v>
                </c:pt>
                <c:pt idx="223">
                  <c:v>16.754589517426652</c:v>
                </c:pt>
                <c:pt idx="224">
                  <c:v>15.829830388466229</c:v>
                </c:pt>
                <c:pt idx="225">
                  <c:v>22.023229330696324</c:v>
                </c:pt>
                <c:pt idx="226">
                  <c:v>21.005908889875155</c:v>
                </c:pt>
                <c:pt idx="227">
                  <c:v>19.387764196724426</c:v>
                </c:pt>
                <c:pt idx="228">
                  <c:v>23.558429850109469</c:v>
                </c:pt>
                <c:pt idx="229">
                  <c:v>23.657665022182378</c:v>
                </c:pt>
                <c:pt idx="230">
                  <c:v>21.735991860150399</c:v>
                </c:pt>
                <c:pt idx="231">
                  <c:v>19.715814352337361</c:v>
                </c:pt>
                <c:pt idx="232">
                  <c:v>21.192207804154428</c:v>
                </c:pt>
                <c:pt idx="233">
                  <c:v>16.223038439137458</c:v>
                </c:pt>
                <c:pt idx="234">
                  <c:v>18.424138561050292</c:v>
                </c:pt>
                <c:pt idx="235">
                  <c:v>21.844717486157336</c:v>
                </c:pt>
                <c:pt idx="236">
                  <c:v>16.938892566334676</c:v>
                </c:pt>
                <c:pt idx="237">
                  <c:v>20.240694601318058</c:v>
                </c:pt>
                <c:pt idx="238">
                  <c:v>17.606198534910057</c:v>
                </c:pt>
                <c:pt idx="239">
                  <c:v>21.096356247585771</c:v>
                </c:pt>
                <c:pt idx="240">
                  <c:v>19.841786999838778</c:v>
                </c:pt>
                <c:pt idx="241">
                  <c:v>21.282899590611049</c:v>
                </c:pt>
                <c:pt idx="242">
                  <c:v>18.760486495425958</c:v>
                </c:pt>
                <c:pt idx="243">
                  <c:v>20.079888443836843</c:v>
                </c:pt>
                <c:pt idx="244">
                  <c:v>22.279887343771623</c:v>
                </c:pt>
                <c:pt idx="245">
                  <c:v>17.842207530503586</c:v>
                </c:pt>
                <c:pt idx="246">
                  <c:v>21.011612467008455</c:v>
                </c:pt>
                <c:pt idx="247">
                  <c:v>17.724504345245233</c:v>
                </c:pt>
                <c:pt idx="248">
                  <c:v>20.829918657191296</c:v>
                </c:pt>
                <c:pt idx="249">
                  <c:v>25.72175660129896</c:v>
                </c:pt>
                <c:pt idx="250">
                  <c:v>19.370946770277122</c:v>
                </c:pt>
                <c:pt idx="251">
                  <c:v>22.164740848548714</c:v>
                </c:pt>
                <c:pt idx="252">
                  <c:v>20.825939635030778</c:v>
                </c:pt>
                <c:pt idx="253">
                  <c:v>22.334325705844421</c:v>
                </c:pt>
                <c:pt idx="254">
                  <c:v>21.330094860423621</c:v>
                </c:pt>
                <c:pt idx="255">
                  <c:v>19.465211584536362</c:v>
                </c:pt>
                <c:pt idx="256">
                  <c:v>23.385110101769744</c:v>
                </c:pt>
                <c:pt idx="257">
                  <c:v>14.669444748229013</c:v>
                </c:pt>
                <c:pt idx="258">
                  <c:v>22.028567949408547</c:v>
                </c:pt>
                <c:pt idx="259">
                  <c:v>18.314272036055698</c:v>
                </c:pt>
                <c:pt idx="260">
                  <c:v>23.352621633716705</c:v>
                </c:pt>
                <c:pt idx="261">
                  <c:v>21.571990826224717</c:v>
                </c:pt>
                <c:pt idx="262">
                  <c:v>16.476203148334385</c:v>
                </c:pt>
                <c:pt idx="263">
                  <c:v>21.040904983943566</c:v>
                </c:pt>
                <c:pt idx="264">
                  <c:v>25.389726527870152</c:v>
                </c:pt>
                <c:pt idx="265">
                  <c:v>22.635460737292476</c:v>
                </c:pt>
                <c:pt idx="266">
                  <c:v>19.088987961247785</c:v>
                </c:pt>
                <c:pt idx="267">
                  <c:v>18.870895574586669</c:v>
                </c:pt>
                <c:pt idx="268">
                  <c:v>21.787722255524574</c:v>
                </c:pt>
                <c:pt idx="269">
                  <c:v>20.859874269914101</c:v>
                </c:pt>
                <c:pt idx="270">
                  <c:v>21.959525083345913</c:v>
                </c:pt>
                <c:pt idx="271">
                  <c:v>18.871151885921641</c:v>
                </c:pt>
                <c:pt idx="272">
                  <c:v>18.658499250792385</c:v>
                </c:pt>
                <c:pt idx="273">
                  <c:v>19.885315216349486</c:v>
                </c:pt>
                <c:pt idx="274">
                  <c:v>23.781433334017755</c:v>
                </c:pt>
                <c:pt idx="275">
                  <c:v>22.365604494559992</c:v>
                </c:pt>
                <c:pt idx="276">
                  <c:v>20.109217428496983</c:v>
                </c:pt>
                <c:pt idx="277">
                  <c:v>19.001098813306935</c:v>
                </c:pt>
                <c:pt idx="278">
                  <c:v>24.131650795458413</c:v>
                </c:pt>
                <c:pt idx="279">
                  <c:v>21.634116569725329</c:v>
                </c:pt>
                <c:pt idx="280">
                  <c:v>19.794076077516092</c:v>
                </c:pt>
                <c:pt idx="281">
                  <c:v>21.112803155895946</c:v>
                </c:pt>
                <c:pt idx="282">
                  <c:v>16.538698766154369</c:v>
                </c:pt>
                <c:pt idx="283">
                  <c:v>23.005960489166807</c:v>
                </c:pt>
                <c:pt idx="284">
                  <c:v>15.987585877370892</c:v>
                </c:pt>
                <c:pt idx="285">
                  <c:v>21.415857746650435</c:v>
                </c:pt>
                <c:pt idx="286">
                  <c:v>22.523433758131269</c:v>
                </c:pt>
                <c:pt idx="287">
                  <c:v>19.981219643917033</c:v>
                </c:pt>
                <c:pt idx="288">
                  <c:v>20.97683850056853</c:v>
                </c:pt>
                <c:pt idx="289">
                  <c:v>20.729124833008424</c:v>
                </c:pt>
                <c:pt idx="290">
                  <c:v>19.897128438344989</c:v>
                </c:pt>
                <c:pt idx="291">
                  <c:v>25.69210588029939</c:v>
                </c:pt>
                <c:pt idx="292">
                  <c:v>17.850587165778371</c:v>
                </c:pt>
                <c:pt idx="293">
                  <c:v>22.007535757171098</c:v>
                </c:pt>
                <c:pt idx="294">
                  <c:v>19.878260014791465</c:v>
                </c:pt>
                <c:pt idx="295">
                  <c:v>20.542940678083379</c:v>
                </c:pt>
                <c:pt idx="296">
                  <c:v>20.305612532112335</c:v>
                </c:pt>
                <c:pt idx="297">
                  <c:v>20.37149706336513</c:v>
                </c:pt>
                <c:pt idx="298">
                  <c:v>20.437381594617932</c:v>
                </c:pt>
                <c:pt idx="299">
                  <c:v>26.404362280941356</c:v>
                </c:pt>
                <c:pt idx="300">
                  <c:v>22.895075673980273</c:v>
                </c:pt>
                <c:pt idx="301">
                  <c:v>23.331493919311487</c:v>
                </c:pt>
                <c:pt idx="302">
                  <c:v>23.405940294293337</c:v>
                </c:pt>
                <c:pt idx="303">
                  <c:v>23.114938756636931</c:v>
                </c:pt>
                <c:pt idx="304">
                  <c:v>18.578703221224597</c:v>
                </c:pt>
                <c:pt idx="305">
                  <c:v>21.886868507192403</c:v>
                </c:pt>
                <c:pt idx="306">
                  <c:v>25.702602959648129</c:v>
                </c:pt>
                <c:pt idx="307">
                  <c:v>23.793061444198951</c:v>
                </c:pt>
                <c:pt idx="308">
                  <c:v>20.226800185464381</c:v>
                </c:pt>
                <c:pt idx="309">
                  <c:v>23.219754120189044</c:v>
                </c:pt>
                <c:pt idx="310">
                  <c:v>20.651109483517939</c:v>
                </c:pt>
                <c:pt idx="311">
                  <c:v>25.699082522191187</c:v>
                </c:pt>
                <c:pt idx="312">
                  <c:v>17.577690832698039</c:v>
                </c:pt>
                <c:pt idx="313">
                  <c:v>22.129179702572856</c:v>
                </c:pt>
                <c:pt idx="314">
                  <c:v>20.919804216574864</c:v>
                </c:pt>
                <c:pt idx="315">
                  <c:v>21.610126250917737</c:v>
                </c:pt>
                <c:pt idx="316">
                  <c:v>24.492857369028332</c:v>
                </c:pt>
                <c:pt idx="317">
                  <c:v>24.567303744010182</c:v>
                </c:pt>
                <c:pt idx="318">
                  <c:v>22.468584299238081</c:v>
                </c:pt>
                <c:pt idx="319">
                  <c:v>51.392389255286091</c:v>
                </c:pt>
                <c:pt idx="320">
                  <c:v>6.0828786201676142</c:v>
                </c:pt>
                <c:pt idx="321">
                  <c:v>19.317550452480532</c:v>
                </c:pt>
                <c:pt idx="322">
                  <c:v>19.398619309295498</c:v>
                </c:pt>
                <c:pt idx="323">
                  <c:v>15.573884676364729</c:v>
                </c:pt>
                <c:pt idx="324">
                  <c:v>15.239241607818597</c:v>
                </c:pt>
                <c:pt idx="325">
                  <c:v>18.302432547030822</c:v>
                </c:pt>
                <c:pt idx="326">
                  <c:v>16.324829777227741</c:v>
                </c:pt>
                <c:pt idx="327">
                  <c:v>18.91497969090636</c:v>
                </c:pt>
                <c:pt idx="328">
                  <c:v>15.620124284517518</c:v>
                </c:pt>
                <c:pt idx="329">
                  <c:v>14.928706503896668</c:v>
                </c:pt>
                <c:pt idx="330">
                  <c:v>21.353769577323057</c:v>
                </c:pt>
                <c:pt idx="331">
                  <c:v>16.78676325958623</c:v>
                </c:pt>
                <c:pt idx="332">
                  <c:v>16.210065358110281</c:v>
                </c:pt>
                <c:pt idx="333">
                  <c:v>16.893933541568501</c:v>
                </c:pt>
                <c:pt idx="334">
                  <c:v>20.422480974531968</c:v>
                </c:pt>
                <c:pt idx="335">
                  <c:v>13.993787264201492</c:v>
                </c:pt>
                <c:pt idx="336">
                  <c:v>18.421157169087703</c:v>
                </c:pt>
                <c:pt idx="337">
                  <c:v>17.542630564448178</c:v>
                </c:pt>
                <c:pt idx="338">
                  <c:v>14.798587055528506</c:v>
                </c:pt>
                <c:pt idx="339">
                  <c:v>19.092076504438175</c:v>
                </c:pt>
                <c:pt idx="340">
                  <c:v>20.786539002255076</c:v>
                </c:pt>
                <c:pt idx="341">
                  <c:v>14.577636935781825</c:v>
                </c:pt>
                <c:pt idx="342">
                  <c:v>12.912256259440136</c:v>
                </c:pt>
                <c:pt idx="343">
                  <c:v>17.852500392082305</c:v>
                </c:pt>
                <c:pt idx="344">
                  <c:v>19.90407087333331</c:v>
                </c:pt>
                <c:pt idx="345">
                  <c:v>16.847961448591473</c:v>
                </c:pt>
                <c:pt idx="346">
                  <c:v>16.278691658173962</c:v>
                </c:pt>
                <c:pt idx="347">
                  <c:v>18.052416409910773</c:v>
                </c:pt>
                <c:pt idx="348">
                  <c:v>16.787554451857758</c:v>
                </c:pt>
                <c:pt idx="349">
                  <c:v>21.043158976113382</c:v>
                </c:pt>
                <c:pt idx="350">
                  <c:v>11.99396096901865</c:v>
                </c:pt>
                <c:pt idx="351">
                  <c:v>15.181745179683451</c:v>
                </c:pt>
                <c:pt idx="352">
                  <c:v>16.773103581441486</c:v>
                </c:pt>
                <c:pt idx="353">
                  <c:v>14.920026905537878</c:v>
                </c:pt>
                <c:pt idx="354">
                  <c:v>15.869870614059838</c:v>
                </c:pt>
                <c:pt idx="355">
                  <c:v>15.538516408304929</c:v>
                </c:pt>
                <c:pt idx="356">
                  <c:v>15.58055784880359</c:v>
                </c:pt>
                <c:pt idx="357">
                  <c:v>18.344724170700939</c:v>
                </c:pt>
                <c:pt idx="358">
                  <c:v>18.874934769786655</c:v>
                </c:pt>
                <c:pt idx="359">
                  <c:v>15.715090458399301</c:v>
                </c:pt>
                <c:pt idx="360">
                  <c:v>21.112753057066271</c:v>
                </c:pt>
                <c:pt idx="361">
                  <c:v>16.574478962222482</c:v>
                </c:pt>
                <c:pt idx="362">
                  <c:v>14.781423165551203</c:v>
                </c:pt>
                <c:pt idx="363">
                  <c:v>17.294689453859469</c:v>
                </c:pt>
                <c:pt idx="364">
                  <c:v>11.60806488136849</c:v>
                </c:pt>
                <c:pt idx="365">
                  <c:v>14.240608008216114</c:v>
                </c:pt>
                <c:pt idx="366">
                  <c:v>15.472019195840696</c:v>
                </c:pt>
                <c:pt idx="367">
                  <c:v>19.340732516251347</c:v>
                </c:pt>
                <c:pt idx="368">
                  <c:v>16.697841016617641</c:v>
                </c:pt>
                <c:pt idx="369">
                  <c:v>15.593782201054552</c:v>
                </c:pt>
                <c:pt idx="370">
                  <c:v>16.194362880084032</c:v>
                </c:pt>
                <c:pt idx="371">
                  <c:v>17.241520813509908</c:v>
                </c:pt>
                <c:pt idx="372">
                  <c:v>14.847867423111525</c:v>
                </c:pt>
                <c:pt idx="373">
                  <c:v>12.651084637606965</c:v>
                </c:pt>
                <c:pt idx="374">
                  <c:v>20.237635459782965</c:v>
                </c:pt>
                <c:pt idx="375">
                  <c:v>18.311370126754206</c:v>
                </c:pt>
                <c:pt idx="376">
                  <c:v>14.34546628085193</c:v>
                </c:pt>
                <c:pt idx="377">
                  <c:v>22.734023703968397</c:v>
                </c:pt>
                <c:pt idx="378">
                  <c:v>16.94623188739542</c:v>
                </c:pt>
                <c:pt idx="379">
                  <c:v>17.833347385661977</c:v>
                </c:pt>
                <c:pt idx="380">
                  <c:v>16.24482583604307</c:v>
                </c:pt>
                <c:pt idx="381">
                  <c:v>18.381075073115777</c:v>
                </c:pt>
                <c:pt idx="382">
                  <c:v>17.127060581315799</c:v>
                </c:pt>
                <c:pt idx="383">
                  <c:v>13.405485236538688</c:v>
                </c:pt>
                <c:pt idx="384">
                  <c:v>14.334799000163665</c:v>
                </c:pt>
                <c:pt idx="385">
                  <c:v>20.292580085113979</c:v>
                </c:pt>
                <c:pt idx="386">
                  <c:v>15.399775763051656</c:v>
                </c:pt>
                <c:pt idx="387">
                  <c:v>18.438518121442769</c:v>
                </c:pt>
                <c:pt idx="388">
                  <c:v>17.18754305418177</c:v>
                </c:pt>
                <c:pt idx="389">
                  <c:v>15.177490114019806</c:v>
                </c:pt>
                <c:pt idx="390">
                  <c:v>16.478593372275238</c:v>
                </c:pt>
                <c:pt idx="391">
                  <c:v>16.918463703248769</c:v>
                </c:pt>
                <c:pt idx="392">
                  <c:v>16.189204208150734</c:v>
                </c:pt>
                <c:pt idx="393">
                  <c:v>14.356321174230938</c:v>
                </c:pt>
                <c:pt idx="394">
                  <c:v>17.87435904231878</c:v>
                </c:pt>
                <c:pt idx="395">
                  <c:v>18.135779002836305</c:v>
                </c:pt>
                <c:pt idx="396">
                  <c:v>15.628944516182209</c:v>
                </c:pt>
                <c:pt idx="397">
                  <c:v>18.455838177900041</c:v>
                </c:pt>
                <c:pt idx="398">
                  <c:v>18.728178298576591</c:v>
                </c:pt>
                <c:pt idx="399">
                  <c:v>16.860117455278658</c:v>
                </c:pt>
                <c:pt idx="400">
                  <c:v>19.530877358556484</c:v>
                </c:pt>
                <c:pt idx="401">
                  <c:v>18.196812130844275</c:v>
                </c:pt>
                <c:pt idx="402">
                  <c:v>18.240386872536909</c:v>
                </c:pt>
                <c:pt idx="403">
                  <c:v>18.283961614229543</c:v>
                </c:pt>
                <c:pt idx="404">
                  <c:v>17.682629873736616</c:v>
                </c:pt>
                <c:pt idx="405">
                  <c:v>16.72857994854968</c:v>
                </c:pt>
                <c:pt idx="406">
                  <c:v>16.389308887666981</c:v>
                </c:pt>
                <c:pt idx="407">
                  <c:v>18.029902837530283</c:v>
                </c:pt>
                <c:pt idx="408">
                  <c:v>19.198190495259016</c:v>
                </c:pt>
                <c:pt idx="409">
                  <c:v>15.606283961131199</c:v>
                </c:pt>
                <c:pt idx="410">
                  <c:v>18.157533107734601</c:v>
                </c:pt>
                <c:pt idx="411">
                  <c:v>16.590880330940085</c:v>
                </c:pt>
                <c:pt idx="412">
                  <c:v>18.035777973925363</c:v>
                </c:pt>
                <c:pt idx="413">
                  <c:v>16.668407809122048</c:v>
                </c:pt>
                <c:pt idx="414">
                  <c:v>14.48787396426323</c:v>
                </c:pt>
                <c:pt idx="415">
                  <c:v>14.071237290026287</c:v>
                </c:pt>
                <c:pt idx="416">
                  <c:v>16.792451774213188</c:v>
                </c:pt>
                <c:pt idx="417">
                  <c:v>14.90931201178501</c:v>
                </c:pt>
                <c:pt idx="418">
                  <c:v>21.200230326674198</c:v>
                </c:pt>
                <c:pt idx="419">
                  <c:v>14.819070362841627</c:v>
                </c:pt>
                <c:pt idx="420">
                  <c:v>17.548401804362765</c:v>
                </c:pt>
                <c:pt idx="421">
                  <c:v>16.429164607373536</c:v>
                </c:pt>
                <c:pt idx="422">
                  <c:v>18.918125740146209</c:v>
                </c:pt>
                <c:pt idx="423">
                  <c:v>16.690075569657239</c:v>
                </c:pt>
                <c:pt idx="424">
                  <c:v>18.557091836108754</c:v>
                </c:pt>
                <c:pt idx="425">
                  <c:v>14.120788463960059</c:v>
                </c:pt>
                <c:pt idx="426">
                  <c:v>16.811347690054383</c:v>
                </c:pt>
                <c:pt idx="427">
                  <c:v>17.040169995651485</c:v>
                </c:pt>
                <c:pt idx="428">
                  <c:v>18.085865041098149</c:v>
                </c:pt>
                <c:pt idx="429">
                  <c:v>16.012809488426942</c:v>
                </c:pt>
                <c:pt idx="430">
                  <c:v>18.175157911588308</c:v>
                </c:pt>
                <c:pt idx="431">
                  <c:v>15.410638486617026</c:v>
                </c:pt>
                <c:pt idx="432">
                  <c:v>16.305257904256521</c:v>
                </c:pt>
                <c:pt idx="433">
                  <c:v>16.341507921829351</c:v>
                </c:pt>
                <c:pt idx="434">
                  <c:v>16.377757939402173</c:v>
                </c:pt>
                <c:pt idx="435">
                  <c:v>19.272170800852329</c:v>
                </c:pt>
                <c:pt idx="436">
                  <c:v>17.598737547305607</c:v>
                </c:pt>
                <c:pt idx="437">
                  <c:v>18.684013537410511</c:v>
                </c:pt>
                <c:pt idx="438">
                  <c:v>18.733290056630054</c:v>
                </c:pt>
                <c:pt idx="439">
                  <c:v>19.450853179138377</c:v>
                </c:pt>
                <c:pt idx="440">
                  <c:v>24.781839813976127</c:v>
                </c:pt>
                <c:pt idx="441">
                  <c:v>19.305429476984912</c:v>
                </c:pt>
                <c:pt idx="442">
                  <c:v>17.839072729669688</c:v>
                </c:pt>
                <c:pt idx="443">
                  <c:v>15.503033578464505</c:v>
                </c:pt>
                <c:pt idx="444">
                  <c:v>18.75962033661482</c:v>
                </c:pt>
                <c:pt idx="445">
                  <c:v>25.063082867299293</c:v>
                </c:pt>
                <c:pt idx="446">
                  <c:v>17.799043963069163</c:v>
                </c:pt>
                <c:pt idx="447">
                  <c:v>16.328034883888268</c:v>
                </c:pt>
                <c:pt idx="448">
                  <c:v>18.71187608951713</c:v>
                </c:pt>
                <c:pt idx="449">
                  <c:v>15.384131056309871</c:v>
                </c:pt>
                <c:pt idx="450">
                  <c:v>16.264001033753591</c:v>
                </c:pt>
                <c:pt idx="451">
                  <c:v>16.654954080394067</c:v>
                </c:pt>
                <c:pt idx="452">
                  <c:v>15.987745329558161</c:v>
                </c:pt>
                <c:pt idx="453">
                  <c:v>18.280979355306879</c:v>
                </c:pt>
                <c:pt idx="454">
                  <c:v>16.768446101384825</c:v>
                </c:pt>
                <c:pt idx="455">
                  <c:v>18.159317462752298</c:v>
                </c:pt>
                <c:pt idx="456">
                  <c:v>16.47918841405507</c:v>
                </c:pt>
                <c:pt idx="457">
                  <c:v>17.438867798746418</c:v>
                </c:pt>
                <c:pt idx="458">
                  <c:v>13.8929722521006</c:v>
                </c:pt>
                <c:pt idx="459">
                  <c:v>17.13865413226171</c:v>
                </c:pt>
                <c:pt idx="460">
                  <c:v>23.634004512549083</c:v>
                </c:pt>
                <c:pt idx="461">
                  <c:v>15.798850892230934</c:v>
                </c:pt>
                <c:pt idx="462">
                  <c:v>20.709190898976619</c:v>
                </c:pt>
                <c:pt idx="463">
                  <c:v>19.800947973053511</c:v>
                </c:pt>
                <c:pt idx="464">
                  <c:v>16.952527838192548</c:v>
                </c:pt>
                <c:pt idx="465">
                  <c:v>15.771511795904461</c:v>
                </c:pt>
                <c:pt idx="466">
                  <c:v>21.142464669266388</c:v>
                </c:pt>
                <c:pt idx="467">
                  <c:v>17.057779459704506</c:v>
                </c:pt>
                <c:pt idx="468">
                  <c:v>15.869228721529645</c:v>
                </c:pt>
                <c:pt idx="469">
                  <c:v>16.770400706024411</c:v>
                </c:pt>
                <c:pt idx="470">
                  <c:v>13.983221603118375</c:v>
                </c:pt>
                <c:pt idx="471">
                  <c:v>19.67475135998971</c:v>
                </c:pt>
                <c:pt idx="472">
                  <c:v>15.847043629402956</c:v>
                </c:pt>
                <c:pt idx="473">
                  <c:v>17.096984441372211</c:v>
                </c:pt>
                <c:pt idx="474">
                  <c:v>20.03407312451985</c:v>
                </c:pt>
                <c:pt idx="475">
                  <c:v>15.302861833540609</c:v>
                </c:pt>
                <c:pt idx="476">
                  <c:v>18.366960199998761</c:v>
                </c:pt>
                <c:pt idx="477">
                  <c:v>18.610226149684532</c:v>
                </c:pt>
                <c:pt idx="478">
                  <c:v>16.557649605555142</c:v>
                </c:pt>
                <c:pt idx="479">
                  <c:v>19.556959880575441</c:v>
                </c:pt>
                <c:pt idx="480">
                  <c:v>17.534920143892041</c:v>
                </c:pt>
                <c:pt idx="481">
                  <c:v>14.308944378507729</c:v>
                </c:pt>
                <c:pt idx="482">
                  <c:v>16.69069620744791</c:v>
                </c:pt>
                <c:pt idx="483">
                  <c:v>16.38387119648894</c:v>
                </c:pt>
                <c:pt idx="484">
                  <c:v>18.270008856703619</c:v>
                </c:pt>
                <c:pt idx="485">
                  <c:v>19.575688240945659</c:v>
                </c:pt>
                <c:pt idx="486">
                  <c:v>16.481588122114122</c:v>
                </c:pt>
                <c:pt idx="487">
                  <c:v>18.99996910569887</c:v>
                </c:pt>
                <c:pt idx="488">
                  <c:v>13.831717816276182</c:v>
                </c:pt>
                <c:pt idx="489">
                  <c:v>19.516092131771785</c:v>
                </c:pt>
                <c:pt idx="490">
                  <c:v>20.707828420036524</c:v>
                </c:pt>
                <c:pt idx="491">
                  <c:v>20.99179718752583</c:v>
                </c:pt>
                <c:pt idx="492">
                  <c:v>15.530463552499308</c:v>
                </c:pt>
                <c:pt idx="493">
                  <c:v>19.901303649309902</c:v>
                </c:pt>
                <c:pt idx="494">
                  <c:v>18.243842374264709</c:v>
                </c:pt>
                <c:pt idx="495">
                  <c:v>17.324942554944936</c:v>
                </c:pt>
                <c:pt idx="496">
                  <c:v>19.792046301741848</c:v>
                </c:pt>
                <c:pt idx="497">
                  <c:v>19.174869264486198</c:v>
                </c:pt>
                <c:pt idx="498">
                  <c:v>15.567666471696286</c:v>
                </c:pt>
                <c:pt idx="499">
                  <c:v>20.14163883167399</c:v>
                </c:pt>
                <c:pt idx="500">
                  <c:v>17.876065945037485</c:v>
                </c:pt>
                <c:pt idx="501">
                  <c:v>16.989716135365072</c:v>
                </c:pt>
                <c:pt idx="502">
                  <c:v>18.737783785606631</c:v>
                </c:pt>
                <c:pt idx="503">
                  <c:v>17.240496036147007</c:v>
                </c:pt>
                <c:pt idx="504">
                  <c:v>19.23479995960933</c:v>
                </c:pt>
                <c:pt idx="505">
                  <c:v>18.85251954548788</c:v>
                </c:pt>
                <c:pt idx="506">
                  <c:v>18.683623955603906</c:v>
                </c:pt>
                <c:pt idx="507">
                  <c:v>17.013974018712123</c:v>
                </c:pt>
                <c:pt idx="508">
                  <c:v>16.704652542314445</c:v>
                </c:pt>
                <c:pt idx="509">
                  <c:v>17.444564526838324</c:v>
                </c:pt>
                <c:pt idx="510">
                  <c:v>17.117128086275365</c:v>
                </c:pt>
                <c:pt idx="511">
                  <c:v>15.349784930501571</c:v>
                </c:pt>
                <c:pt idx="512">
                  <c:v>19.542674044328688</c:v>
                </c:pt>
                <c:pt idx="513">
                  <c:v>22.458537514384453</c:v>
                </c:pt>
                <c:pt idx="514">
                  <c:v>17.432699531532563</c:v>
                </c:pt>
                <c:pt idx="515">
                  <c:v>16.759677767401577</c:v>
                </c:pt>
                <c:pt idx="516">
                  <c:v>17.138923549117361</c:v>
                </c:pt>
                <c:pt idx="517">
                  <c:v>20.870397126584443</c:v>
                </c:pt>
                <c:pt idx="518">
                  <c:v>20.214168314820455</c:v>
                </c:pt>
                <c:pt idx="519">
                  <c:v>13.653794136799181</c:v>
                </c:pt>
                <c:pt idx="520">
                  <c:v>16.252091453483164</c:v>
                </c:pt>
                <c:pt idx="521">
                  <c:v>14.6287011460077</c:v>
                </c:pt>
                <c:pt idx="522">
                  <c:v>19.923851482552653</c:v>
                </c:pt>
                <c:pt idx="523">
                  <c:v>17.555532873419139</c:v>
                </c:pt>
                <c:pt idx="524">
                  <c:v>16.880795423331495</c:v>
                </c:pt>
                <c:pt idx="525">
                  <c:v>19.598301984716006</c:v>
                </c:pt>
                <c:pt idx="526">
                  <c:v>17.652239811759681</c:v>
                </c:pt>
                <c:pt idx="527">
                  <c:v>15.834514980938463</c:v>
                </c:pt>
                <c:pt idx="528">
                  <c:v>16.670536628590629</c:v>
                </c:pt>
                <c:pt idx="529">
                  <c:v>17.940827544783513</c:v>
                </c:pt>
                <c:pt idx="530">
                  <c:v>16.399876542486123</c:v>
                </c:pt>
                <c:pt idx="531">
                  <c:v>16.767564124428191</c:v>
                </c:pt>
                <c:pt idx="532">
                  <c:v>19.648306134025365</c:v>
                </c:pt>
                <c:pt idx="533">
                  <c:v>17.890783592999675</c:v>
                </c:pt>
                <c:pt idx="534">
                  <c:v>17.202570116151595</c:v>
                </c:pt>
                <c:pt idx="535">
                  <c:v>20.642447198142271</c:v>
                </c:pt>
                <c:pt idx="536">
                  <c:v>16.099962389511049</c:v>
                </c:pt>
                <c:pt idx="537">
                  <c:v>14.939856921956</c:v>
                </c:pt>
                <c:pt idx="538">
                  <c:v>17.332517588252024</c:v>
                </c:pt>
                <c:pt idx="539">
                  <c:v>16.35221482357143</c:v>
                </c:pt>
                <c:pt idx="540">
                  <c:v>15.454297434734485</c:v>
                </c:pt>
                <c:pt idx="541">
                  <c:v>14.499744104619683</c:v>
                </c:pt>
                <c:pt idx="542">
                  <c:v>16.774357231930349</c:v>
                </c:pt>
                <c:pt idx="543">
                  <c:v>14.155283503456982</c:v>
                </c:pt>
                <c:pt idx="544">
                  <c:v>15.275988807335475</c:v>
                </c:pt>
                <c:pt idx="545">
                  <c:v>13.949408146300541</c:v>
                </c:pt>
                <c:pt idx="546">
                  <c:v>21.064931754800838</c:v>
                </c:pt>
                <c:pt idx="547">
                  <c:v>18.361424026256962</c:v>
                </c:pt>
                <c:pt idx="548">
                  <c:v>18.780883998139522</c:v>
                </c:pt>
                <c:pt idx="549">
                  <c:v>17.507044554591634</c:v>
                </c:pt>
                <c:pt idx="550">
                  <c:v>20.089026159248867</c:v>
                </c:pt>
                <c:pt idx="551">
                  <c:v>18.496813739933717</c:v>
                </c:pt>
                <c:pt idx="552">
                  <c:v>16.914727982081988</c:v>
                </c:pt>
                <c:pt idx="553">
                  <c:v>16.451857374490316</c:v>
                </c:pt>
                <c:pt idx="554">
                  <c:v>16.973582289604888</c:v>
                </c:pt>
                <c:pt idx="555">
                  <c:v>16.671251377525955</c:v>
                </c:pt>
                <c:pt idx="556">
                  <c:v>17.733692787103838</c:v>
                </c:pt>
                <c:pt idx="557">
                  <c:v>17.237999990289872</c:v>
                </c:pt>
                <c:pt idx="558">
                  <c:v>20.383730699482349</c:v>
                </c:pt>
                <c:pt idx="559">
                  <c:v>17.646875805456069</c:v>
                </c:pt>
                <c:pt idx="560">
                  <c:v>20.018721563497607</c:v>
                </c:pt>
                <c:pt idx="561">
                  <c:v>20.059926479237223</c:v>
                </c:pt>
                <c:pt idx="562">
                  <c:v>14.387017354978987</c:v>
                </c:pt>
                <c:pt idx="563">
                  <c:v>16.913616402744402</c:v>
                </c:pt>
                <c:pt idx="564">
                  <c:v>18.54248009989989</c:v>
                </c:pt>
                <c:pt idx="565">
                  <c:v>17.834866578641339</c:v>
                </c:pt>
                <c:pt idx="566">
                  <c:v>18.804321555937772</c:v>
                </c:pt>
                <c:pt idx="567">
                  <c:v>18.836225732313643</c:v>
                </c:pt>
                <c:pt idx="568">
                  <c:v>19.465500870136196</c:v>
                </c:pt>
                <c:pt idx="569">
                  <c:v>18.900034085065386</c:v>
                </c:pt>
                <c:pt idx="570">
                  <c:v>21.749104984817411</c:v>
                </c:pt>
                <c:pt idx="571">
                  <c:v>21.088236150345637</c:v>
                </c:pt>
                <c:pt idx="572">
                  <c:v>22.571773408918823</c:v>
                </c:pt>
                <c:pt idx="573">
                  <c:v>18.272748042808548</c:v>
                </c:pt>
                <c:pt idx="574">
                  <c:v>16.909359031302394</c:v>
                </c:pt>
                <c:pt idx="575">
                  <c:v>19.104220813870953</c:v>
                </c:pt>
                <c:pt idx="576">
                  <c:v>14.613408005294403</c:v>
                </c:pt>
                <c:pt idx="577">
                  <c:v>22.26567733688308</c:v>
                </c:pt>
                <c:pt idx="578">
                  <c:v>17.194733879764282</c:v>
                </c:pt>
                <c:pt idx="579">
                  <c:v>17.564353342211078</c:v>
                </c:pt>
                <c:pt idx="580">
                  <c:v>18.687684083013608</c:v>
                </c:pt>
                <c:pt idx="581">
                  <c:v>20.123298536281361</c:v>
                </c:pt>
                <c:pt idx="582">
                  <c:v>16.981769066765604</c:v>
                </c:pt>
                <c:pt idx="583">
                  <c:v>16.527269122991424</c:v>
                </c:pt>
                <c:pt idx="584">
                  <c:v>17.891709486962156</c:v>
                </c:pt>
                <c:pt idx="585">
                  <c:v>17.237586214640931</c:v>
                </c:pt>
                <c:pt idx="586">
                  <c:v>17.265881661480456</c:v>
                </c:pt>
                <c:pt idx="587">
                  <c:v>20.117203469440721</c:v>
                </c:pt>
                <c:pt idx="588">
                  <c:v>21.4783475632067</c:v>
                </c:pt>
                <c:pt idx="589">
                  <c:v>18.781175158984585</c:v>
                </c:pt>
                <c:pt idx="590">
                  <c:v>18.817928926418997</c:v>
                </c:pt>
                <c:pt idx="591">
                  <c:v>19.837816618255854</c:v>
                </c:pt>
                <c:pt idx="592">
                  <c:v>17.960629396381734</c:v>
                </c:pt>
                <c:pt idx="593">
                  <c:v>20.321271960132041</c:v>
                </c:pt>
                <c:pt idx="594">
                  <c:v>21.463205802973153</c:v>
                </c:pt>
                <c:pt idx="595">
                  <c:v>18.053870820892474</c:v>
                </c:pt>
                <c:pt idx="596">
                  <c:v>20.426597632746908</c:v>
                </c:pt>
                <c:pt idx="597">
                  <c:v>19.232225870863008</c:v>
                </c:pt>
                <c:pt idx="598">
                  <c:v>16.633681902020399</c:v>
                </c:pt>
                <c:pt idx="599">
                  <c:v>18.170422601530902</c:v>
                </c:pt>
                <c:pt idx="600">
                  <c:v>20.781879215650569</c:v>
                </c:pt>
                <c:pt idx="601">
                  <c:v>19.560250553599225</c:v>
                </c:pt>
                <c:pt idx="602">
                  <c:v>14.866712708131356</c:v>
                </c:pt>
                <c:pt idx="603">
                  <c:v>16.460565910368423</c:v>
                </c:pt>
                <c:pt idx="604">
                  <c:v>19.461180940754236</c:v>
                </c:pt>
                <c:pt idx="605">
                  <c:v>15.91763565170889</c:v>
                </c:pt>
                <c:pt idx="606">
                  <c:v>15.513000599780828</c:v>
                </c:pt>
                <c:pt idx="607">
                  <c:v>17.37302735459302</c:v>
                </c:pt>
                <c:pt idx="608">
                  <c:v>17.235191688391385</c:v>
                </c:pt>
                <c:pt idx="609">
                  <c:v>18.842917230765135</c:v>
                </c:pt>
                <c:pt idx="610">
                  <c:v>15.200765181334516</c:v>
                </c:pt>
                <c:pt idx="611">
                  <c:v>18.177616640588294</c:v>
                </c:pt>
                <c:pt idx="612">
                  <c:v>18.385118341570681</c:v>
                </c:pt>
                <c:pt idx="613">
                  <c:v>17.884100690445226</c:v>
                </c:pt>
                <c:pt idx="614">
                  <c:v>17.745856258861554</c:v>
                </c:pt>
                <c:pt idx="615">
                  <c:v>19.417627604491525</c:v>
                </c:pt>
                <c:pt idx="616">
                  <c:v>16.507163416228373</c:v>
                </c:pt>
                <c:pt idx="617">
                  <c:v>18.535153833372579</c:v>
                </c:pt>
                <c:pt idx="618">
                  <c:v>19.12229171336638</c:v>
                </c:pt>
                <c:pt idx="619">
                  <c:v>23.366761327442767</c:v>
                </c:pt>
                <c:pt idx="620">
                  <c:v>18.627483366789125</c:v>
                </c:pt>
                <c:pt idx="621">
                  <c:v>16.188196521640048</c:v>
                </c:pt>
                <c:pt idx="622">
                  <c:v>13.16877235781234</c:v>
                </c:pt>
                <c:pt idx="623">
                  <c:v>15.388518195653516</c:v>
                </c:pt>
                <c:pt idx="624">
                  <c:v>16.417904200762596</c:v>
                </c:pt>
                <c:pt idx="625">
                  <c:v>17.552283749671481</c:v>
                </c:pt>
                <c:pt idx="626">
                  <c:v>17.579254068893473</c:v>
                </c:pt>
                <c:pt idx="627">
                  <c:v>18.471267696844386</c:v>
                </c:pt>
                <c:pt idx="628">
                  <c:v>17.801529740711356</c:v>
                </c:pt>
                <c:pt idx="629">
                  <c:v>16.398497868348642</c:v>
                </c:pt>
                <c:pt idx="630">
                  <c:v>15.982653637000883</c:v>
                </c:pt>
                <c:pt idx="631">
                  <c:v>19.333640021273251</c:v>
                </c:pt>
                <c:pt idx="632">
                  <c:v>19.363067175034704</c:v>
                </c:pt>
                <c:pt idx="633">
                  <c:v>19.20190586018099</c:v>
                </c:pt>
                <c:pt idx="634">
                  <c:v>17.472993305796845</c:v>
                </c:pt>
                <c:pt idx="635">
                  <c:v>19.077589842194811</c:v>
                </c:pt>
                <c:pt idx="636">
                  <c:v>18.737244897135955</c:v>
                </c:pt>
                <c:pt idx="637">
                  <c:v>16.603792040135605</c:v>
                </c:pt>
                <c:pt idx="638">
                  <c:v>17.745087567173062</c:v>
                </c:pt>
                <c:pt idx="639">
                  <c:v>20.587392365624595</c:v>
                </c:pt>
                <c:pt idx="640">
                  <c:v>15.666396270256225</c:v>
                </c:pt>
                <c:pt idx="641">
                  <c:v>17.498855827620076</c:v>
                </c:pt>
                <c:pt idx="642">
                  <c:v>17.52507526997492</c:v>
                </c:pt>
                <c:pt idx="643">
                  <c:v>17.889356571784226</c:v>
                </c:pt>
                <c:pt idx="644">
                  <c:v>15.09004680092862</c:v>
                </c:pt>
                <c:pt idx="645">
                  <c:v>19.003222097427525</c:v>
                </c:pt>
                <c:pt idx="646">
                  <c:v>16.387092738181089</c:v>
                </c:pt>
                <c:pt idx="647">
                  <c:v>20.019856540446995</c:v>
                </c:pt>
                <c:pt idx="648">
                  <c:v>18.728345016390019</c:v>
                </c:pt>
                <c:pt idx="649">
                  <c:v>16.172350613264904</c:v>
                </c:pt>
                <c:pt idx="650">
                  <c:v>17.418222949958469</c:v>
                </c:pt>
                <c:pt idx="651">
                  <c:v>17.938798640819602</c:v>
                </c:pt>
                <c:pt idx="652">
                  <c:v>18.839360695206793</c:v>
                </c:pt>
                <c:pt idx="653">
                  <c:v>17.997024307697448</c:v>
                </c:pt>
                <c:pt idx="654">
                  <c:v>20.648663957930552</c:v>
                </c:pt>
                <c:pt idx="655">
                  <c:v>21.100994279164372</c:v>
                </c:pt>
                <c:pt idx="656">
                  <c:v>17.416153083781182</c:v>
                </c:pt>
                <c:pt idx="657">
                  <c:v>15.799283974766361</c:v>
                </c:pt>
                <c:pt idx="658">
                  <c:v>21.20000187695517</c:v>
                </c:pt>
                <c:pt idx="659">
                  <c:v>15.308256882149886</c:v>
                </c:pt>
                <c:pt idx="660">
                  <c:v>18.187581035661303</c:v>
                </c:pt>
                <c:pt idx="661">
                  <c:v>19.100247540426217</c:v>
                </c:pt>
                <c:pt idx="662">
                  <c:v>14.858407339325661</c:v>
                </c:pt>
                <c:pt idx="663">
                  <c:v>16.521738477949231</c:v>
                </c:pt>
                <c:pt idx="664">
                  <c:v>18.477119183163037</c:v>
                </c:pt>
                <c:pt idx="665">
                  <c:v>17.824854041284333</c:v>
                </c:pt>
                <c:pt idx="666">
                  <c:v>18.185805217316879</c:v>
                </c:pt>
                <c:pt idx="667">
                  <c:v>17.549824958217449</c:v>
                </c:pt>
                <c:pt idx="668">
                  <c:v>17.256996423479514</c:v>
                </c:pt>
                <c:pt idx="669">
                  <c:v>20.498955310226709</c:v>
                </c:pt>
                <c:pt idx="670">
                  <c:v>16.694039342725063</c:v>
                </c:pt>
                <c:pt idx="671">
                  <c:v>17.979270911408076</c:v>
                </c:pt>
                <c:pt idx="672">
                  <c:v>16.598158189454889</c:v>
                </c:pt>
                <c:pt idx="673">
                  <c:v>18.374585202271728</c:v>
                </c:pt>
                <c:pt idx="674">
                  <c:v>19.857744591981298</c:v>
                </c:pt>
                <c:pt idx="675">
                  <c:v>20.478147858171774</c:v>
                </c:pt>
                <c:pt idx="676">
                  <c:v>16.545632795627746</c:v>
                </c:pt>
                <c:pt idx="677">
                  <c:v>18.653386370684061</c:v>
                </c:pt>
                <c:pt idx="678">
                  <c:v>15.481890221164139</c:v>
                </c:pt>
                <c:pt idx="679">
                  <c:v>14.861909394656008</c:v>
                </c:pt>
                <c:pt idx="680">
                  <c:v>16.211130072161634</c:v>
                </c:pt>
                <c:pt idx="681">
                  <c:v>21.942558860386175</c:v>
                </c:pt>
                <c:pt idx="682">
                  <c:v>17.14833421936514</c:v>
                </c:pt>
                <c:pt idx="683">
                  <c:v>16.284400716555584</c:v>
                </c:pt>
                <c:pt idx="684">
                  <c:v>17.35189926870736</c:v>
                </c:pt>
                <c:pt idx="685">
                  <c:v>15.910592842246134</c:v>
                </c:pt>
                <c:pt idx="686">
                  <c:v>17.249746502836462</c:v>
                </c:pt>
                <c:pt idx="687">
                  <c:v>18.933928220186402</c:v>
                </c:pt>
                <c:pt idx="688">
                  <c:v>17.612541409957188</c:v>
                </c:pt>
                <c:pt idx="689">
                  <c:v>20.29915356267794</c:v>
                </c:pt>
                <c:pt idx="690">
                  <c:v>19.375477329078048</c:v>
                </c:pt>
                <c:pt idx="691">
                  <c:v>17.532191398149138</c:v>
                </c:pt>
                <c:pt idx="692">
                  <c:v>18.545466101861809</c:v>
                </c:pt>
                <c:pt idx="693">
                  <c:v>18.571202246882432</c:v>
                </c:pt>
                <c:pt idx="694">
                  <c:v>17.764967089384513</c:v>
                </c:pt>
                <c:pt idx="695">
                  <c:v>16.568324463582144</c:v>
                </c:pt>
                <c:pt idx="696">
                  <c:v>15.625904874554903</c:v>
                </c:pt>
                <c:pt idx="697">
                  <c:v>17.062830751728647</c:v>
                </c:pt>
                <c:pt idx="698">
                  <c:v>16.213991696220539</c:v>
                </c:pt>
                <c:pt idx="699">
                  <c:v>14.324159298455257</c:v>
                </c:pt>
                <c:pt idx="700">
                  <c:v>20.823399886294794</c:v>
                </c:pt>
                <c:pt idx="701">
                  <c:v>19.315041676114113</c:v>
                </c:pt>
                <c:pt idx="702">
                  <c:v>14.987791484565943</c:v>
                </c:pt>
                <c:pt idx="703">
                  <c:v>16.190126288644148</c:v>
                </c:pt>
                <c:pt idx="704">
                  <c:v>17.69885804392375</c:v>
                </c:pt>
                <c:pt idx="705">
                  <c:v>14.329917684189102</c:v>
                </c:pt>
                <c:pt idx="706">
                  <c:v>17.7519787638373</c:v>
                </c:pt>
                <c:pt idx="707">
                  <c:v>17.461509086991551</c:v>
                </c:pt>
                <c:pt idx="708">
                  <c:v>17.48522751824256</c:v>
                </c:pt>
                <c:pt idx="709">
                  <c:v>18.31385100605603</c:v>
                </c:pt>
                <c:pt idx="710">
                  <c:v>15.936353315771225</c:v>
                </c:pt>
                <c:pt idx="711">
                  <c:v>18.87982392859676</c:v>
                </c:pt>
                <c:pt idx="712">
                  <c:v>18.732277892344399</c:v>
                </c:pt>
                <c:pt idx="713">
                  <c:v>19.284662415096971</c:v>
                </c:pt>
                <c:pt idx="714">
                  <c:v>20.832090964081765</c:v>
                </c:pt>
                <c:pt idx="715">
                  <c:v>19.887749450472192</c:v>
                </c:pt>
                <c:pt idx="716">
                  <c:v>19.919809229274669</c:v>
                </c:pt>
                <c:pt idx="717">
                  <c:v>15.307640386288556</c:v>
                </c:pt>
                <c:pt idx="718">
                  <c:v>19.786140253580307</c:v>
                </c:pt>
                <c:pt idx="719">
                  <c:v>17.291438572383182</c:v>
                </c:pt>
                <c:pt idx="720">
                  <c:v>20.026675158616268</c:v>
                </c:pt>
                <c:pt idx="721">
                  <c:v>15.915538857201966</c:v>
                </c:pt>
                <c:pt idx="722">
                  <c:v>22.795397303336546</c:v>
                </c:pt>
                <c:pt idx="723">
                  <c:v>21.300812380797261</c:v>
                </c:pt>
                <c:pt idx="724">
                  <c:v>18.038943315003085</c:v>
                </c:pt>
                <c:pt idx="725">
                  <c:v>17.282713246423167</c:v>
                </c:pt>
                <c:pt idx="726">
                  <c:v>16.720950101386578</c:v>
                </c:pt>
                <c:pt idx="727">
                  <c:v>21.009717216074755</c:v>
                </c:pt>
                <c:pt idx="728">
                  <c:v>20.251093610233639</c:v>
                </c:pt>
                <c:pt idx="729">
                  <c:v>18.326648370174794</c:v>
                </c:pt>
                <c:pt idx="730">
                  <c:v>20.309869871371518</c:v>
                </c:pt>
                <c:pt idx="731">
                  <c:v>14.279359731928373</c:v>
                </c:pt>
                <c:pt idx="732">
                  <c:v>16.858079586345038</c:v>
                </c:pt>
                <c:pt idx="733">
                  <c:v>18.428060653646117</c:v>
                </c:pt>
                <c:pt idx="734">
                  <c:v>19.308344706406245</c:v>
                </c:pt>
                <c:pt idx="735">
                  <c:v>19.876917672457171</c:v>
                </c:pt>
                <c:pt idx="736">
                  <c:v>19.542810722415666</c:v>
                </c:pt>
                <c:pt idx="737">
                  <c:v>20.12080006310406</c:v>
                </c:pt>
                <c:pt idx="738">
                  <c:v>17.441453785860034</c:v>
                </c:pt>
                <c:pt idx="739">
                  <c:v>19.43972836575368</c:v>
                </c:pt>
                <c:pt idx="740">
                  <c:v>18.277423122026203</c:v>
                </c:pt>
                <c:pt idx="741">
                  <c:v>22.046288902668863</c:v>
                </c:pt>
                <c:pt idx="742">
                  <c:v>23.192400917918526</c:v>
                </c:pt>
                <c:pt idx="743">
                  <c:v>16.820222404686707</c:v>
                </c:pt>
                <c:pt idx="744">
                  <c:v>18.372296847030231</c:v>
                </c:pt>
                <c:pt idx="745">
                  <c:v>20.726646995803765</c:v>
                </c:pt>
                <c:pt idx="746">
                  <c:v>21.768049853240132</c:v>
                </c:pt>
                <c:pt idx="747">
                  <c:v>20.393482263594393</c:v>
                </c:pt>
                <c:pt idx="748">
                  <c:v>21.824095295704709</c:v>
                </c:pt>
                <c:pt idx="749">
                  <c:v>19.702495684448557</c:v>
                </c:pt>
                <c:pt idx="750">
                  <c:v>21.885745282415737</c:v>
                </c:pt>
                <c:pt idx="751">
                  <c:v>18.713788368708428</c:v>
                </c:pt>
                <c:pt idx="752">
                  <c:v>17.467742842791257</c:v>
                </c:pt>
                <c:pt idx="753">
                  <c:v>20.945722150954047</c:v>
                </c:pt>
                <c:pt idx="754">
                  <c:v>16.923751830195361</c:v>
                </c:pt>
                <c:pt idx="755">
                  <c:v>16.253614377043434</c:v>
                </c:pt>
                <c:pt idx="756">
                  <c:v>19.889464738135299</c:v>
                </c:pt>
                <c:pt idx="757">
                  <c:v>17.433138716816007</c:v>
                </c:pt>
                <c:pt idx="758">
                  <c:v>20.692383906439566</c:v>
                </c:pt>
                <c:pt idx="759">
                  <c:v>17.32831395575624</c:v>
                </c:pt>
                <c:pt idx="760">
                  <c:v>19.281512329759906</c:v>
                </c:pt>
                <c:pt idx="761">
                  <c:v>17.228986858161512</c:v>
                </c:pt>
                <c:pt idx="762">
                  <c:v>17.104846754238213</c:v>
                </c:pt>
                <c:pt idx="763">
                  <c:v>16.69915250794163</c:v>
                </c:pt>
                <c:pt idx="764">
                  <c:v>22.081018516656634</c:v>
                </c:pt>
                <c:pt idx="765">
                  <c:v>17.771141696765664</c:v>
                </c:pt>
                <c:pt idx="766">
                  <c:v>18.10424718844607</c:v>
                </c:pt>
                <c:pt idx="767">
                  <c:v>14.518242847747574</c:v>
                </c:pt>
                <c:pt idx="768">
                  <c:v>14.312788530775657</c:v>
                </c:pt>
                <c:pt idx="769">
                  <c:v>20.233083539505522</c:v>
                </c:pt>
                <c:pt idx="770">
                  <c:v>16.039280428380554</c:v>
                </c:pt>
                <c:pt idx="771">
                  <c:v>17.455111874977362</c:v>
                </c:pt>
                <c:pt idx="772">
                  <c:v>17.039038536786013</c:v>
                </c:pt>
                <c:pt idx="773">
                  <c:v>18.109856345641745</c:v>
                </c:pt>
                <c:pt idx="774">
                  <c:v>23.718285931729444</c:v>
                </c:pt>
                <c:pt idx="775">
                  <c:v>15.882930137198942</c:v>
                </c:pt>
                <c:pt idx="776">
                  <c:v>19.685951430940108</c:v>
                </c:pt>
                <c:pt idx="777">
                  <c:v>14.822436155769878</c:v>
                </c:pt>
                <c:pt idx="778">
                  <c:v>18.070078802887505</c:v>
                </c:pt>
                <c:pt idx="779">
                  <c:v>15.097724846318986</c:v>
                </c:pt>
                <c:pt idx="780">
                  <c:v>19.967764004979379</c:v>
                </c:pt>
                <c:pt idx="781">
                  <c:v>15.876143134581168</c:v>
                </c:pt>
                <c:pt idx="782">
                  <c:v>21.347869965310561</c:v>
                </c:pt>
                <c:pt idx="783">
                  <c:v>18.503739102333547</c:v>
                </c:pt>
                <c:pt idx="784">
                  <c:v>21.607015654123817</c:v>
                </c:pt>
                <c:pt idx="785">
                  <c:v>22.68605396620806</c:v>
                </c:pt>
                <c:pt idx="786">
                  <c:v>23.846494318622334</c:v>
                </c:pt>
                <c:pt idx="787">
                  <c:v>21.088197229899482</c:v>
                </c:pt>
                <c:pt idx="788">
                  <c:v>17.837784980358034</c:v>
                </c:pt>
                <c:pt idx="789">
                  <c:v>16.435361436714221</c:v>
                </c:pt>
                <c:pt idx="790">
                  <c:v>20.975882176747294</c:v>
                </c:pt>
                <c:pt idx="791">
                  <c:v>17.458761058592888</c:v>
                </c:pt>
                <c:pt idx="792">
                  <c:v>19.385519754581757</c:v>
                </c:pt>
                <c:pt idx="793">
                  <c:v>16.931488656572579</c:v>
                </c:pt>
                <c:pt idx="794">
                  <c:v>17.976938836860093</c:v>
                </c:pt>
                <c:pt idx="795">
                  <c:v>17.846473586032765</c:v>
                </c:pt>
                <c:pt idx="796">
                  <c:v>18.489483101028597</c:v>
                </c:pt>
                <c:pt idx="797">
                  <c:v>21.961662897834326</c:v>
                </c:pt>
                <c:pt idx="798">
                  <c:v>18.538562327406812</c:v>
                </c:pt>
                <c:pt idx="799">
                  <c:v>19.050367542427232</c:v>
                </c:pt>
                <c:pt idx="800">
                  <c:v>17.958579967583102</c:v>
                </c:pt>
                <c:pt idx="801">
                  <c:v>19.434140298794677</c:v>
                </c:pt>
                <c:pt idx="802">
                  <c:v>16.17107080593334</c:v>
                </c:pt>
                <c:pt idx="803">
                  <c:v>18.490362810528012</c:v>
                </c:pt>
                <c:pt idx="804">
                  <c:v>20.214848505283715</c:v>
                </c:pt>
                <c:pt idx="805">
                  <c:v>19.70524212744413</c:v>
                </c:pt>
                <c:pt idx="806">
                  <c:v>18.883935692423648</c:v>
                </c:pt>
                <c:pt idx="807">
                  <c:v>15.278150875591113</c:v>
                </c:pt>
                <c:pt idx="808">
                  <c:v>19.26560006033446</c:v>
                </c:pt>
                <c:pt idx="809">
                  <c:v>19.458065526817517</c:v>
                </c:pt>
                <c:pt idx="810">
                  <c:v>16.074488086350438</c:v>
                </c:pt>
                <c:pt idx="811">
                  <c:v>19.166532504919587</c:v>
                </c:pt>
                <c:pt idx="812">
                  <c:v>21.557270595942335</c:v>
                </c:pt>
                <c:pt idx="813">
                  <c:v>21.788220374460458</c:v>
                </c:pt>
                <c:pt idx="814">
                  <c:v>21.415536473632468</c:v>
                </c:pt>
                <c:pt idx="815">
                  <c:v>14.293266856808083</c:v>
                </c:pt>
                <c:pt idx="816">
                  <c:v>23.579730180683104</c:v>
                </c:pt>
                <c:pt idx="817">
                  <c:v>18.657212748111121</c:v>
                </c:pt>
                <c:pt idx="818">
                  <c:v>23.415102374434074</c:v>
                </c:pt>
                <c:pt idx="819">
                  <c:v>22.570385778829973</c:v>
                </c:pt>
                <c:pt idx="820">
                  <c:v>23.470080309100503</c:v>
                </c:pt>
                <c:pt idx="821">
                  <c:v>17.382128800892509</c:v>
                </c:pt>
                <c:pt idx="822">
                  <c:v>17.264146369631824</c:v>
                </c:pt>
                <c:pt idx="823">
                  <c:v>16.597134946927991</c:v>
                </c:pt>
                <c:pt idx="824">
                  <c:v>18.341784782114058</c:v>
                </c:pt>
                <c:pt idx="825">
                  <c:v>20.928505296011828</c:v>
                </c:pt>
                <c:pt idx="826">
                  <c:v>18.540670794863708</c:v>
                </c:pt>
                <c:pt idx="827">
                  <c:v>19.043304282134713</c:v>
                </c:pt>
                <c:pt idx="828">
                  <c:v>20.818493049755876</c:v>
                </c:pt>
                <c:pt idx="829">
                  <c:v>18.768376395715567</c:v>
                </c:pt>
                <c:pt idx="830">
                  <c:v>18.631218256885138</c:v>
                </c:pt>
                <c:pt idx="831">
                  <c:v>19.301521210195393</c:v>
                </c:pt>
                <c:pt idx="832">
                  <c:v>19.838026969662202</c:v>
                </c:pt>
                <c:pt idx="833">
                  <c:v>18.082061074620444</c:v>
                </c:pt>
                <c:pt idx="834">
                  <c:v>19.711294205675237</c:v>
                </c:pt>
                <c:pt idx="835">
                  <c:v>18.743324638435475</c:v>
                </c:pt>
                <c:pt idx="836">
                  <c:v>16.992861515419882</c:v>
                </c:pt>
                <c:pt idx="837">
                  <c:v>20.48574086119639</c:v>
                </c:pt>
                <c:pt idx="838">
                  <c:v>15.499565013682924</c:v>
                </c:pt>
                <c:pt idx="839">
                  <c:v>16.131816078539757</c:v>
                </c:pt>
                <c:pt idx="840">
                  <c:v>20.565671454411984</c:v>
                </c:pt>
                <c:pt idx="841">
                  <c:v>15.556405041237113</c:v>
                </c:pt>
                <c:pt idx="842">
                  <c:v>16.318645396021306</c:v>
                </c:pt>
                <c:pt idx="843">
                  <c:v>20.636198448425741</c:v>
                </c:pt>
                <c:pt idx="844">
                  <c:v>23.92778271051872</c:v>
                </c:pt>
                <c:pt idx="845">
                  <c:v>20.321944504385154</c:v>
                </c:pt>
                <c:pt idx="846">
                  <c:v>22.668396534165812</c:v>
                </c:pt>
                <c:pt idx="847">
                  <c:v>21.488872725357894</c:v>
                </c:pt>
                <c:pt idx="848">
                  <c:v>18.876219070637195</c:v>
                </c:pt>
                <c:pt idx="849">
                  <c:v>18.12477109761463</c:v>
                </c:pt>
                <c:pt idx="850">
                  <c:v>17.002557442284562</c:v>
                </c:pt>
                <c:pt idx="851">
                  <c:v>23.014831492155057</c:v>
                </c:pt>
                <c:pt idx="852">
                  <c:v>16.255210577749118</c:v>
                </c:pt>
                <c:pt idx="853">
                  <c:v>19.477358207419247</c:v>
                </c:pt>
                <c:pt idx="854">
                  <c:v>16.549429158465042</c:v>
                </c:pt>
                <c:pt idx="855">
                  <c:v>22.08478754482671</c:v>
                </c:pt>
                <c:pt idx="856">
                  <c:v>21.713019697096321</c:v>
                </c:pt>
                <c:pt idx="857">
                  <c:v>21.93946392273282</c:v>
                </c:pt>
                <c:pt idx="858">
                  <c:v>19.425008656084675</c:v>
                </c:pt>
                <c:pt idx="859">
                  <c:v>21.213764910900906</c:v>
                </c:pt>
                <c:pt idx="860">
                  <c:v>17.911663376866983</c:v>
                </c:pt>
                <c:pt idx="861">
                  <c:v>19.997553875195507</c:v>
                </c:pt>
                <c:pt idx="862">
                  <c:v>17.383416952581758</c:v>
                </c:pt>
                <c:pt idx="863">
                  <c:v>17.685750955745938</c:v>
                </c:pt>
                <c:pt idx="864">
                  <c:v>15.266418758001949</c:v>
                </c:pt>
                <c:pt idx="865">
                  <c:v>19.252460809757487</c:v>
                </c:pt>
                <c:pt idx="866">
                  <c:v>20.648583473270282</c:v>
                </c:pt>
                <c:pt idx="867">
                  <c:v>17.913165303454448</c:v>
                </c:pt>
                <c:pt idx="868">
                  <c:v>21.822957571757549</c:v>
                </c:pt>
                <c:pt idx="869">
                  <c:v>20.717274702389613</c:v>
                </c:pt>
                <c:pt idx="870">
                  <c:v>19.045105956942493</c:v>
                </c:pt>
                <c:pt idx="871">
                  <c:v>22.916342120793594</c:v>
                </c:pt>
                <c:pt idx="872">
                  <c:v>17.168634866003355</c:v>
                </c:pt>
                <c:pt idx="873">
                  <c:v>19.764196181308446</c:v>
                </c:pt>
                <c:pt idx="874">
                  <c:v>18.203723110284738</c:v>
                </c:pt>
                <c:pt idx="875">
                  <c:v>20.323261468432737</c:v>
                </c:pt>
                <c:pt idx="876">
                  <c:v>15.364503920316208</c:v>
                </c:pt>
                <c:pt idx="877">
                  <c:v>18.723462631608232</c:v>
                </c:pt>
                <c:pt idx="878">
                  <c:v>16.238485371887382</c:v>
                </c:pt>
                <c:pt idx="879">
                  <c:v>18.920513708814749</c:v>
                </c:pt>
                <c:pt idx="880">
                  <c:v>17.890921751758707</c:v>
                </c:pt>
                <c:pt idx="881">
                  <c:v>18.655083015838546</c:v>
                </c:pt>
                <c:pt idx="882">
                  <c:v>17.929967848990831</c:v>
                </c:pt>
                <c:pt idx="883">
                  <c:v>20.510654878240459</c:v>
                </c:pt>
                <c:pt idx="884">
                  <c:v>15.977767984913713</c:v>
                </c:pt>
                <c:pt idx="885">
                  <c:v>24.163838074220358</c:v>
                </c:pt>
                <c:pt idx="886">
                  <c:v>20.405752068173619</c:v>
                </c:pt>
                <c:pt idx="887">
                  <c:v>18.031487701794351</c:v>
                </c:pt>
                <c:pt idx="888">
                  <c:v>21.545331079455107</c:v>
                </c:pt>
                <c:pt idx="889">
                  <c:v>16.57176040744385</c:v>
                </c:pt>
                <c:pt idx="890">
                  <c:v>17.948920266992836</c:v>
                </c:pt>
                <c:pt idx="891">
                  <c:v>17.132668220775166</c:v>
                </c:pt>
                <c:pt idx="892">
                  <c:v>20.900142363111403</c:v>
                </c:pt>
                <c:pt idx="893">
                  <c:v>23.278356210672619</c:v>
                </c:pt>
                <c:pt idx="894">
                  <c:v>21.127674627639927</c:v>
                </c:pt>
                <c:pt idx="895">
                  <c:v>22.503868617922148</c:v>
                </c:pt>
                <c:pt idx="896">
                  <c:v>17.924730049323724</c:v>
                </c:pt>
                <c:pt idx="897">
                  <c:v>18.683821302204333</c:v>
                </c:pt>
                <c:pt idx="898">
                  <c:v>23.408542758635086</c:v>
                </c:pt>
                <c:pt idx="899">
                  <c:v>18.127092544136058</c:v>
                </c:pt>
                <c:pt idx="900">
                  <c:v>18.445454925133642</c:v>
                </c:pt>
                <c:pt idx="901">
                  <c:v>16.924155776539283</c:v>
                </c:pt>
                <c:pt idx="902">
                  <c:v>22.882482158340288</c:v>
                </c:pt>
                <c:pt idx="903">
                  <c:v>20.974676654907203</c:v>
                </c:pt>
                <c:pt idx="904">
                  <c:v>20.464314021834443</c:v>
                </c:pt>
                <c:pt idx="905">
                  <c:v>22.552268745103355</c:v>
                </c:pt>
                <c:pt idx="906">
                  <c:v>20.512148160007026</c:v>
                </c:pt>
                <c:pt idx="907">
                  <c:v>17.716010681598998</c:v>
                </c:pt>
                <c:pt idx="908">
                  <c:v>21.273680652546854</c:v>
                </c:pt>
                <c:pt idx="909">
                  <c:v>17.072075279169447</c:v>
                </c:pt>
                <c:pt idx="910">
                  <c:v>18.060451636976136</c:v>
                </c:pt>
                <c:pt idx="911">
                  <c:v>19.774778804916938</c:v>
                </c:pt>
                <c:pt idx="912">
                  <c:v>20.472349984654162</c:v>
                </c:pt>
                <c:pt idx="913">
                  <c:v>18.861602722046744</c:v>
                </c:pt>
                <c:pt idx="914">
                  <c:v>23.613009194749569</c:v>
                </c:pt>
                <c:pt idx="915">
                  <c:v>24.750035491789326</c:v>
                </c:pt>
                <c:pt idx="916">
                  <c:v>19.079902310538007</c:v>
                </c:pt>
                <c:pt idx="917">
                  <c:v>20.760015966901324</c:v>
                </c:pt>
                <c:pt idx="918">
                  <c:v>19.75986342098463</c:v>
                </c:pt>
                <c:pt idx="919">
                  <c:v>16.119086002787338</c:v>
                </c:pt>
                <c:pt idx="920">
                  <c:v>17.829906808152845</c:v>
                </c:pt>
                <c:pt idx="921">
                  <c:v>18.874510534787841</c:v>
                </c:pt>
                <c:pt idx="922">
                  <c:v>18.742126671418987</c:v>
                </c:pt>
                <c:pt idx="923">
                  <c:v>14.613752414242928</c:v>
                </c:pt>
                <c:pt idx="924">
                  <c:v>16.206671423074166</c:v>
                </c:pt>
                <c:pt idx="925">
                  <c:v>18.653862754820352</c:v>
                </c:pt>
                <c:pt idx="926">
                  <c:v>26.504862302687641</c:v>
                </c:pt>
                <c:pt idx="927">
                  <c:v>19.151292812244385</c:v>
                </c:pt>
                <c:pt idx="928">
                  <c:v>17.982521876865636</c:v>
                </c:pt>
                <c:pt idx="929">
                  <c:v>18.29178124380137</c:v>
                </c:pt>
                <c:pt idx="930">
                  <c:v>16.683913304758441</c:v>
                </c:pt>
                <c:pt idx="931">
                  <c:v>19.712489072982216</c:v>
                </c:pt>
                <c:pt idx="932">
                  <c:v>17.919315845484181</c:v>
                </c:pt>
                <c:pt idx="933">
                  <c:v>21.120946282203548</c:v>
                </c:pt>
                <c:pt idx="934">
                  <c:v>22.860149659659591</c:v>
                </c:pt>
                <c:pt idx="935">
                  <c:v>18.70473437944435</c:v>
                </c:pt>
                <c:pt idx="936">
                  <c:v>17.178941065124626</c:v>
                </c:pt>
                <c:pt idx="937">
                  <c:v>19.842631356938359</c:v>
                </c:pt>
                <c:pt idx="938">
                  <c:v>20.881416521176007</c:v>
                </c:pt>
                <c:pt idx="939">
                  <c:v>22.585584606032963</c:v>
                </c:pt>
                <c:pt idx="940">
                  <c:v>18.655097153094388</c:v>
                </c:pt>
                <c:pt idx="941">
                  <c:v>21.48605671203488</c:v>
                </c:pt>
                <c:pt idx="942">
                  <c:v>17.156507005801878</c:v>
                </c:pt>
                <c:pt idx="943">
                  <c:v>20.638504446496842</c:v>
                </c:pt>
                <c:pt idx="944">
                  <c:v>19.346865334407141</c:v>
                </c:pt>
                <c:pt idx="945">
                  <c:v>18.904538444302837</c:v>
                </c:pt>
                <c:pt idx="946">
                  <c:v>16.842070464236517</c:v>
                </c:pt>
                <c:pt idx="947">
                  <c:v>19.095420137305716</c:v>
                </c:pt>
                <c:pt idx="948">
                  <c:v>16.876267561625831</c:v>
                </c:pt>
                <c:pt idx="949">
                  <c:v>19.768043052289428</c:v>
                </c:pt>
                <c:pt idx="950">
                  <c:v>19.312199691007979</c:v>
                </c:pt>
                <c:pt idx="951">
                  <c:v>19.023652406045393</c:v>
                </c:pt>
                <c:pt idx="952">
                  <c:v>19.196126206995363</c:v>
                </c:pt>
                <c:pt idx="953">
                  <c:v>18.616443244831476</c:v>
                </c:pt>
                <c:pt idx="954">
                  <c:v>17.114621516880458</c:v>
                </c:pt>
                <c:pt idx="955">
                  <c:v>15.904169199512266</c:v>
                </c:pt>
                <c:pt idx="956">
                  <c:v>21.828149470462872</c:v>
                </c:pt>
                <c:pt idx="957">
                  <c:v>20.599213133154517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D2-AD4F-AFB0-8B7C78E7B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510463"/>
        <c:axId val="258496847"/>
      </c:scatterChart>
      <c:valAx>
        <c:axId val="258510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496847"/>
        <c:crosses val="autoZero"/>
        <c:crossBetween val="midCat"/>
      </c:valAx>
      <c:valAx>
        <c:axId val="258496847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510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SS curve B - elastic 1-5</a:t>
            </a:r>
            <a:r>
              <a:rPr lang="en-US" baseline="0"/>
              <a:t> mN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'curves processed'!$AL$2:$AL$959</c:f>
              <c:numCache>
                <c:formatCode>General</c:formatCode>
                <c:ptCount val="958"/>
                <c:pt idx="0">
                  <c:v>3.8460431330556571E-2</c:v>
                </c:pt>
                <c:pt idx="1">
                  <c:v>3.16749115738513E-2</c:v>
                </c:pt>
                <c:pt idx="2">
                  <c:v>3.7602400529513726E-2</c:v>
                </c:pt>
                <c:pt idx="3">
                  <c:v>3.543266187762413E-2</c:v>
                </c:pt>
                <c:pt idx="4">
                  <c:v>4.0560008227013757E-2</c:v>
                </c:pt>
                <c:pt idx="5">
                  <c:v>4.3029763906875865E-2</c:v>
                </c:pt>
                <c:pt idx="6">
                  <c:v>3.2323684717313644E-2</c:v>
                </c:pt>
                <c:pt idx="7">
                  <c:v>3.7758566217340132E-2</c:v>
                </c:pt>
                <c:pt idx="8">
                  <c:v>5.0785319265387679E-2</c:v>
                </c:pt>
                <c:pt idx="9">
                  <c:v>4.7737293633440044E-2</c:v>
                </c:pt>
                <c:pt idx="10">
                  <c:v>4.65318064204744E-2</c:v>
                </c:pt>
                <c:pt idx="11">
                  <c:v>4.9679496158141039E-2</c:v>
                </c:pt>
                <c:pt idx="12">
                  <c:v>4.8572845477711735E-2</c:v>
                </c:pt>
                <c:pt idx="13">
                  <c:v>4.9359554603905419E-2</c:v>
                </c:pt>
                <c:pt idx="14">
                  <c:v>4.0573460966060855E-2</c:v>
                </c:pt>
                <c:pt idx="15">
                  <c:v>4.3894663186166256E-2</c:v>
                </c:pt>
                <c:pt idx="16">
                  <c:v>4.9294968262547603E-2</c:v>
                </c:pt>
                <c:pt idx="17">
                  <c:v>5.1176896271446622E-2</c:v>
                </c:pt>
                <c:pt idx="18">
                  <c:v>6.0389345582442702E-2</c:v>
                </c:pt>
                <c:pt idx="19">
                  <c:v>5.4109955604439909E-2</c:v>
                </c:pt>
                <c:pt idx="20">
                  <c:v>5.6525840611181648E-2</c:v>
                </c:pt>
                <c:pt idx="21">
                  <c:v>6.3290718433718141E-2</c:v>
                </c:pt>
                <c:pt idx="22">
                  <c:v>5.6375860491635482E-2</c:v>
                </c:pt>
                <c:pt idx="23">
                  <c:v>5.6949162690034152E-2</c:v>
                </c:pt>
                <c:pt idx="24">
                  <c:v>6.0271279530805681E-2</c:v>
                </c:pt>
                <c:pt idx="25">
                  <c:v>5.9685178772945949E-2</c:v>
                </c:pt>
                <c:pt idx="26">
                  <c:v>6.8925504176624686E-2</c:v>
                </c:pt>
                <c:pt idx="27">
                  <c:v>6.0873846181217182E-2</c:v>
                </c:pt>
                <c:pt idx="28">
                  <c:v>7.5041255531115902E-2</c:v>
                </c:pt>
                <c:pt idx="29">
                  <c:v>6.8903234223740492E-2</c:v>
                </c:pt>
                <c:pt idx="30">
                  <c:v>5.8821338143789724E-2</c:v>
                </c:pt>
                <c:pt idx="31">
                  <c:v>5.9836527692533774E-2</c:v>
                </c:pt>
                <c:pt idx="32">
                  <c:v>7.0340178876546144E-2</c:v>
                </c:pt>
                <c:pt idx="33">
                  <c:v>7.4615993801446817E-2</c:v>
                </c:pt>
                <c:pt idx="34">
                  <c:v>6.6815144638632515E-2</c:v>
                </c:pt>
                <c:pt idx="35">
                  <c:v>6.1037071949566118E-2</c:v>
                </c:pt>
                <c:pt idx="36">
                  <c:v>6.5861125953551786E-2</c:v>
                </c:pt>
                <c:pt idx="37">
                  <c:v>7.2681444694075531E-2</c:v>
                </c:pt>
                <c:pt idx="38">
                  <c:v>7.6539248210485022E-2</c:v>
                </c:pt>
                <c:pt idx="39">
                  <c:v>6.918214169217593E-2</c:v>
                </c:pt>
                <c:pt idx="40">
                  <c:v>7.4700080972240346E-2</c:v>
                </c:pt>
                <c:pt idx="41">
                  <c:v>7.5267037239719461E-2</c:v>
                </c:pt>
                <c:pt idx="42">
                  <c:v>7.9589450105838316E-2</c:v>
                </c:pt>
                <c:pt idx="43">
                  <c:v>6.5561283139432297E-2</c:v>
                </c:pt>
                <c:pt idx="44">
                  <c:v>7.6790680433414568E-2</c:v>
                </c:pt>
                <c:pt idx="45">
                  <c:v>6.8620085774883946E-2</c:v>
                </c:pt>
                <c:pt idx="46">
                  <c:v>7.5228030823125375E-2</c:v>
                </c:pt>
                <c:pt idx="47">
                  <c:v>7.1440240753250617E-2</c:v>
                </c:pt>
                <c:pt idx="48">
                  <c:v>7.9940701573075923E-2</c:v>
                </c:pt>
                <c:pt idx="49">
                  <c:v>7.7177394499666846E-2</c:v>
                </c:pt>
                <c:pt idx="50">
                  <c:v>8.0035617786466146E-2</c:v>
                </c:pt>
                <c:pt idx="51">
                  <c:v>7.8261855241748002E-2</c:v>
                </c:pt>
                <c:pt idx="52">
                  <c:v>7.7780105756124804E-2</c:v>
                </c:pt>
                <c:pt idx="53">
                  <c:v>9.0221841582109136E-2</c:v>
                </c:pt>
                <c:pt idx="54">
                  <c:v>9.6120117680185441E-2</c:v>
                </c:pt>
                <c:pt idx="55">
                  <c:v>7.2732745366535262E-2</c:v>
                </c:pt>
                <c:pt idx="56">
                  <c:v>8.5846804045179068E-2</c:v>
                </c:pt>
                <c:pt idx="57">
                  <c:v>8.780353391064015E-2</c:v>
                </c:pt>
                <c:pt idx="58">
                  <c:v>9.3322496160454529E-2</c:v>
                </c:pt>
                <c:pt idx="59">
                  <c:v>8.2007450402318591E-2</c:v>
                </c:pt>
                <c:pt idx="60">
                  <c:v>7.2088135335346346E-2</c:v>
                </c:pt>
                <c:pt idx="61">
                  <c:v>8.1777238809557826E-2</c:v>
                </c:pt>
                <c:pt idx="62">
                  <c:v>9.658884842048622E-2</c:v>
                </c:pt>
                <c:pt idx="63">
                  <c:v>8.6411855236231377E-2</c:v>
                </c:pt>
                <c:pt idx="64">
                  <c:v>7.9044513330338878E-2</c:v>
                </c:pt>
                <c:pt idx="65">
                  <c:v>9.5744766502159559E-2</c:v>
                </c:pt>
                <c:pt idx="66">
                  <c:v>8.3958862174203439E-2</c:v>
                </c:pt>
                <c:pt idx="67">
                  <c:v>8.1216726058765246E-2</c:v>
                </c:pt>
                <c:pt idx="68">
                  <c:v>8.3529521893256034E-2</c:v>
                </c:pt>
                <c:pt idx="69">
                  <c:v>8.8927415192586345E-2</c:v>
                </c:pt>
                <c:pt idx="70">
                  <c:v>9.4362098946522935E-2</c:v>
                </c:pt>
                <c:pt idx="71">
                  <c:v>8.608130401006088E-2</c:v>
                </c:pt>
                <c:pt idx="72">
                  <c:v>9.8611241123982868E-2</c:v>
                </c:pt>
                <c:pt idx="73">
                  <c:v>9.9873568645012345E-2</c:v>
                </c:pt>
                <c:pt idx="74">
                  <c:v>8.5250731829018475E-2</c:v>
                </c:pt>
                <c:pt idx="75">
                  <c:v>9.1047747936323947E-2</c:v>
                </c:pt>
                <c:pt idx="76">
                  <c:v>9.4950823857108832E-2</c:v>
                </c:pt>
                <c:pt idx="77">
                  <c:v>7.703063290850555E-2</c:v>
                </c:pt>
                <c:pt idx="78">
                  <c:v>8.5585422581880025E-2</c:v>
                </c:pt>
                <c:pt idx="79">
                  <c:v>9.012376296115894E-2</c:v>
                </c:pt>
                <c:pt idx="80">
                  <c:v>9.0390875477344923E-2</c:v>
                </c:pt>
                <c:pt idx="81">
                  <c:v>0.10494409895630259</c:v>
                </c:pt>
                <c:pt idx="82">
                  <c:v>9.1244584717696101E-2</c:v>
                </c:pt>
                <c:pt idx="83">
                  <c:v>0.11236624501409734</c:v>
                </c:pt>
                <c:pt idx="84">
                  <c:v>0.10079861532909135</c:v>
                </c:pt>
                <c:pt idx="85">
                  <c:v>9.8291116331345588E-2</c:v>
                </c:pt>
                <c:pt idx="86">
                  <c:v>9.653272276681088E-2</c:v>
                </c:pt>
                <c:pt idx="87">
                  <c:v>9.549752465571032E-2</c:v>
                </c:pt>
                <c:pt idx="88">
                  <c:v>9.1395218538204329E-2</c:v>
                </c:pt>
                <c:pt idx="89">
                  <c:v>0.10296657631724911</c:v>
                </c:pt>
                <c:pt idx="90">
                  <c:v>9.6710650246993754E-2</c:v>
                </c:pt>
                <c:pt idx="91">
                  <c:v>0.10916266408877245</c:v>
                </c:pt>
                <c:pt idx="92">
                  <c:v>0.12152422439335747</c:v>
                </c:pt>
                <c:pt idx="93">
                  <c:v>0.11015375506199744</c:v>
                </c:pt>
                <c:pt idx="94">
                  <c:v>8.9905912317116893E-2</c:v>
                </c:pt>
                <c:pt idx="95">
                  <c:v>9.6058950177244459E-2</c:v>
                </c:pt>
                <c:pt idx="96">
                  <c:v>8.8732187695016548E-2</c:v>
                </c:pt>
                <c:pt idx="97">
                  <c:v>0.11160629714753457</c:v>
                </c:pt>
                <c:pt idx="98">
                  <c:v>0.10812079088250505</c:v>
                </c:pt>
                <c:pt idx="99">
                  <c:v>0.11042583266037977</c:v>
                </c:pt>
                <c:pt idx="100">
                  <c:v>0.10412725136126372</c:v>
                </c:pt>
                <c:pt idx="101">
                  <c:v>0.10688194055071513</c:v>
                </c:pt>
                <c:pt idx="102">
                  <c:v>0.10997628667492261</c:v>
                </c:pt>
                <c:pt idx="103">
                  <c:v>0.10264386081982947</c:v>
                </c:pt>
                <c:pt idx="104">
                  <c:v>0.11974413514287739</c:v>
                </c:pt>
                <c:pt idx="105">
                  <c:v>0.10810421181386398</c:v>
                </c:pt>
                <c:pt idx="106">
                  <c:v>0.12751634992773367</c:v>
                </c:pt>
                <c:pt idx="107">
                  <c:v>0.11678622045786022</c:v>
                </c:pt>
                <c:pt idx="108">
                  <c:v>0.11143076295666204</c:v>
                </c:pt>
                <c:pt idx="109">
                  <c:v>0.11898999829561485</c:v>
                </c:pt>
                <c:pt idx="110">
                  <c:v>0.11806489351298134</c:v>
                </c:pt>
                <c:pt idx="111">
                  <c:v>0.11729962149368899</c:v>
                </c:pt>
                <c:pt idx="112">
                  <c:v>0.10670738733985022</c:v>
                </c:pt>
                <c:pt idx="113">
                  <c:v>9.8341924709148432E-2</c:v>
                </c:pt>
                <c:pt idx="114">
                  <c:v>0.10867254491847826</c:v>
                </c:pt>
                <c:pt idx="115">
                  <c:v>0.1035031321052314</c:v>
                </c:pt>
                <c:pt idx="116">
                  <c:v>0.10921011923907911</c:v>
                </c:pt>
                <c:pt idx="117">
                  <c:v>0.11609286507782099</c:v>
                </c:pt>
                <c:pt idx="118">
                  <c:v>0.1045960334482155</c:v>
                </c:pt>
                <c:pt idx="119">
                  <c:v>0.10996268897101508</c:v>
                </c:pt>
                <c:pt idx="120">
                  <c:v>0.12576265132971223</c:v>
                </c:pt>
                <c:pt idx="121">
                  <c:v>0.11361220605113637</c:v>
                </c:pt>
                <c:pt idx="122">
                  <c:v>0.11658749031476064</c:v>
                </c:pt>
                <c:pt idx="123">
                  <c:v>0.11740817344715626</c:v>
                </c:pt>
                <c:pt idx="124">
                  <c:v>0.11602459869731824</c:v>
                </c:pt>
                <c:pt idx="125">
                  <c:v>0.12851271423899699</c:v>
                </c:pt>
                <c:pt idx="126">
                  <c:v>0.11169796658155812</c:v>
                </c:pt>
                <c:pt idx="127">
                  <c:v>0.12327738285318672</c:v>
                </c:pt>
                <c:pt idx="128">
                  <c:v>0.11949362159729685</c:v>
                </c:pt>
                <c:pt idx="129">
                  <c:v>0.1260189155990408</c:v>
                </c:pt>
                <c:pt idx="130">
                  <c:v>0.11831096250900237</c:v>
                </c:pt>
                <c:pt idx="131">
                  <c:v>0.1206196323090932</c:v>
                </c:pt>
                <c:pt idx="132">
                  <c:v>0.12924428566730248</c:v>
                </c:pt>
                <c:pt idx="133">
                  <c:v>0.11828929383455017</c:v>
                </c:pt>
                <c:pt idx="134">
                  <c:v>0.1253754920972803</c:v>
                </c:pt>
                <c:pt idx="135">
                  <c:v>0.12168002468104128</c:v>
                </c:pt>
                <c:pt idx="136">
                  <c:v>0.11938417515875747</c:v>
                </c:pt>
                <c:pt idx="137">
                  <c:v>0.12521466592086819</c:v>
                </c:pt>
                <c:pt idx="138">
                  <c:v>0.12645441508840152</c:v>
                </c:pt>
                <c:pt idx="139">
                  <c:v>0.12275304077170301</c:v>
                </c:pt>
                <c:pt idx="140">
                  <c:v>0.12275304077170301</c:v>
                </c:pt>
                <c:pt idx="141">
                  <c:v>0.12627420037018522</c:v>
                </c:pt>
                <c:pt idx="142">
                  <c:v>0.12039831188283798</c:v>
                </c:pt>
                <c:pt idx="143">
                  <c:v>0.13469572077649644</c:v>
                </c:pt>
                <c:pt idx="144">
                  <c:v>0.12259804955860742</c:v>
                </c:pt>
                <c:pt idx="145">
                  <c:v>0.12491122030499625</c:v>
                </c:pt>
                <c:pt idx="146">
                  <c:v>0.11926573847705237</c:v>
                </c:pt>
                <c:pt idx="147">
                  <c:v>0.12712203836349176</c:v>
                </c:pt>
                <c:pt idx="148">
                  <c:v>0.11517039373102671</c:v>
                </c:pt>
                <c:pt idx="149">
                  <c:v>0.12356463112391261</c:v>
                </c:pt>
                <c:pt idx="150">
                  <c:v>0.12028415419141938</c:v>
                </c:pt>
                <c:pt idx="151">
                  <c:v>0.12350705207865451</c:v>
                </c:pt>
                <c:pt idx="152">
                  <c:v>0.11717335710026197</c:v>
                </c:pt>
                <c:pt idx="153">
                  <c:v>0.12684822144799002</c:v>
                </c:pt>
                <c:pt idx="154">
                  <c:v>0.13294669363298953</c:v>
                </c:pt>
                <c:pt idx="155">
                  <c:v>0.13670224995030564</c:v>
                </c:pt>
                <c:pt idx="156">
                  <c:v>0.12554288260742352</c:v>
                </c:pt>
                <c:pt idx="157">
                  <c:v>0.13921586982209341</c:v>
                </c:pt>
                <c:pt idx="158">
                  <c:v>0.12328674964462347</c:v>
                </c:pt>
                <c:pt idx="159">
                  <c:v>0.14987289861661413</c:v>
                </c:pt>
                <c:pt idx="160">
                  <c:v>0.13359952865637345</c:v>
                </c:pt>
                <c:pt idx="161">
                  <c:v>0.1399254652750701</c:v>
                </c:pt>
                <c:pt idx="162">
                  <c:v>0.14129728356208063</c:v>
                </c:pt>
                <c:pt idx="163">
                  <c:v>0.13726021831744972</c:v>
                </c:pt>
                <c:pt idx="164">
                  <c:v>0.14385639881616319</c:v>
                </c:pt>
                <c:pt idx="165">
                  <c:v>0.13688476296759575</c:v>
                </c:pt>
                <c:pt idx="166">
                  <c:v>0.14220067609255091</c:v>
                </c:pt>
                <c:pt idx="167">
                  <c:v>0.14060802852031434</c:v>
                </c:pt>
                <c:pt idx="168">
                  <c:v>0.13544810086819273</c:v>
                </c:pt>
                <c:pt idx="169">
                  <c:v>0.14589231717385559</c:v>
                </c:pt>
                <c:pt idx="170">
                  <c:v>0.14704107557679935</c:v>
                </c:pt>
                <c:pt idx="171">
                  <c:v>0.14149235574371258</c:v>
                </c:pt>
                <c:pt idx="172">
                  <c:v>0.14283990198889077</c:v>
                </c:pt>
                <c:pt idx="173">
                  <c:v>0.14534002948013264</c:v>
                </c:pt>
                <c:pt idx="174">
                  <c:v>0.11994123167743351</c:v>
                </c:pt>
                <c:pt idx="175">
                  <c:v>0.13723005786517167</c:v>
                </c:pt>
                <c:pt idx="176">
                  <c:v>0.13583813964720637</c:v>
                </c:pt>
                <c:pt idx="177">
                  <c:v>0.14082302550581943</c:v>
                </c:pt>
                <c:pt idx="178">
                  <c:v>0.13107528082402184</c:v>
                </c:pt>
                <c:pt idx="179">
                  <c:v>0.1391433615565611</c:v>
                </c:pt>
                <c:pt idx="180">
                  <c:v>0.12567787495431323</c:v>
                </c:pt>
                <c:pt idx="181">
                  <c:v>0.12560983881148083</c:v>
                </c:pt>
                <c:pt idx="182">
                  <c:v>0.14538175788365837</c:v>
                </c:pt>
                <c:pt idx="183">
                  <c:v>0.13405426447911326</c:v>
                </c:pt>
                <c:pt idx="184">
                  <c:v>0.13520002742337919</c:v>
                </c:pt>
                <c:pt idx="185">
                  <c:v>0.13504725903081041</c:v>
                </c:pt>
                <c:pt idx="186">
                  <c:v>0.14727293507097144</c:v>
                </c:pt>
                <c:pt idx="187">
                  <c:v>0.14461936867329628</c:v>
                </c:pt>
                <c:pt idx="188">
                  <c:v>0.14593409020668988</c:v>
                </c:pt>
                <c:pt idx="189">
                  <c:v>0.14699930254396498</c:v>
                </c:pt>
                <c:pt idx="190">
                  <c:v>0.14309666619324027</c:v>
                </c:pt>
                <c:pt idx="191">
                  <c:v>0.15365185506543785</c:v>
                </c:pt>
                <c:pt idx="192">
                  <c:v>0.14646669637532747</c:v>
                </c:pt>
                <c:pt idx="193">
                  <c:v>0.13901923723759896</c:v>
                </c:pt>
                <c:pt idx="194">
                  <c:v>0.1573470795346375</c:v>
                </c:pt>
                <c:pt idx="195">
                  <c:v>0.14100522634099319</c:v>
                </c:pt>
                <c:pt idx="196">
                  <c:v>0.14989744782195671</c:v>
                </c:pt>
                <c:pt idx="197">
                  <c:v>0.14444646608049533</c:v>
                </c:pt>
                <c:pt idx="198">
                  <c:v>0.12988984546773222</c:v>
                </c:pt>
                <c:pt idx="199">
                  <c:v>0.13944597869783243</c:v>
                </c:pt>
                <c:pt idx="200">
                  <c:v>0.14545658122791139</c:v>
                </c:pt>
                <c:pt idx="201">
                  <c:v>0.14521484426955542</c:v>
                </c:pt>
                <c:pt idx="202">
                  <c:v>0.14158447316281653</c:v>
                </c:pt>
                <c:pt idx="203">
                  <c:v>0.14497720454778176</c:v>
                </c:pt>
                <c:pt idx="204">
                  <c:v>0.14497720454778176</c:v>
                </c:pt>
                <c:pt idx="205">
                  <c:v>0.13456627729483214</c:v>
                </c:pt>
                <c:pt idx="206">
                  <c:v>0.14451380709032308</c:v>
                </c:pt>
                <c:pt idx="207">
                  <c:v>0.15211979693718219</c:v>
                </c:pt>
                <c:pt idx="208">
                  <c:v>0.14194170900763442</c:v>
                </c:pt>
                <c:pt idx="209">
                  <c:v>0.15181591485164375</c:v>
                </c:pt>
                <c:pt idx="210">
                  <c:v>0.15022225269264353</c:v>
                </c:pt>
                <c:pt idx="211">
                  <c:v>0.16426171556111488</c:v>
                </c:pt>
                <c:pt idx="212">
                  <c:v>0.15252738725982376</c:v>
                </c:pt>
                <c:pt idx="213">
                  <c:v>0.14622460266231038</c:v>
                </c:pt>
                <c:pt idx="214">
                  <c:v>0.13700269445569094</c:v>
                </c:pt>
                <c:pt idx="215">
                  <c:v>0.15902098463606984</c:v>
                </c:pt>
                <c:pt idx="216">
                  <c:v>0.1327964713802969</c:v>
                </c:pt>
                <c:pt idx="217">
                  <c:v>0.15065145912890823</c:v>
                </c:pt>
                <c:pt idx="218">
                  <c:v>0.15422817943111403</c:v>
                </c:pt>
                <c:pt idx="219">
                  <c:v>0.1555577327020719</c:v>
                </c:pt>
                <c:pt idx="220">
                  <c:v>0.15262075924824037</c:v>
                </c:pt>
                <c:pt idx="221">
                  <c:v>0.14982822711181035</c:v>
                </c:pt>
                <c:pt idx="222">
                  <c:v>0.16034248866351636</c:v>
                </c:pt>
                <c:pt idx="223">
                  <c:v>0.14260633383520252</c:v>
                </c:pt>
                <c:pt idx="224">
                  <c:v>0.13831742153940699</c:v>
                </c:pt>
                <c:pt idx="225">
                  <c:v>0.16383531346762295</c:v>
                </c:pt>
                <c:pt idx="226">
                  <c:v>0.16060830843915219</c:v>
                </c:pt>
                <c:pt idx="227">
                  <c:v>0.15397160147885663</c:v>
                </c:pt>
                <c:pt idx="228">
                  <c:v>0.16936876162674228</c:v>
                </c:pt>
                <c:pt idx="229">
                  <c:v>0.17043397396401741</c:v>
                </c:pt>
                <c:pt idx="230">
                  <c:v>0.16302380118297319</c:v>
                </c:pt>
                <c:pt idx="231">
                  <c:v>0.1559083511829932</c:v>
                </c:pt>
                <c:pt idx="232">
                  <c:v>0.16123855122343742</c:v>
                </c:pt>
                <c:pt idx="233">
                  <c:v>0.14165734216598835</c:v>
                </c:pt>
                <c:pt idx="234">
                  <c:v>0.15158140640748172</c:v>
                </c:pt>
                <c:pt idx="235">
                  <c:v>0.16464876902881637</c:v>
                </c:pt>
                <c:pt idx="236">
                  <c:v>0.14557901942759821</c:v>
                </c:pt>
                <c:pt idx="237">
                  <c:v>0.15978185059126634</c:v>
                </c:pt>
                <c:pt idx="238">
                  <c:v>0.14872003016571711</c:v>
                </c:pt>
                <c:pt idx="239">
                  <c:v>0.16345190990456709</c:v>
                </c:pt>
                <c:pt idx="240">
                  <c:v>0.15813640063937795</c:v>
                </c:pt>
                <c:pt idx="241">
                  <c:v>0.16345190990456709</c:v>
                </c:pt>
                <c:pt idx="242">
                  <c:v>0.1540783514625492</c:v>
                </c:pt>
                <c:pt idx="243">
                  <c:v>0.16004165847840657</c:v>
                </c:pt>
                <c:pt idx="244">
                  <c:v>0.16824892301576075</c:v>
                </c:pt>
                <c:pt idx="245">
                  <c:v>0.15116257519041429</c:v>
                </c:pt>
                <c:pt idx="246">
                  <c:v>0.16559209970367603</c:v>
                </c:pt>
                <c:pt idx="247">
                  <c:v>0.15268043500943226</c:v>
                </c:pt>
                <c:pt idx="248">
                  <c:v>0.16519522476430373</c:v>
                </c:pt>
                <c:pt idx="249">
                  <c:v>0.1842817343485938</c:v>
                </c:pt>
                <c:pt idx="250">
                  <c:v>0.16053672547594944</c:v>
                </c:pt>
                <c:pt idx="251">
                  <c:v>0.17132911038189563</c:v>
                </c:pt>
                <c:pt idx="252">
                  <c:v>0.16575743199549253</c:v>
                </c:pt>
                <c:pt idx="253">
                  <c:v>0.17231376044156169</c:v>
                </c:pt>
                <c:pt idx="254">
                  <c:v>0.16903697417742705</c:v>
                </c:pt>
                <c:pt idx="255">
                  <c:v>0.16111336601286022</c:v>
                </c:pt>
                <c:pt idx="256">
                  <c:v>0.17626077649270175</c:v>
                </c:pt>
                <c:pt idx="257">
                  <c:v>0.14013300139693494</c:v>
                </c:pt>
                <c:pt idx="258">
                  <c:v>0.17237072366815401</c:v>
                </c:pt>
                <c:pt idx="259">
                  <c:v>0.15681847792365888</c:v>
                </c:pt>
                <c:pt idx="260">
                  <c:v>0.1777460247537872</c:v>
                </c:pt>
                <c:pt idx="261">
                  <c:v>0.17052057659306416</c:v>
                </c:pt>
                <c:pt idx="262">
                  <c:v>0.14958300906416419</c:v>
                </c:pt>
                <c:pt idx="263">
                  <c:v>0.16872963422437723</c:v>
                </c:pt>
                <c:pt idx="264">
                  <c:v>0.18603840030831065</c:v>
                </c:pt>
                <c:pt idx="265">
                  <c:v>0.17624422307642709</c:v>
                </c:pt>
                <c:pt idx="266">
                  <c:v>0.16155720448672484</c:v>
                </c:pt>
                <c:pt idx="267">
                  <c:v>0.16122349134848077</c:v>
                </c:pt>
                <c:pt idx="268">
                  <c:v>0.17292519636570922</c:v>
                </c:pt>
                <c:pt idx="269">
                  <c:v>0.16976297406652124</c:v>
                </c:pt>
                <c:pt idx="270">
                  <c:v>0.17387014279393712</c:v>
                </c:pt>
                <c:pt idx="271">
                  <c:v>0.16176918704140644</c:v>
                </c:pt>
                <c:pt idx="272">
                  <c:v>0.16057089676702568</c:v>
                </c:pt>
                <c:pt idx="273">
                  <c:v>0.16636827802021928</c:v>
                </c:pt>
                <c:pt idx="274">
                  <c:v>0.18161870350540602</c:v>
                </c:pt>
                <c:pt idx="275">
                  <c:v>0.17670498207862087</c:v>
                </c:pt>
                <c:pt idx="276">
                  <c:v>0.16726273112785486</c:v>
                </c:pt>
                <c:pt idx="277">
                  <c:v>0.16317474914703151</c:v>
                </c:pt>
                <c:pt idx="278">
                  <c:v>0.18357159279041038</c:v>
                </c:pt>
                <c:pt idx="279">
                  <c:v>0.17437609836180717</c:v>
                </c:pt>
                <c:pt idx="280">
                  <c:v>0.16739051014323136</c:v>
                </c:pt>
                <c:pt idx="281">
                  <c:v>0.17258091355852534</c:v>
                </c:pt>
                <c:pt idx="282">
                  <c:v>0.15328843291883587</c:v>
                </c:pt>
                <c:pt idx="283">
                  <c:v>0.18142971421976045</c:v>
                </c:pt>
                <c:pt idx="284">
                  <c:v>0.15098848700167988</c:v>
                </c:pt>
                <c:pt idx="285">
                  <c:v>0.17439755475387825</c:v>
                </c:pt>
                <c:pt idx="286">
                  <c:v>0.17947982476468696</c:v>
                </c:pt>
                <c:pt idx="287">
                  <c:v>0.16963903938396133</c:v>
                </c:pt>
                <c:pt idx="288">
                  <c:v>0.17352390288130395</c:v>
                </c:pt>
                <c:pt idx="289">
                  <c:v>0.17309700480720519</c:v>
                </c:pt>
                <c:pt idx="290">
                  <c:v>0.16925040470037842</c:v>
                </c:pt>
                <c:pt idx="291">
                  <c:v>0.19299141169454911</c:v>
                </c:pt>
                <c:pt idx="292">
                  <c:v>0.16060124469686254</c:v>
                </c:pt>
                <c:pt idx="293">
                  <c:v>0.17803083714458406</c:v>
                </c:pt>
                <c:pt idx="294">
                  <c:v>0.16972905403493826</c:v>
                </c:pt>
                <c:pt idx="295">
                  <c:v>0.17313675153620797</c:v>
                </c:pt>
                <c:pt idx="296">
                  <c:v>0.17185425708038424</c:v>
                </c:pt>
                <c:pt idx="297">
                  <c:v>0.1727222078737195</c:v>
                </c:pt>
                <c:pt idx="298">
                  <c:v>0.1727222078737195</c:v>
                </c:pt>
                <c:pt idx="299">
                  <c:v>0.19693001193321336</c:v>
                </c:pt>
                <c:pt idx="300">
                  <c:v>0.18399878732150515</c:v>
                </c:pt>
                <c:pt idx="301">
                  <c:v>0.18544759667049335</c:v>
                </c:pt>
                <c:pt idx="302">
                  <c:v>0.18637022152955052</c:v>
                </c:pt>
                <c:pt idx="303">
                  <c:v>0.18491420417385093</c:v>
                </c:pt>
                <c:pt idx="304">
                  <c:v>0.16633700343603622</c:v>
                </c:pt>
                <c:pt idx="305">
                  <c:v>0.18019842038903924</c:v>
                </c:pt>
                <c:pt idx="306">
                  <c:v>0.19592922006929045</c:v>
                </c:pt>
                <c:pt idx="307">
                  <c:v>0.18821547124766486</c:v>
                </c:pt>
                <c:pt idx="308">
                  <c:v>0.17406187105473697</c:v>
                </c:pt>
                <c:pt idx="309">
                  <c:v>0.18620572252367207</c:v>
                </c:pt>
                <c:pt idx="310">
                  <c:v>0.17618767563980997</c:v>
                </c:pt>
                <c:pt idx="311">
                  <c:v>0.19624155741995092</c:v>
                </c:pt>
                <c:pt idx="312">
                  <c:v>0.16278446254868609</c:v>
                </c:pt>
                <c:pt idx="313">
                  <c:v>0.18236755578762576</c:v>
                </c:pt>
                <c:pt idx="314">
                  <c:v>0.17789823559747805</c:v>
                </c:pt>
                <c:pt idx="315">
                  <c:v>0.180533765013737</c:v>
                </c:pt>
                <c:pt idx="316">
                  <c:v>0.19282859554295079</c:v>
                </c:pt>
                <c:pt idx="317">
                  <c:v>0.19282859554295079</c:v>
                </c:pt>
                <c:pt idx="318">
                  <c:v>0.18501056384251888</c:v>
                </c:pt>
                <c:pt idx="319">
                  <c:v>0.28329086336385689</c:v>
                </c:pt>
                <c:pt idx="320">
                  <c:v>0.11763106552643487</c:v>
                </c:pt>
                <c:pt idx="321">
                  <c:v>0.20993559813796933</c:v>
                </c:pt>
                <c:pt idx="322">
                  <c:v>0.21074930200672112</c:v>
                </c:pt>
                <c:pt idx="323">
                  <c:v>0.18922405494452244</c:v>
                </c:pt>
                <c:pt idx="324">
                  <c:v>0.18690228739919085</c:v>
                </c:pt>
                <c:pt idx="325">
                  <c:v>0.20524997451790858</c:v>
                </c:pt>
                <c:pt idx="326">
                  <c:v>0.19355852027321754</c:v>
                </c:pt>
                <c:pt idx="327">
                  <c:v>0.20804249117801615</c:v>
                </c:pt>
                <c:pt idx="328">
                  <c:v>0.18950258987820146</c:v>
                </c:pt>
                <c:pt idx="329">
                  <c:v>0.18564212600824637</c:v>
                </c:pt>
                <c:pt idx="330">
                  <c:v>0.2217021073192007</c:v>
                </c:pt>
                <c:pt idx="331">
                  <c:v>0.19628403132082101</c:v>
                </c:pt>
                <c:pt idx="332">
                  <c:v>0.19333603921543221</c:v>
                </c:pt>
                <c:pt idx="333">
                  <c:v>0.19703035843610925</c:v>
                </c:pt>
                <c:pt idx="334">
                  <c:v>0.21713943798300295</c:v>
                </c:pt>
                <c:pt idx="335">
                  <c:v>0.17948520018248221</c:v>
                </c:pt>
                <c:pt idx="336">
                  <c:v>0.20563536179847297</c:v>
                </c:pt>
                <c:pt idx="337">
                  <c:v>0.2010845999269012</c:v>
                </c:pt>
                <c:pt idx="338">
                  <c:v>0.18442670407496856</c:v>
                </c:pt>
                <c:pt idx="339">
                  <c:v>0.21075476310651151</c:v>
                </c:pt>
                <c:pt idx="340">
                  <c:v>0.21959762029979166</c:v>
                </c:pt>
                <c:pt idx="341">
                  <c:v>0.18432533953199101</c:v>
                </c:pt>
                <c:pt idx="342">
                  <c:v>0.17382860668720185</c:v>
                </c:pt>
                <c:pt idx="343">
                  <c:v>0.20410842849723054</c:v>
                </c:pt>
                <c:pt idx="344">
                  <c:v>0.21601346785150333</c:v>
                </c:pt>
                <c:pt idx="345">
                  <c:v>0.19919470707044537</c:v>
                </c:pt>
                <c:pt idx="346">
                  <c:v>0.19552854681761503</c:v>
                </c:pt>
                <c:pt idx="347">
                  <c:v>0.20637629992497755</c:v>
                </c:pt>
                <c:pt idx="348">
                  <c:v>0.19941304251845823</c:v>
                </c:pt>
                <c:pt idx="349">
                  <c:v>0.22295486003799841</c:v>
                </c:pt>
                <c:pt idx="350">
                  <c:v>0.1687050953014243</c:v>
                </c:pt>
                <c:pt idx="351">
                  <c:v>0.19023439152748409</c:v>
                </c:pt>
                <c:pt idx="352">
                  <c:v>0.20035197479489239</c:v>
                </c:pt>
                <c:pt idx="353">
                  <c:v>0.18870360416728235</c:v>
                </c:pt>
                <c:pt idx="354">
                  <c:v>0.19505504954414862</c:v>
                </c:pt>
                <c:pt idx="355">
                  <c:v>0.19274670576256109</c:v>
                </c:pt>
                <c:pt idx="356">
                  <c:v>0.19344003923652714</c:v>
                </c:pt>
                <c:pt idx="357">
                  <c:v>0.21031115376970094</c:v>
                </c:pt>
                <c:pt idx="358">
                  <c:v>0.21380333341021823</c:v>
                </c:pt>
                <c:pt idx="359">
                  <c:v>0.19482670618445924</c:v>
                </c:pt>
                <c:pt idx="360">
                  <c:v>0.22632114179639642</c:v>
                </c:pt>
                <c:pt idx="361">
                  <c:v>0.20025991940772045</c:v>
                </c:pt>
                <c:pt idx="362">
                  <c:v>0.18948605748213793</c:v>
                </c:pt>
                <c:pt idx="363">
                  <c:v>0.20541502108934812</c:v>
                </c:pt>
                <c:pt idx="364">
                  <c:v>0.16806683543673936</c:v>
                </c:pt>
                <c:pt idx="365">
                  <c:v>0.18656093169594784</c:v>
                </c:pt>
                <c:pt idx="366">
                  <c:v>0.19483476820159837</c:v>
                </c:pt>
                <c:pt idx="367">
                  <c:v>0.21836852914139732</c:v>
                </c:pt>
                <c:pt idx="368">
                  <c:v>0.2025828523359951</c:v>
                </c:pt>
                <c:pt idx="369">
                  <c:v>0.19619724909811304</c:v>
                </c:pt>
                <c:pt idx="370">
                  <c:v>0.20037337397618765</c:v>
                </c:pt>
                <c:pt idx="371">
                  <c:v>0.20648231830472993</c:v>
                </c:pt>
                <c:pt idx="372">
                  <c:v>0.1926409430292442</c:v>
                </c:pt>
                <c:pt idx="373">
                  <c:v>0.1775908693550845</c:v>
                </c:pt>
                <c:pt idx="374">
                  <c:v>0.22509618600839798</c:v>
                </c:pt>
                <c:pt idx="375">
                  <c:v>0.21457371018985472</c:v>
                </c:pt>
                <c:pt idx="376">
                  <c:v>0.19032578446119899</c:v>
                </c:pt>
                <c:pt idx="377">
                  <c:v>0.23922893741303486</c:v>
                </c:pt>
                <c:pt idx="378">
                  <c:v>0.20698287631483397</c:v>
                </c:pt>
                <c:pt idx="379">
                  <c:v>0.21278106565446339</c:v>
                </c:pt>
                <c:pt idx="380">
                  <c:v>0.20282639591624291</c:v>
                </c:pt>
                <c:pt idx="381">
                  <c:v>0.21615209353278142</c:v>
                </c:pt>
                <c:pt idx="382">
                  <c:v>0.2083861500525617</c:v>
                </c:pt>
                <c:pt idx="383">
                  <c:v>0.18474952600993683</c:v>
                </c:pt>
                <c:pt idx="384">
                  <c:v>0.19144717908731329</c:v>
                </c:pt>
                <c:pt idx="385">
                  <c:v>0.22825978655895188</c:v>
                </c:pt>
                <c:pt idx="386">
                  <c:v>0.19859891033942703</c:v>
                </c:pt>
                <c:pt idx="387">
                  <c:v>0.21771099066159785</c:v>
                </c:pt>
                <c:pt idx="388">
                  <c:v>0.21063305859689949</c:v>
                </c:pt>
                <c:pt idx="389">
                  <c:v>0.19768912762167101</c:v>
                </c:pt>
                <c:pt idx="390">
                  <c:v>0.20641585582197311</c:v>
                </c:pt>
                <c:pt idx="391">
                  <c:v>0.20884427765517277</c:v>
                </c:pt>
                <c:pt idx="392">
                  <c:v>0.20471666987631978</c:v>
                </c:pt>
                <c:pt idx="393">
                  <c:v>0.19254432734313318</c:v>
                </c:pt>
                <c:pt idx="394">
                  <c:v>0.21528839708180661</c:v>
                </c:pt>
                <c:pt idx="395">
                  <c:v>0.21730331680412218</c:v>
                </c:pt>
                <c:pt idx="396">
                  <c:v>0.20143284984651771</c:v>
                </c:pt>
                <c:pt idx="397">
                  <c:v>0.2193428087181733</c:v>
                </c:pt>
                <c:pt idx="398">
                  <c:v>0.2214073250728876</c:v>
                </c:pt>
                <c:pt idx="399">
                  <c:v>0.21050329851151711</c:v>
                </c:pt>
                <c:pt idx="400">
                  <c:v>0.22629104589988092</c:v>
                </c:pt>
                <c:pt idx="401">
                  <c:v>0.21881771506675426</c:v>
                </c:pt>
                <c:pt idx="402">
                  <c:v>0.21881771506675426</c:v>
                </c:pt>
                <c:pt idx="403">
                  <c:v>0.21952357866374378</c:v>
                </c:pt>
                <c:pt idx="404">
                  <c:v>0.21632004387740672</c:v>
                </c:pt>
                <c:pt idx="405">
                  <c:v>0.21077736076081605</c:v>
                </c:pt>
                <c:pt idx="406">
                  <c:v>0.2090479211902401</c:v>
                </c:pt>
                <c:pt idx="407">
                  <c:v>0.21970004456299119</c:v>
                </c:pt>
                <c:pt idx="408">
                  <c:v>0.22643930973363505</c:v>
                </c:pt>
                <c:pt idx="409">
                  <c:v>0.20456784996509822</c:v>
                </c:pt>
                <c:pt idx="410">
                  <c:v>0.22109496548085145</c:v>
                </c:pt>
                <c:pt idx="411">
                  <c:v>0.21171095203342788</c:v>
                </c:pt>
                <c:pt idx="412">
                  <c:v>0.220480044721203</c:v>
                </c:pt>
                <c:pt idx="413">
                  <c:v>0.21237670974422482</c:v>
                </c:pt>
                <c:pt idx="414">
                  <c:v>0.19776878790996597</c:v>
                </c:pt>
                <c:pt idx="415">
                  <c:v>0.19528892850043658</c:v>
                </c:pt>
                <c:pt idx="416">
                  <c:v>0.21370822516581867</c:v>
                </c:pt>
                <c:pt idx="417">
                  <c:v>0.20113715309724109</c:v>
                </c:pt>
                <c:pt idx="418">
                  <c:v>0.24031733112283027</c:v>
                </c:pt>
                <c:pt idx="419">
                  <c:v>0.20069053716108698</c:v>
                </c:pt>
                <c:pt idx="420">
                  <c:v>0.21876875342996888</c:v>
                </c:pt>
                <c:pt idx="421">
                  <c:v>0.21209032234907751</c:v>
                </c:pt>
                <c:pt idx="422">
                  <c:v>0.22803198238074932</c:v>
                </c:pt>
                <c:pt idx="423">
                  <c:v>0.21394011830104007</c:v>
                </c:pt>
                <c:pt idx="424">
                  <c:v>0.22602671251293133</c:v>
                </c:pt>
                <c:pt idx="425">
                  <c:v>0.19750354521539001</c:v>
                </c:pt>
                <c:pt idx="426">
                  <c:v>0.21525667287520034</c:v>
                </c:pt>
                <c:pt idx="427">
                  <c:v>0.21713480863777357</c:v>
                </c:pt>
                <c:pt idx="428">
                  <c:v>0.22412810747666387</c:v>
                </c:pt>
                <c:pt idx="429">
                  <c:v>0.21129621772178389</c:v>
                </c:pt>
                <c:pt idx="430">
                  <c:v>0.22549058837317851</c:v>
                </c:pt>
                <c:pt idx="431">
                  <c:v>0.2080297035149036</c:v>
                </c:pt>
                <c:pt idx="432">
                  <c:v>0.21438861491421557</c:v>
                </c:pt>
                <c:pt idx="433">
                  <c:v>0.21438861491421557</c:v>
                </c:pt>
                <c:pt idx="434">
                  <c:v>0.21503242456861266</c:v>
                </c:pt>
                <c:pt idx="435">
                  <c:v>0.23364925374159382</c:v>
                </c:pt>
                <c:pt idx="436">
                  <c:v>0.22369459082777282</c:v>
                </c:pt>
                <c:pt idx="437">
                  <c:v>0.2302353683373568</c:v>
                </c:pt>
                <c:pt idx="438">
                  <c:v>0.23160581695841251</c:v>
                </c:pt>
                <c:pt idx="439">
                  <c:v>0.23643909557731435</c:v>
                </c:pt>
                <c:pt idx="440">
                  <c:v>0.26737544573214139</c:v>
                </c:pt>
                <c:pt idx="441">
                  <c:v>0.23712004809638815</c:v>
                </c:pt>
                <c:pt idx="442">
                  <c:v>0.22835489480335144</c:v>
                </c:pt>
                <c:pt idx="443">
                  <c:v>0.21326790921952443</c:v>
                </c:pt>
                <c:pt idx="444">
                  <c:v>0.23502795464878123</c:v>
                </c:pt>
                <c:pt idx="445">
                  <c:v>0.27130743758114351</c:v>
                </c:pt>
                <c:pt idx="446">
                  <c:v>0.22905074325813915</c:v>
                </c:pt>
                <c:pt idx="447">
                  <c:v>0.21977921575022108</c:v>
                </c:pt>
                <c:pt idx="448">
                  <c:v>0.23570131948491999</c:v>
                </c:pt>
                <c:pt idx="449">
                  <c:v>0.21410210276435301</c:v>
                </c:pt>
                <c:pt idx="450">
                  <c:v>0.21985753563436253</c:v>
                </c:pt>
                <c:pt idx="451">
                  <c:v>0.22288410317984608</c:v>
                </c:pt>
                <c:pt idx="452">
                  <c:v>0.21876515075634015</c:v>
                </c:pt>
                <c:pt idx="453">
                  <c:v>0.23368095648972698</c:v>
                </c:pt>
                <c:pt idx="454">
                  <c:v>0.22415772662658806</c:v>
                </c:pt>
                <c:pt idx="455">
                  <c:v>0.23368471783272579</c:v>
                </c:pt>
                <c:pt idx="456">
                  <c:v>0.22237739277630361</c:v>
                </c:pt>
                <c:pt idx="457">
                  <c:v>0.22916778129001514</c:v>
                </c:pt>
                <c:pt idx="458">
                  <c:v>0.20490907276154186</c:v>
                </c:pt>
                <c:pt idx="459">
                  <c:v>0.22794379851198507</c:v>
                </c:pt>
                <c:pt idx="460">
                  <c:v>0.2673956097929055</c:v>
                </c:pt>
                <c:pt idx="461">
                  <c:v>0.21962336042876324</c:v>
                </c:pt>
                <c:pt idx="462">
                  <c:v>0.25118599905325617</c:v>
                </c:pt>
                <c:pt idx="463">
                  <c:v>0.24599552747949738</c:v>
                </c:pt>
                <c:pt idx="464">
                  <c:v>0.22801301922213135</c:v>
                </c:pt>
                <c:pt idx="465">
                  <c:v>0.22031032246455506</c:v>
                </c:pt>
                <c:pt idx="466">
                  <c:v>0.25481675851322033</c:v>
                </c:pt>
                <c:pt idx="467">
                  <c:v>0.22927975821780985</c:v>
                </c:pt>
                <c:pt idx="468">
                  <c:v>0.22153087826768275</c:v>
                </c:pt>
                <c:pt idx="469">
                  <c:v>0.22745416378286146</c:v>
                </c:pt>
                <c:pt idx="470">
                  <c:v>0.20805415602192853</c:v>
                </c:pt>
                <c:pt idx="471">
                  <c:v>0.24721546440228678</c:v>
                </c:pt>
                <c:pt idx="472">
                  <c:v>0.22220439740256936</c:v>
                </c:pt>
                <c:pt idx="473">
                  <c:v>0.23119689277309752</c:v>
                </c:pt>
                <c:pt idx="474">
                  <c:v>0.25001524451044266</c:v>
                </c:pt>
                <c:pt idx="475">
                  <c:v>0.21888221021774826</c:v>
                </c:pt>
                <c:pt idx="476">
                  <c:v>0.24020538205553701</c:v>
                </c:pt>
                <c:pt idx="477">
                  <c:v>0.24220191132456384</c:v>
                </c:pt>
                <c:pt idx="478">
                  <c:v>0.22817969540577332</c:v>
                </c:pt>
                <c:pt idx="479">
                  <c:v>0.24840751705255537</c:v>
                </c:pt>
                <c:pt idx="480">
                  <c:v>0.23561345319620242</c:v>
                </c:pt>
                <c:pt idx="481">
                  <c:v>0.2131983521873059</c:v>
                </c:pt>
                <c:pt idx="482">
                  <c:v>0.23002980104419851</c:v>
                </c:pt>
                <c:pt idx="483">
                  <c:v>0.22824393518488525</c:v>
                </c:pt>
                <c:pt idx="484">
                  <c:v>0.24142862039889143</c:v>
                </c:pt>
                <c:pt idx="485">
                  <c:v>0.25032489925965057</c:v>
                </c:pt>
                <c:pt idx="486">
                  <c:v>0.229464490988013</c:v>
                </c:pt>
                <c:pt idx="487">
                  <c:v>0.24678410964692044</c:v>
                </c:pt>
                <c:pt idx="488">
                  <c:v>0.21091204278047154</c:v>
                </c:pt>
                <c:pt idx="489">
                  <c:v>0.25089662339547614</c:v>
                </c:pt>
                <c:pt idx="490">
                  <c:v>0.25819012988953072</c:v>
                </c:pt>
                <c:pt idx="491">
                  <c:v>0.26038523800058216</c:v>
                </c:pt>
                <c:pt idx="492">
                  <c:v>0.22433692992562715</c:v>
                </c:pt>
                <c:pt idx="493">
                  <c:v>0.25365368781363529</c:v>
                </c:pt>
                <c:pt idx="494">
                  <c:v>0.24326207832771776</c:v>
                </c:pt>
                <c:pt idx="495">
                  <c:v>0.23744653846243557</c:v>
                </c:pt>
                <c:pt idx="496">
                  <c:v>0.25486860160226471</c:v>
                </c:pt>
                <c:pt idx="497">
                  <c:v>0.25062079157556033</c:v>
                </c:pt>
                <c:pt idx="498">
                  <c:v>0.22614457920350559</c:v>
                </c:pt>
                <c:pt idx="499">
                  <c:v>0.25764823407841697</c:v>
                </c:pt>
                <c:pt idx="500">
                  <c:v>0.24311905109573068</c:v>
                </c:pt>
                <c:pt idx="501">
                  <c:v>0.23739810370834324</c:v>
                </c:pt>
                <c:pt idx="502">
                  <c:v>0.24971371185301733</c:v>
                </c:pt>
                <c:pt idx="503">
                  <c:v>0.2392544987911108</c:v>
                </c:pt>
                <c:pt idx="504">
                  <c:v>0.25312034600111838</c:v>
                </c:pt>
                <c:pt idx="505">
                  <c:v>0.25099429499072512</c:v>
                </c:pt>
                <c:pt idx="506">
                  <c:v>0.24963019556142765</c:v>
                </c:pt>
                <c:pt idx="507">
                  <c:v>0.23859652507980803</c:v>
                </c:pt>
                <c:pt idx="508">
                  <c:v>0.23675027024360623</c:v>
                </c:pt>
                <c:pt idx="509">
                  <c:v>0.24232186416022758</c:v>
                </c:pt>
                <c:pt idx="510">
                  <c:v>0.24041787259950126</c:v>
                </c:pt>
                <c:pt idx="511">
                  <c:v>0.22860292218580519</c:v>
                </c:pt>
                <c:pt idx="512">
                  <c:v>0.25829927891162718</c:v>
                </c:pt>
                <c:pt idx="513">
                  <c:v>0.27733338958641884</c:v>
                </c:pt>
                <c:pt idx="514">
                  <c:v>0.24411116062554572</c:v>
                </c:pt>
                <c:pt idx="515">
                  <c:v>0.23972712345512781</c:v>
                </c:pt>
                <c:pt idx="516">
                  <c:v>0.24280252347580059</c:v>
                </c:pt>
                <c:pt idx="517">
                  <c:v>0.26830035745116804</c:v>
                </c:pt>
                <c:pt idx="518">
                  <c:v>0.26445830317601027</c:v>
                </c:pt>
                <c:pt idx="519">
                  <c:v>0.21768444782388116</c:v>
                </c:pt>
                <c:pt idx="520">
                  <c:v>0.23727604812803044</c:v>
                </c:pt>
                <c:pt idx="521">
                  <c:v>0.22546153072372682</c:v>
                </c:pt>
                <c:pt idx="522">
                  <c:v>0.26347821182213599</c:v>
                </c:pt>
                <c:pt idx="523">
                  <c:v>0.24770326267827397</c:v>
                </c:pt>
                <c:pt idx="524">
                  <c:v>0.24326854342135609</c:v>
                </c:pt>
                <c:pt idx="525">
                  <c:v>0.26251954323009513</c:v>
                </c:pt>
                <c:pt idx="526">
                  <c:v>0.24891749435806945</c:v>
                </c:pt>
                <c:pt idx="527">
                  <c:v>0.23606985180493958</c:v>
                </c:pt>
                <c:pt idx="528">
                  <c:v>0.24259006595632121</c:v>
                </c:pt>
                <c:pt idx="529">
                  <c:v>0.25204477334587594</c:v>
                </c:pt>
                <c:pt idx="530">
                  <c:v>0.24134213850501718</c:v>
                </c:pt>
                <c:pt idx="531">
                  <c:v>0.24376768763572085</c:v>
                </c:pt>
                <c:pt idx="532">
                  <c:v>0.26427686519896038</c:v>
                </c:pt>
                <c:pt idx="533">
                  <c:v>0.25256018939745589</c:v>
                </c:pt>
                <c:pt idx="534">
                  <c:v>0.24802685233913321</c:v>
                </c:pt>
                <c:pt idx="535">
                  <c:v>0.27210257371060836</c:v>
                </c:pt>
                <c:pt idx="536">
                  <c:v>0.24009050621524269</c:v>
                </c:pt>
                <c:pt idx="537">
                  <c:v>0.23158319162740454</c:v>
                </c:pt>
                <c:pt idx="538">
                  <c:v>0.24981121818329963</c:v>
                </c:pt>
                <c:pt idx="539">
                  <c:v>0.24300484403551867</c:v>
                </c:pt>
                <c:pt idx="540">
                  <c:v>0.23658926648952416</c:v>
                </c:pt>
                <c:pt idx="541">
                  <c:v>0.22892202174217846</c:v>
                </c:pt>
                <c:pt idx="542">
                  <c:v>0.24658870673338715</c:v>
                </c:pt>
                <c:pt idx="543">
                  <c:v>0.22685617995667157</c:v>
                </c:pt>
                <c:pt idx="544">
                  <c:v>0.23545736213512355</c:v>
                </c:pt>
                <c:pt idx="545">
                  <c:v>0.2253333790389653</c:v>
                </c:pt>
                <c:pt idx="546">
                  <c:v>0.2766593153756185</c:v>
                </c:pt>
                <c:pt idx="547">
                  <c:v>0.25863134779643315</c:v>
                </c:pt>
                <c:pt idx="548">
                  <c:v>0.26195300252257514</c:v>
                </c:pt>
                <c:pt idx="549">
                  <c:v>0.25328382241874808</c:v>
                </c:pt>
                <c:pt idx="550">
                  <c:v>0.27171551457303988</c:v>
                </c:pt>
                <c:pt idx="551">
                  <c:v>0.26105981115602406</c:v>
                </c:pt>
                <c:pt idx="552">
                  <c:v>0.24942843343125071</c:v>
                </c:pt>
                <c:pt idx="553">
                  <c:v>0.24634983858640441</c:v>
                </c:pt>
                <c:pt idx="554">
                  <c:v>0.25000849955550941</c:v>
                </c:pt>
                <c:pt idx="555">
                  <c:v>0.24813181503584888</c:v>
                </c:pt>
                <c:pt idx="556">
                  <c:v>0.2562427455778456</c:v>
                </c:pt>
                <c:pt idx="557">
                  <c:v>0.25300117901250591</c:v>
                </c:pt>
                <c:pt idx="558">
                  <c:v>0.27488236206223615</c:v>
                </c:pt>
                <c:pt idx="559">
                  <c:v>0.25613271526941683</c:v>
                </c:pt>
                <c:pt idx="560">
                  <c:v>0.27319563473643965</c:v>
                </c:pt>
                <c:pt idx="561">
                  <c:v>0.27319563473643965</c:v>
                </c:pt>
                <c:pt idx="562">
                  <c:v>0.23169573327065374</c:v>
                </c:pt>
                <c:pt idx="563">
                  <c:v>0.25157809024468014</c:v>
                </c:pt>
                <c:pt idx="564">
                  <c:v>0.26379027572828206</c:v>
                </c:pt>
                <c:pt idx="565">
                  <c:v>0.25907676946791586</c:v>
                </c:pt>
                <c:pt idx="566">
                  <c:v>0.26575400579440855</c:v>
                </c:pt>
                <c:pt idx="567">
                  <c:v>0.26635799217121403</c:v>
                </c:pt>
                <c:pt idx="568">
                  <c:v>0.27115509862992559</c:v>
                </c:pt>
                <c:pt idx="569">
                  <c:v>0.26756596492482498</c:v>
                </c:pt>
                <c:pt idx="570">
                  <c:v>0.28743077653323928</c:v>
                </c:pt>
                <c:pt idx="571">
                  <c:v>0.28274440517671906</c:v>
                </c:pt>
                <c:pt idx="572">
                  <c:v>0.29293339275065483</c:v>
                </c:pt>
                <c:pt idx="573">
                  <c:v>0.26393594579149915</c:v>
                </c:pt>
                <c:pt idx="574">
                  <c:v>0.25425480885348106</c:v>
                </c:pt>
                <c:pt idx="575">
                  <c:v>0.26998191043204689</c:v>
                </c:pt>
                <c:pt idx="576">
                  <c:v>0.23645794585998808</c:v>
                </c:pt>
                <c:pt idx="577">
                  <c:v>0.29228242965565343</c:v>
                </c:pt>
                <c:pt idx="578">
                  <c:v>0.25663823091715915</c:v>
                </c:pt>
                <c:pt idx="579">
                  <c:v>0.25974389504984174</c:v>
                </c:pt>
                <c:pt idx="580">
                  <c:v>0.26824966523968607</c:v>
                </c:pt>
                <c:pt idx="581">
                  <c:v>0.2787492495227285</c:v>
                </c:pt>
                <c:pt idx="582">
                  <c:v>0.25585679907883285</c:v>
                </c:pt>
                <c:pt idx="583">
                  <c:v>0.25275967031627938</c:v>
                </c:pt>
                <c:pt idx="584">
                  <c:v>0.26335002041346006</c:v>
                </c:pt>
                <c:pt idx="585">
                  <c:v>0.25880523048844267</c:v>
                </c:pt>
                <c:pt idx="586">
                  <c:v>0.25880523048844267</c:v>
                </c:pt>
                <c:pt idx="587">
                  <c:v>0.27974372166345263</c:v>
                </c:pt>
                <c:pt idx="588">
                  <c:v>0.28944986051253896</c:v>
                </c:pt>
                <c:pt idx="589">
                  <c:v>0.27103736137333323</c:v>
                </c:pt>
                <c:pt idx="590">
                  <c:v>0.27103736137333323</c:v>
                </c:pt>
                <c:pt idx="591">
                  <c:v>0.27927328635295595</c:v>
                </c:pt>
                <c:pt idx="592">
                  <c:v>0.26609319026217126</c:v>
                </c:pt>
                <c:pt idx="593">
                  <c:v>0.28342456010639278</c:v>
                </c:pt>
                <c:pt idx="594">
                  <c:v>0.29167346417968437</c:v>
                </c:pt>
                <c:pt idx="595">
                  <c:v>0.2678248162291702</c:v>
                </c:pt>
                <c:pt idx="596">
                  <c:v>0.28465150625403951</c:v>
                </c:pt>
                <c:pt idx="597">
                  <c:v>0.27657670584579602</c:v>
                </c:pt>
                <c:pt idx="598">
                  <c:v>0.25756030381472683</c:v>
                </c:pt>
                <c:pt idx="599">
                  <c:v>0.26955644219616914</c:v>
                </c:pt>
                <c:pt idx="600">
                  <c:v>0.28799977771485441</c:v>
                </c:pt>
                <c:pt idx="601">
                  <c:v>0.27978128123940105</c:v>
                </c:pt>
                <c:pt idx="602">
                  <c:v>0.24372058276854489</c:v>
                </c:pt>
                <c:pt idx="603">
                  <c:v>0.25679581532720958</c:v>
                </c:pt>
                <c:pt idx="604">
                  <c:v>0.27895586030468456</c:v>
                </c:pt>
                <c:pt idx="605">
                  <c:v>0.2526214579684547</c:v>
                </c:pt>
                <c:pt idx="606">
                  <c:v>0.24919220740779691</c:v>
                </c:pt>
                <c:pt idx="607">
                  <c:v>0.26406053202977697</c:v>
                </c:pt>
                <c:pt idx="608">
                  <c:v>0.2628031009248733</c:v>
                </c:pt>
                <c:pt idx="609">
                  <c:v>0.27515335597673457</c:v>
                </c:pt>
                <c:pt idx="610">
                  <c:v>0.2474240978054639</c:v>
                </c:pt>
                <c:pt idx="611">
                  <c:v>0.27035608735816541</c:v>
                </c:pt>
                <c:pt idx="612">
                  <c:v>0.27225574149766751</c:v>
                </c:pt>
                <c:pt idx="613">
                  <c:v>0.26831000611364331</c:v>
                </c:pt>
                <c:pt idx="614">
                  <c:v>0.26758338760877132</c:v>
                </c:pt>
                <c:pt idx="615">
                  <c:v>0.280273959697109</c:v>
                </c:pt>
                <c:pt idx="616">
                  <c:v>0.25821536101724396</c:v>
                </c:pt>
                <c:pt idx="617">
                  <c:v>0.27397887910208318</c:v>
                </c:pt>
                <c:pt idx="618">
                  <c:v>0.27865106812898122</c:v>
                </c:pt>
                <c:pt idx="619">
                  <c:v>0.30774101480178695</c:v>
                </c:pt>
                <c:pt idx="620">
                  <c:v>0.27512763750502689</c:v>
                </c:pt>
                <c:pt idx="621">
                  <c:v>0.25628327877180584</c:v>
                </c:pt>
                <c:pt idx="622">
                  <c:v>0.23145354488940634</c:v>
                </c:pt>
                <c:pt idx="623">
                  <c:v>0.24996982848055885</c:v>
                </c:pt>
                <c:pt idx="624">
                  <c:v>0.2585338750698441</c:v>
                </c:pt>
                <c:pt idx="625">
                  <c:v>0.26766615223851309</c:v>
                </c:pt>
                <c:pt idx="626">
                  <c:v>0.26822147620581294</c:v>
                </c:pt>
                <c:pt idx="627">
                  <c:v>0.27473170621080839</c:v>
                </c:pt>
                <c:pt idx="628">
                  <c:v>0.27005668969774665</c:v>
                </c:pt>
                <c:pt idx="629">
                  <c:v>0.25895846957318175</c:v>
                </c:pt>
                <c:pt idx="630">
                  <c:v>0.25598683871003175</c:v>
                </c:pt>
                <c:pt idx="631">
                  <c:v>0.28191213638973917</c:v>
                </c:pt>
                <c:pt idx="632">
                  <c:v>0.28249220251399787</c:v>
                </c:pt>
                <c:pt idx="633">
                  <c:v>0.28110061530949543</c:v>
                </c:pt>
                <c:pt idx="634">
                  <c:v>0.26845351298088188</c:v>
                </c:pt>
                <c:pt idx="635">
                  <c:v>0.28029705031827379</c:v>
                </c:pt>
                <c:pt idx="636">
                  <c:v>0.27757571973265943</c:v>
                </c:pt>
                <c:pt idx="637">
                  <c:v>0.26163366037455754</c:v>
                </c:pt>
                <c:pt idx="638">
                  <c:v>0.27082521216569982</c:v>
                </c:pt>
                <c:pt idx="639">
                  <c:v>0.29204120982857174</c:v>
                </c:pt>
                <c:pt idx="640">
                  <c:v>0.25456689529304705</c:v>
                </c:pt>
                <c:pt idx="641">
                  <c:v>0.26938921352022843</c:v>
                </c:pt>
                <c:pt idx="642">
                  <c:v>0.26993675257209881</c:v>
                </c:pt>
                <c:pt idx="643">
                  <c:v>0.27248332570957146</c:v>
                </c:pt>
                <c:pt idx="644">
                  <c:v>0.2510857652148471</c:v>
                </c:pt>
                <c:pt idx="645">
                  <c:v>0.28155733866325083</c:v>
                </c:pt>
                <c:pt idx="646">
                  <c:v>0.26179272577355822</c:v>
                </c:pt>
                <c:pt idx="647">
                  <c:v>0.28914420458572104</c:v>
                </c:pt>
                <c:pt idx="648">
                  <c:v>0.2799767234559144</c:v>
                </c:pt>
                <c:pt idx="649">
                  <c:v>0.25997838606620621</c:v>
                </c:pt>
                <c:pt idx="650">
                  <c:v>0.270149684425604</c:v>
                </c:pt>
                <c:pt idx="651">
                  <c:v>0.27450471921610664</c:v>
                </c:pt>
                <c:pt idx="652">
                  <c:v>0.28166672379870666</c:v>
                </c:pt>
                <c:pt idx="653">
                  <c:v>0.27560493853160206</c:v>
                </c:pt>
                <c:pt idx="654">
                  <c:v>0.29499423068960423</c:v>
                </c:pt>
                <c:pt idx="655">
                  <c:v>0.29858388459051527</c:v>
                </c:pt>
                <c:pt idx="656">
                  <c:v>0.27106463255452307</c:v>
                </c:pt>
                <c:pt idx="657">
                  <c:v>0.25850087114663056</c:v>
                </c:pt>
                <c:pt idx="658">
                  <c:v>0.29917867320523744</c:v>
                </c:pt>
                <c:pt idx="659">
                  <c:v>0.25505407472255298</c:v>
                </c:pt>
                <c:pt idx="660">
                  <c:v>0.2778053771625929</c:v>
                </c:pt>
                <c:pt idx="661">
                  <c:v>0.28504672448429114</c:v>
                </c:pt>
                <c:pt idx="662">
                  <c:v>0.25172411885522378</c:v>
                </c:pt>
                <c:pt idx="663">
                  <c:v>0.26520933950818221</c:v>
                </c:pt>
                <c:pt idx="664">
                  <c:v>0.28077389342892967</c:v>
                </c:pt>
                <c:pt idx="665">
                  <c:v>0.27611684612978399</c:v>
                </c:pt>
                <c:pt idx="666">
                  <c:v>0.27869737740202494</c:v>
                </c:pt>
                <c:pt idx="667">
                  <c:v>0.27412115651896146</c:v>
                </c:pt>
                <c:pt idx="668">
                  <c:v>0.27216175217379029</c:v>
                </c:pt>
                <c:pt idx="669">
                  <c:v>0.29641378949620723</c:v>
                </c:pt>
                <c:pt idx="670">
                  <c:v>0.2678248162291702</c:v>
                </c:pt>
                <c:pt idx="671">
                  <c:v>0.27828672311312219</c:v>
                </c:pt>
                <c:pt idx="672">
                  <c:v>0.26715525418859726</c:v>
                </c:pt>
                <c:pt idx="673">
                  <c:v>0.28143507266137685</c:v>
                </c:pt>
                <c:pt idx="674">
                  <c:v>0.29293339275065489</c:v>
                </c:pt>
                <c:pt idx="675">
                  <c:v>0.29783966632381859</c:v>
                </c:pt>
                <c:pt idx="676">
                  <c:v>0.26752854983953622</c:v>
                </c:pt>
                <c:pt idx="677">
                  <c:v>0.28440669305556543</c:v>
                </c:pt>
                <c:pt idx="678">
                  <c:v>0.25938375631596444</c:v>
                </c:pt>
                <c:pt idx="679">
                  <c:v>0.25444758299178227</c:v>
                </c:pt>
                <c:pt idx="680">
                  <c:v>0.26555883115736229</c:v>
                </c:pt>
                <c:pt idx="681">
                  <c:v>0.30929007965551386</c:v>
                </c:pt>
                <c:pt idx="682">
                  <c:v>0.27322935287953465</c:v>
                </c:pt>
                <c:pt idx="683">
                  <c:v>0.26658217925430777</c:v>
                </c:pt>
                <c:pt idx="684">
                  <c:v>0.27551573156007542</c:v>
                </c:pt>
                <c:pt idx="685">
                  <c:v>0.26414511104929744</c:v>
                </c:pt>
                <c:pt idx="686">
                  <c:v>0.27533111713245412</c:v>
                </c:pt>
                <c:pt idx="687">
                  <c:v>0.2882574606597994</c:v>
                </c:pt>
                <c:pt idx="688">
                  <c:v>0.27835299763636884</c:v>
                </c:pt>
                <c:pt idx="689">
                  <c:v>0.29862141979435686</c:v>
                </c:pt>
                <c:pt idx="690">
                  <c:v>0.29210040679970517</c:v>
                </c:pt>
                <c:pt idx="691">
                  <c:v>0.27762696321953961</c:v>
                </c:pt>
                <c:pt idx="692">
                  <c:v>0.28588129255480582</c:v>
                </c:pt>
                <c:pt idx="693">
                  <c:v>0.2869662310464749</c:v>
                </c:pt>
                <c:pt idx="694">
                  <c:v>0.2810039785662391</c:v>
                </c:pt>
                <c:pt idx="695">
                  <c:v>0.27169891973903537</c:v>
                </c:pt>
                <c:pt idx="696">
                  <c:v>0.26413655075143799</c:v>
                </c:pt>
                <c:pt idx="697">
                  <c:v>0.27582400874928925</c:v>
                </c:pt>
                <c:pt idx="698">
                  <c:v>0.26919568678637773</c:v>
                </c:pt>
                <c:pt idx="699">
                  <c:v>0.25332215664591046</c:v>
                </c:pt>
                <c:pt idx="700">
                  <c:v>0.30579388316409822</c:v>
                </c:pt>
                <c:pt idx="701">
                  <c:v>0.29485877655277187</c:v>
                </c:pt>
                <c:pt idx="702">
                  <c:v>0.25952446035429927</c:v>
                </c:pt>
                <c:pt idx="703">
                  <c:v>0.27005190026970244</c:v>
                </c:pt>
                <c:pt idx="704">
                  <c:v>0.28268729201767234</c:v>
                </c:pt>
                <c:pt idx="705">
                  <c:v>0.25419058919331017</c:v>
                </c:pt>
                <c:pt idx="706">
                  <c:v>0.28321273308090228</c:v>
                </c:pt>
                <c:pt idx="707">
                  <c:v>0.28069528656462756</c:v>
                </c:pt>
                <c:pt idx="708">
                  <c:v>0.28121605704062874</c:v>
                </c:pt>
                <c:pt idx="709">
                  <c:v>0.28813993723291692</c:v>
                </c:pt>
                <c:pt idx="710">
                  <c:v>0.26860502623407512</c:v>
                </c:pt>
                <c:pt idx="711">
                  <c:v>0.29266340805687546</c:v>
                </c:pt>
                <c:pt idx="712">
                  <c:v>0.29132091535936688</c:v>
                </c:pt>
                <c:pt idx="713">
                  <c:v>0.29593085072298725</c:v>
                </c:pt>
                <c:pt idx="714">
                  <c:v>0.3079338466789493</c:v>
                </c:pt>
                <c:pt idx="715">
                  <c:v>0.30067125595538924</c:v>
                </c:pt>
                <c:pt idx="716">
                  <c:v>0.30122396047001304</c:v>
                </c:pt>
                <c:pt idx="717">
                  <c:v>0.26436633461464065</c:v>
                </c:pt>
                <c:pt idx="718">
                  <c:v>0.30035987313024898</c:v>
                </c:pt>
                <c:pt idx="719">
                  <c:v>0.28111327339404957</c:v>
                </c:pt>
                <c:pt idx="720">
                  <c:v>0.30288207401388467</c:v>
                </c:pt>
                <c:pt idx="721">
                  <c:v>0.26979411634850226</c:v>
                </c:pt>
                <c:pt idx="722">
                  <c:v>0.32325715099519498</c:v>
                </c:pt>
                <c:pt idx="723">
                  <c:v>0.31284148740361206</c:v>
                </c:pt>
                <c:pt idx="724">
                  <c:v>0.28770243930867895</c:v>
                </c:pt>
                <c:pt idx="725">
                  <c:v>0.28193240070849057</c:v>
                </c:pt>
                <c:pt idx="726">
                  <c:v>0.27759524943924718</c:v>
                </c:pt>
                <c:pt idx="727">
                  <c:v>0.31096006307377211</c:v>
                </c:pt>
                <c:pt idx="728">
                  <c:v>0.30564559658700413</c:v>
                </c:pt>
                <c:pt idx="729">
                  <c:v>0.2905689079661205</c:v>
                </c:pt>
                <c:pt idx="730">
                  <c:v>0.30619830110162799</c:v>
                </c:pt>
                <c:pt idx="731">
                  <c:v>0.2570403683424719</c:v>
                </c:pt>
                <c:pt idx="732">
                  <c:v>0.27960680921779241</c:v>
                </c:pt>
                <c:pt idx="733">
                  <c:v>0.29214523115581009</c:v>
                </c:pt>
                <c:pt idx="734">
                  <c:v>0.29938330231580695</c:v>
                </c:pt>
                <c:pt idx="735">
                  <c:v>0.3041057361020752</c:v>
                </c:pt>
                <c:pt idx="736">
                  <c:v>0.30184288764537526</c:v>
                </c:pt>
                <c:pt idx="737">
                  <c:v>0.30662186904741451</c:v>
                </c:pt>
                <c:pt idx="738">
                  <c:v>0.28580110144889986</c:v>
                </c:pt>
                <c:pt idx="739">
                  <c:v>0.30153327217085762</c:v>
                </c:pt>
                <c:pt idx="740">
                  <c:v>0.29267300751265429</c:v>
                </c:pt>
                <c:pt idx="741">
                  <c:v>0.32179804901193898</c:v>
                </c:pt>
                <c:pt idx="742">
                  <c:v>0.33042886702273871</c:v>
                </c:pt>
                <c:pt idx="743">
                  <c:v>0.28121605704062874</c:v>
                </c:pt>
                <c:pt idx="744">
                  <c:v>0.2942353189406578</c:v>
                </c:pt>
                <c:pt idx="745">
                  <c:v>0.31283075527711446</c:v>
                </c:pt>
                <c:pt idx="746">
                  <c:v>0.3203870537137597</c:v>
                </c:pt>
                <c:pt idx="747">
                  <c:v>0.31100218146237751</c:v>
                </c:pt>
                <c:pt idx="748">
                  <c:v>0.32151916344419701</c:v>
                </c:pt>
                <c:pt idx="749">
                  <c:v>0.3052957194171963</c:v>
                </c:pt>
                <c:pt idx="750">
                  <c:v>0.32208521830941567</c:v>
                </c:pt>
                <c:pt idx="751">
                  <c:v>0.29816434619263094</c:v>
                </c:pt>
                <c:pt idx="752">
                  <c:v>0.28788281701357471</c:v>
                </c:pt>
                <c:pt idx="753">
                  <c:v>0.31559427785023392</c:v>
                </c:pt>
                <c:pt idx="754">
                  <c:v>0.28399644178538064</c:v>
                </c:pt>
                <c:pt idx="755">
                  <c:v>0.27810439942468812</c:v>
                </c:pt>
                <c:pt idx="756">
                  <c:v>0.30798318173600964</c:v>
                </c:pt>
                <c:pt idx="757">
                  <c:v>0.28865882822124622</c:v>
                </c:pt>
                <c:pt idx="758">
                  <c:v>0.31483495482547019</c:v>
                </c:pt>
                <c:pt idx="759">
                  <c:v>0.28792598432756678</c:v>
                </c:pt>
                <c:pt idx="760">
                  <c:v>0.30401735896284182</c:v>
                </c:pt>
                <c:pt idx="761">
                  <c:v>0.28719937740319529</c:v>
                </c:pt>
                <c:pt idx="762">
                  <c:v>0.28647892816462356</c:v>
                </c:pt>
                <c:pt idx="763">
                  <c:v>0.28337322344749549</c:v>
                </c:pt>
                <c:pt idx="764">
                  <c:v>0.32560673271130491</c:v>
                </c:pt>
                <c:pt idx="765">
                  <c:v>0.29242833517694689</c:v>
                </c:pt>
                <c:pt idx="766">
                  <c:v>0.29497119026544205</c:v>
                </c:pt>
                <c:pt idx="767">
                  <c:v>0.26443792652977405</c:v>
                </c:pt>
                <c:pt idx="768">
                  <c:v>0.26239593481911944</c:v>
                </c:pt>
                <c:pt idx="769">
                  <c:v>0.31228312144611103</c:v>
                </c:pt>
                <c:pt idx="770">
                  <c:v>0.2783465054381733</c:v>
                </c:pt>
                <c:pt idx="771">
                  <c:v>0.29068964761469246</c:v>
                </c:pt>
                <c:pt idx="772">
                  <c:v>0.28702549239265845</c:v>
                </c:pt>
                <c:pt idx="773">
                  <c:v>0.29623047855650647</c:v>
                </c:pt>
                <c:pt idx="774">
                  <c:v>0.3393386826913527</c:v>
                </c:pt>
                <c:pt idx="775">
                  <c:v>0.2775158457637783</c:v>
                </c:pt>
                <c:pt idx="776">
                  <c:v>0.30876763019663622</c:v>
                </c:pt>
                <c:pt idx="777">
                  <c:v>0.26821713773731842</c:v>
                </c:pt>
                <c:pt idx="778">
                  <c:v>0.29646879576661106</c:v>
                </c:pt>
                <c:pt idx="779">
                  <c:v>0.27125170856281117</c:v>
                </c:pt>
                <c:pt idx="780">
                  <c:v>0.31175535735273319</c:v>
                </c:pt>
                <c:pt idx="781">
                  <c:v>0.27828672311312214</c:v>
                </c:pt>
                <c:pt idx="782">
                  <c:v>0.32250050155165555</c:v>
                </c:pt>
                <c:pt idx="783">
                  <c:v>0.30057513343110676</c:v>
                </c:pt>
                <c:pt idx="784">
                  <c:v>0.32511480772889589</c:v>
                </c:pt>
                <c:pt idx="785">
                  <c:v>0.33293006753007132</c:v>
                </c:pt>
                <c:pt idx="786">
                  <c:v>0.34113031549879225</c:v>
                </c:pt>
                <c:pt idx="787">
                  <c:v>0.32114179353405131</c:v>
                </c:pt>
                <c:pt idx="788">
                  <c:v>0.29567574791683127</c:v>
                </c:pt>
                <c:pt idx="789">
                  <c:v>0.28408560864308413</c:v>
                </c:pt>
                <c:pt idx="790">
                  <c:v>0.32128178559749249</c:v>
                </c:pt>
                <c:pt idx="791">
                  <c:v>0.29293339275065489</c:v>
                </c:pt>
                <c:pt idx="792">
                  <c:v>0.30900584438830148</c:v>
                </c:pt>
                <c:pt idx="793">
                  <c:v>0.28857570591634768</c:v>
                </c:pt>
                <c:pt idx="794">
                  <c:v>0.2976701880376868</c:v>
                </c:pt>
                <c:pt idx="795">
                  <c:v>0.29640887368159485</c:v>
                </c:pt>
                <c:pt idx="796">
                  <c:v>0.3020244290773994</c:v>
                </c:pt>
                <c:pt idx="797">
                  <c:v>0.32896557533312987</c:v>
                </c:pt>
                <c:pt idx="798">
                  <c:v>0.3025294866511074</c:v>
                </c:pt>
                <c:pt idx="799">
                  <c:v>0.30700442908365577</c:v>
                </c:pt>
                <c:pt idx="800">
                  <c:v>0.29789836550914056</c:v>
                </c:pt>
                <c:pt idx="801">
                  <c:v>0.31022549611126632</c:v>
                </c:pt>
                <c:pt idx="802">
                  <c:v>0.28281601452713839</c:v>
                </c:pt>
                <c:pt idx="803">
                  <c:v>0.30273974667106307</c:v>
                </c:pt>
                <c:pt idx="804">
                  <c:v>0.31684096112761417</c:v>
                </c:pt>
                <c:pt idx="805">
                  <c:v>0.31315357384317799</c:v>
                </c:pt>
                <c:pt idx="806">
                  <c:v>0.30637535795912652</c:v>
                </c:pt>
                <c:pt idx="807">
                  <c:v>0.27538018555859228</c:v>
                </c:pt>
                <c:pt idx="808">
                  <c:v>0.30956279932601954</c:v>
                </c:pt>
                <c:pt idx="809">
                  <c:v>0.31143444913490675</c:v>
                </c:pt>
                <c:pt idx="810">
                  <c:v>0.28336345721059364</c:v>
                </c:pt>
                <c:pt idx="811">
                  <c:v>0.30923577286895221</c:v>
                </c:pt>
                <c:pt idx="812">
                  <c:v>0.32830138763575706</c:v>
                </c:pt>
                <c:pt idx="813">
                  <c:v>0.33036377071323858</c:v>
                </c:pt>
                <c:pt idx="814">
                  <c:v>0.3278704028952284</c:v>
                </c:pt>
                <c:pt idx="815">
                  <c:v>0.2681382816039703</c:v>
                </c:pt>
                <c:pt idx="816">
                  <c:v>0.34476006992961694</c:v>
                </c:pt>
                <c:pt idx="817">
                  <c:v>0.30645339549299283</c:v>
                </c:pt>
                <c:pt idx="818">
                  <c:v>0.34367113828928508</c:v>
                </c:pt>
                <c:pt idx="819">
                  <c:v>0.33721722019934541</c:v>
                </c:pt>
                <c:pt idx="820">
                  <c:v>0.34423177636153512</c:v>
                </c:pt>
                <c:pt idx="821">
                  <c:v>0.29654985438955189</c:v>
                </c:pt>
                <c:pt idx="822">
                  <c:v>0.29533448613385693</c:v>
                </c:pt>
                <c:pt idx="823">
                  <c:v>0.28987465049703365</c:v>
                </c:pt>
                <c:pt idx="824">
                  <c:v>0.30504625034118832</c:v>
                </c:pt>
                <c:pt idx="825">
                  <c:v>0.32565748347234968</c:v>
                </c:pt>
                <c:pt idx="826">
                  <c:v>0.30683531647441481</c:v>
                </c:pt>
                <c:pt idx="827">
                  <c:v>0.31128887572988045</c:v>
                </c:pt>
                <c:pt idx="828">
                  <c:v>0.32577345920252204</c:v>
                </c:pt>
                <c:pt idx="829">
                  <c:v>0.30913821873260605</c:v>
                </c:pt>
                <c:pt idx="830">
                  <c:v>0.30832480830196052</c:v>
                </c:pt>
                <c:pt idx="831">
                  <c:v>0.31414581084639198</c:v>
                </c:pt>
                <c:pt idx="832">
                  <c:v>0.31877293219852926</c:v>
                </c:pt>
                <c:pt idx="833">
                  <c:v>0.30465072846068109</c:v>
                </c:pt>
                <c:pt idx="834">
                  <c:v>0.31840586168549451</c:v>
                </c:pt>
                <c:pt idx="835">
                  <c:v>0.31080729468120333</c:v>
                </c:pt>
                <c:pt idx="836">
                  <c:v>0.29576823203533864</c:v>
                </c:pt>
                <c:pt idx="837">
                  <c:v>0.32507829602594807</c:v>
                </c:pt>
                <c:pt idx="838">
                  <c:v>0.28301872407294043</c:v>
                </c:pt>
                <c:pt idx="839">
                  <c:v>0.28902761418064621</c:v>
                </c:pt>
                <c:pt idx="840">
                  <c:v>0.32611522838966717</c:v>
                </c:pt>
                <c:pt idx="841">
                  <c:v>0.28437072434717425</c:v>
                </c:pt>
                <c:pt idx="842">
                  <c:v>0.29108814303254055</c:v>
                </c:pt>
                <c:pt idx="843">
                  <c:v>0.3276706269352459</c:v>
                </c:pt>
                <c:pt idx="844">
                  <c:v>0.35319397640221822</c:v>
                </c:pt>
                <c:pt idx="845">
                  <c:v>0.3258241596559916</c:v>
                </c:pt>
                <c:pt idx="846">
                  <c:v>0.34392550185910226</c:v>
                </c:pt>
                <c:pt idx="847">
                  <c:v>0.33515802593993849</c:v>
                </c:pt>
                <c:pt idx="848">
                  <c:v>0.31443989500323466</c:v>
                </c:pt>
                <c:pt idx="849">
                  <c:v>0.30794320295771327</c:v>
                </c:pt>
                <c:pt idx="850">
                  <c:v>0.29855771389146746</c:v>
                </c:pt>
                <c:pt idx="851">
                  <c:v>0.34770512479054483</c:v>
                </c:pt>
                <c:pt idx="852">
                  <c:v>0.29247568432448207</c:v>
                </c:pt>
                <c:pt idx="853">
                  <c:v>0.32047413907763955</c:v>
                </c:pt>
                <c:pt idx="854">
                  <c:v>0.29523995489829785</c:v>
                </c:pt>
                <c:pt idx="855">
                  <c:v>0.34140055409667236</c:v>
                </c:pt>
                <c:pt idx="856">
                  <c:v>0.33885268134400076</c:v>
                </c:pt>
                <c:pt idx="857">
                  <c:v>0.34038595139533107</c:v>
                </c:pt>
                <c:pt idx="858">
                  <c:v>0.3206062494275253</c:v>
                </c:pt>
                <c:pt idx="859">
                  <c:v>0.33485541606874863</c:v>
                </c:pt>
                <c:pt idx="860">
                  <c:v>0.30799853866354571</c:v>
                </c:pt>
                <c:pt idx="861">
                  <c:v>0.32576213504167661</c:v>
                </c:pt>
                <c:pt idx="862">
                  <c:v>0.30352134670549791</c:v>
                </c:pt>
                <c:pt idx="863">
                  <c:v>0.30645339549299283</c:v>
                </c:pt>
                <c:pt idx="864">
                  <c:v>0.28500436858597555</c:v>
                </c:pt>
                <c:pt idx="865">
                  <c:v>0.32037272321084287</c:v>
                </c:pt>
                <c:pt idx="866">
                  <c:v>0.33156478341034823</c:v>
                </c:pt>
                <c:pt idx="867">
                  <c:v>0.30865176992264132</c:v>
                </c:pt>
                <c:pt idx="868">
                  <c:v>0.34101125003618837</c:v>
                </c:pt>
                <c:pt idx="869">
                  <c:v>0.33258813150729377</c:v>
                </c:pt>
                <c:pt idx="870">
                  <c:v>0.31867231010531499</c:v>
                </c:pt>
                <c:pt idx="871">
                  <c:v>0.34990759390949788</c:v>
                </c:pt>
                <c:pt idx="872">
                  <c:v>0.30269783917567672</c:v>
                </c:pt>
                <c:pt idx="873">
                  <c:v>0.32509373969945021</c:v>
                </c:pt>
                <c:pt idx="874">
                  <c:v>0.31182460746681956</c:v>
                </c:pt>
                <c:pt idx="875">
                  <c:v>0.32980259563134079</c:v>
                </c:pt>
                <c:pt idx="876">
                  <c:v>0.28700889716693384</c:v>
                </c:pt>
                <c:pt idx="877">
                  <c:v>0.31665857662632785</c:v>
                </c:pt>
                <c:pt idx="878">
                  <c:v>0.29518672654104461</c:v>
                </c:pt>
                <c:pt idx="879">
                  <c:v>0.31845870913141738</c:v>
                </c:pt>
                <c:pt idx="880">
                  <c:v>0.30994242845875747</c:v>
                </c:pt>
                <c:pt idx="881">
                  <c:v>0.31631984468218866</c:v>
                </c:pt>
                <c:pt idx="882">
                  <c:v>0.31041490167287145</c:v>
                </c:pt>
                <c:pt idx="883">
                  <c:v>0.33232788349988096</c:v>
                </c:pt>
                <c:pt idx="884">
                  <c:v>0.29315615578696724</c:v>
                </c:pt>
                <c:pt idx="885">
                  <c:v>0.36028069613071201</c:v>
                </c:pt>
                <c:pt idx="886">
                  <c:v>0.33140447351533314</c:v>
                </c:pt>
                <c:pt idx="887">
                  <c:v>0.31183232131521332</c:v>
                </c:pt>
                <c:pt idx="888">
                  <c:v>0.34068024531353697</c:v>
                </c:pt>
                <c:pt idx="889">
                  <c:v>0.29858847755279111</c:v>
                </c:pt>
                <c:pt idx="890">
                  <c:v>0.31105055840671958</c:v>
                </c:pt>
                <c:pt idx="891">
                  <c:v>0.30419122509950358</c:v>
                </c:pt>
                <c:pt idx="892">
                  <c:v>0.33630275219685579</c:v>
                </c:pt>
                <c:pt idx="893">
                  <c:v>0.35526533842271213</c:v>
                </c:pt>
                <c:pt idx="894">
                  <c:v>0.33878383683336616</c:v>
                </c:pt>
                <c:pt idx="895">
                  <c:v>0.34994374811109624</c:v>
                </c:pt>
                <c:pt idx="896">
                  <c:v>0.31214982331509783</c:v>
                </c:pt>
                <c:pt idx="897">
                  <c:v>0.31899848647295809</c:v>
                </c:pt>
                <c:pt idx="898">
                  <c:v>0.35740549106381281</c:v>
                </c:pt>
                <c:pt idx="899">
                  <c:v>0.31434458852600405</c:v>
                </c:pt>
                <c:pt idx="900">
                  <c:v>0.31736427489909003</c:v>
                </c:pt>
                <c:pt idx="901">
                  <c:v>0.30428740022161049</c:v>
                </c:pt>
                <c:pt idx="902">
                  <c:v>0.35363130296025008</c:v>
                </c:pt>
                <c:pt idx="903">
                  <c:v>0.33889363195808525</c:v>
                </c:pt>
                <c:pt idx="904">
                  <c:v>0.33506594030372783</c:v>
                </c:pt>
                <c:pt idx="905">
                  <c:v>0.35152007130078589</c:v>
                </c:pt>
                <c:pt idx="906">
                  <c:v>0.33556455033394172</c:v>
                </c:pt>
                <c:pt idx="907">
                  <c:v>0.31215352840148841</c:v>
                </c:pt>
                <c:pt idx="908">
                  <c:v>0.34238967983842783</c:v>
                </c:pt>
                <c:pt idx="909">
                  <c:v>0.30655820171580161</c:v>
                </c:pt>
                <c:pt idx="910">
                  <c:v>0.31557445976006798</c:v>
                </c:pt>
                <c:pt idx="911">
                  <c:v>0.33052651148698897</c:v>
                </c:pt>
                <c:pt idx="912">
                  <c:v>0.33612865574948031</c:v>
                </c:pt>
                <c:pt idx="913">
                  <c:v>0.32294120371535617</c:v>
                </c:pt>
                <c:pt idx="914">
                  <c:v>0.36163958850489936</c:v>
                </c:pt>
                <c:pt idx="915">
                  <c:v>0.37004981149338545</c:v>
                </c:pt>
                <c:pt idx="916">
                  <c:v>0.32521584827827804</c:v>
                </c:pt>
                <c:pt idx="917">
                  <c:v>0.33955343057565279</c:v>
                </c:pt>
                <c:pt idx="918">
                  <c:v>0.33158601469866661</c:v>
                </c:pt>
                <c:pt idx="919">
                  <c:v>0.29929673985909611</c:v>
                </c:pt>
                <c:pt idx="920">
                  <c:v>0.31507638936802718</c:v>
                </c:pt>
                <c:pt idx="921">
                  <c:v>0.32400567975497535</c:v>
                </c:pt>
                <c:pt idx="922">
                  <c:v>0.32317167845394834</c:v>
                </c:pt>
                <c:pt idx="923">
                  <c:v>0.2856361196216351</c:v>
                </c:pt>
                <c:pt idx="924">
                  <c:v>0.30105214595797641</c:v>
                </c:pt>
                <c:pt idx="925">
                  <c:v>0.32281495168987834</c:v>
                </c:pt>
                <c:pt idx="926">
                  <c:v>0.38515835563578937</c:v>
                </c:pt>
                <c:pt idx="927">
                  <c:v>0.32770434831292783</c:v>
                </c:pt>
                <c:pt idx="928">
                  <c:v>0.31784426394519877</c:v>
                </c:pt>
                <c:pt idx="929">
                  <c:v>0.32036683746857336</c:v>
                </c:pt>
                <c:pt idx="930">
                  <c:v>0.30624854696659376</c:v>
                </c:pt>
                <c:pt idx="931">
                  <c:v>0.33319666566370792</c:v>
                </c:pt>
                <c:pt idx="932">
                  <c:v>0.3175168225736511</c:v>
                </c:pt>
                <c:pt idx="933">
                  <c:v>0.34503814090800544</c:v>
                </c:pt>
                <c:pt idx="934">
                  <c:v>0.35929706402867939</c:v>
                </c:pt>
                <c:pt idx="935">
                  <c:v>0.32480454588192614</c:v>
                </c:pt>
                <c:pt idx="936">
                  <c:v>0.31156440546966208</c:v>
                </c:pt>
                <c:pt idx="937">
                  <c:v>0.33512544520445298</c:v>
                </c:pt>
                <c:pt idx="938">
                  <c:v>0.34410403604127565</c:v>
                </c:pt>
                <c:pt idx="939">
                  <c:v>0.35768709009553645</c:v>
                </c:pt>
                <c:pt idx="940">
                  <c:v>0.32537780836208197</c:v>
                </c:pt>
                <c:pt idx="941">
                  <c:v>0.34901636708924177</c:v>
                </c:pt>
                <c:pt idx="942">
                  <c:v>0.31216413456482006</c:v>
                </c:pt>
                <c:pt idx="943">
                  <c:v>0.342695299636331</c:v>
                </c:pt>
                <c:pt idx="944">
                  <c:v>0.33207024279426461</c:v>
                </c:pt>
                <c:pt idx="945">
                  <c:v>0.32855409330913454</c:v>
                </c:pt>
                <c:pt idx="946">
                  <c:v>0.31039885541276935</c:v>
                </c:pt>
                <c:pt idx="947">
                  <c:v>0.33034416339110001</c:v>
                </c:pt>
                <c:pt idx="948">
                  <c:v>0.31084101902446848</c:v>
                </c:pt>
                <c:pt idx="949">
                  <c:v>0.33669405468809965</c:v>
                </c:pt>
                <c:pt idx="950">
                  <c:v>0.3326211427362275</c:v>
                </c:pt>
                <c:pt idx="951">
                  <c:v>0.33042886702273877</c:v>
                </c:pt>
                <c:pt idx="952">
                  <c:v>0.3322264663164054</c:v>
                </c:pt>
                <c:pt idx="953">
                  <c:v>0.32697387396357686</c:v>
                </c:pt>
                <c:pt idx="954">
                  <c:v>0.31379380102229243</c:v>
                </c:pt>
                <c:pt idx="955">
                  <c:v>0.30276911250724631</c:v>
                </c:pt>
                <c:pt idx="956">
                  <c:v>0.35452451635463877</c:v>
                </c:pt>
                <c:pt idx="957">
                  <c:v>0.34471332026591589</c:v>
                </c:pt>
              </c:numCache>
            </c:numRef>
          </c:xVal>
          <c:yVal>
            <c:numRef>
              <c:f>'curves processed'!$AM$2:$AM$959</c:f>
              <c:numCache>
                <c:formatCode>General</c:formatCode>
                <c:ptCount val="958"/>
                <c:pt idx="0">
                  <c:v>4.6251668236098258</c:v>
                </c:pt>
                <c:pt idx="1">
                  <c:v>3.4941359241456329</c:v>
                </c:pt>
                <c:pt idx="2">
                  <c:v>4.3999275698958691</c:v>
                </c:pt>
                <c:pt idx="3">
                  <c:v>3.7164764827432237</c:v>
                </c:pt>
                <c:pt idx="4">
                  <c:v>4.6536234234326921</c:v>
                </c:pt>
                <c:pt idx="5">
                  <c:v>5.2327733828926268</c:v>
                </c:pt>
                <c:pt idx="6">
                  <c:v>2.864781369622301</c:v>
                </c:pt>
                <c:pt idx="7">
                  <c:v>3.9462820883657233</c:v>
                </c:pt>
                <c:pt idx="8">
                  <c:v>7.0821911517350085</c:v>
                </c:pt>
                <c:pt idx="9">
                  <c:v>6.315309498802316</c:v>
                </c:pt>
                <c:pt idx="10">
                  <c:v>5.539804772640065</c:v>
                </c:pt>
                <c:pt idx="11">
                  <c:v>6.5837977197396178</c:v>
                </c:pt>
                <c:pt idx="12">
                  <c:v>6.061919215394032</c:v>
                </c:pt>
                <c:pt idx="13">
                  <c:v>6.112615166331496</c:v>
                </c:pt>
                <c:pt idx="14">
                  <c:v>4.0767636022639779</c:v>
                </c:pt>
                <c:pt idx="15">
                  <c:v>4.7068167942975254</c:v>
                </c:pt>
                <c:pt idx="16">
                  <c:v>5.8357408088825142</c:v>
                </c:pt>
                <c:pt idx="17">
                  <c:v>6.32452466430186</c:v>
                </c:pt>
                <c:pt idx="18">
                  <c:v>8.7089907248224065</c:v>
                </c:pt>
                <c:pt idx="19">
                  <c:v>6.8432458720013853</c:v>
                </c:pt>
                <c:pt idx="20">
                  <c:v>7.3453991518111774</c:v>
                </c:pt>
                <c:pt idx="21">
                  <c:v>9.1368417800240582</c:v>
                </c:pt>
                <c:pt idx="22">
                  <c:v>7.1256088522009282</c:v>
                </c:pt>
                <c:pt idx="23">
                  <c:v>7.2652930939073519</c:v>
                </c:pt>
                <c:pt idx="24">
                  <c:v>8.0102950020037849</c:v>
                </c:pt>
                <c:pt idx="25">
                  <c:v>7.9893993112117618</c:v>
                </c:pt>
                <c:pt idx="26">
                  <c:v>10.187127417617218</c:v>
                </c:pt>
                <c:pt idx="27">
                  <c:v>7.9680008713716548</c:v>
                </c:pt>
                <c:pt idx="28">
                  <c:v>11.71309091468793</c:v>
                </c:pt>
                <c:pt idx="29">
                  <c:v>9.9071962729294274</c:v>
                </c:pt>
                <c:pt idx="30">
                  <c:v>6.9998975927793454</c:v>
                </c:pt>
                <c:pt idx="31">
                  <c:v>7.2139517649096874</c:v>
                </c:pt>
                <c:pt idx="32">
                  <c:v>9.9754853158736108</c:v>
                </c:pt>
                <c:pt idx="33">
                  <c:v>11.058289931242202</c:v>
                </c:pt>
                <c:pt idx="34">
                  <c:v>8.7741950735271921</c:v>
                </c:pt>
                <c:pt idx="35">
                  <c:v>7.3635402120948239</c:v>
                </c:pt>
                <c:pt idx="36">
                  <c:v>8.3998771113352149</c:v>
                </c:pt>
                <c:pt idx="37">
                  <c:v>10.172732152176138</c:v>
                </c:pt>
                <c:pt idx="38">
                  <c:v>11.113872960257828</c:v>
                </c:pt>
                <c:pt idx="39">
                  <c:v>9.0318577580937625</c:v>
                </c:pt>
                <c:pt idx="40">
                  <c:v>10.441053290967405</c:v>
                </c:pt>
                <c:pt idx="41">
                  <c:v>10.576766388822824</c:v>
                </c:pt>
                <c:pt idx="42">
                  <c:v>11.596877313795169</c:v>
                </c:pt>
                <c:pt idx="43">
                  <c:v>7.9842151902562932</c:v>
                </c:pt>
                <c:pt idx="44">
                  <c:v>10.603561701524416</c:v>
                </c:pt>
                <c:pt idx="45">
                  <c:v>8.4592149596282908</c:v>
                </c:pt>
                <c:pt idx="46">
                  <c:v>10.137855890137994</c:v>
                </c:pt>
                <c:pt idx="47">
                  <c:v>9.046472744175448</c:v>
                </c:pt>
                <c:pt idx="48">
                  <c:v>11.204323262288478</c:v>
                </c:pt>
                <c:pt idx="49">
                  <c:v>10.255281641574522</c:v>
                </c:pt>
                <c:pt idx="50">
                  <c:v>10.961728161225809</c:v>
                </c:pt>
                <c:pt idx="51">
                  <c:v>10.424548295312221</c:v>
                </c:pt>
                <c:pt idx="52">
                  <c:v>10.258970045438053</c:v>
                </c:pt>
                <c:pt idx="53">
                  <c:v>13.656704915905127</c:v>
                </c:pt>
                <c:pt idx="54">
                  <c:v>15.348008127391875</c:v>
                </c:pt>
                <c:pt idx="55">
                  <c:v>8.757613584923293</c:v>
                </c:pt>
                <c:pt idx="56">
                  <c:v>12.122999536896177</c:v>
                </c:pt>
                <c:pt idx="57">
                  <c:v>12.733185933092745</c:v>
                </c:pt>
                <c:pt idx="58">
                  <c:v>14.178418684060887</c:v>
                </c:pt>
                <c:pt idx="59">
                  <c:v>10.8746164861741</c:v>
                </c:pt>
                <c:pt idx="60">
                  <c:v>8.3182332147856322</c:v>
                </c:pt>
                <c:pt idx="61">
                  <c:v>10.706486361969965</c:v>
                </c:pt>
                <c:pt idx="62">
                  <c:v>14.834272391490183</c:v>
                </c:pt>
                <c:pt idx="63">
                  <c:v>11.764710992121755</c:v>
                </c:pt>
                <c:pt idx="64">
                  <c:v>9.8116736883782618</c:v>
                </c:pt>
                <c:pt idx="65">
                  <c:v>14.330202310871751</c:v>
                </c:pt>
                <c:pt idx="66">
                  <c:v>10.94092253000945</c:v>
                </c:pt>
                <c:pt idx="67">
                  <c:v>10.108236047480501</c:v>
                </c:pt>
                <c:pt idx="68">
                  <c:v>10.784654066620911</c:v>
                </c:pt>
                <c:pt idx="69">
                  <c:v>12.025632661625062</c:v>
                </c:pt>
                <c:pt idx="70">
                  <c:v>13.415820441600795</c:v>
                </c:pt>
                <c:pt idx="71">
                  <c:v>11.182926990052307</c:v>
                </c:pt>
                <c:pt idx="72">
                  <c:v>14.447466462737973</c:v>
                </c:pt>
                <c:pt idx="73">
                  <c:v>14.720749870764324</c:v>
                </c:pt>
                <c:pt idx="74">
                  <c:v>10.812274025696617</c:v>
                </c:pt>
                <c:pt idx="75">
                  <c:v>12.213936178971213</c:v>
                </c:pt>
                <c:pt idx="76">
                  <c:v>13.153420554879819</c:v>
                </c:pt>
                <c:pt idx="77">
                  <c:v>8.6542131021605435</c:v>
                </c:pt>
                <c:pt idx="78">
                  <c:v>10.579293777868466</c:v>
                </c:pt>
                <c:pt idx="79">
                  <c:v>11.714617754963134</c:v>
                </c:pt>
                <c:pt idx="80">
                  <c:v>11.737560053302337</c:v>
                </c:pt>
                <c:pt idx="81">
                  <c:v>15.630645096314469</c:v>
                </c:pt>
                <c:pt idx="82">
                  <c:v>11.929512851118428</c:v>
                </c:pt>
                <c:pt idx="83">
                  <c:v>17.870006979278088</c:v>
                </c:pt>
                <c:pt idx="84">
                  <c:v>14.443808220409018</c:v>
                </c:pt>
                <c:pt idx="85">
                  <c:v>13.567175608982533</c:v>
                </c:pt>
                <c:pt idx="86">
                  <c:v>12.999344082728317</c:v>
                </c:pt>
                <c:pt idx="87">
                  <c:v>12.736639857600682</c:v>
                </c:pt>
                <c:pt idx="88">
                  <c:v>11.529121113119466</c:v>
                </c:pt>
                <c:pt idx="89">
                  <c:v>14.420898861458896</c:v>
                </c:pt>
                <c:pt idx="90">
                  <c:v>12.740822513030777</c:v>
                </c:pt>
                <c:pt idx="91">
                  <c:v>16.00402110280092</c:v>
                </c:pt>
                <c:pt idx="92">
                  <c:v>19.772192340880267</c:v>
                </c:pt>
                <c:pt idx="93">
                  <c:v>16.181014316972334</c:v>
                </c:pt>
                <c:pt idx="94">
                  <c:v>10.760368218807972</c:v>
                </c:pt>
                <c:pt idx="95">
                  <c:v>12.200185610551635</c:v>
                </c:pt>
                <c:pt idx="96">
                  <c:v>10.395723086769276</c:v>
                </c:pt>
                <c:pt idx="97">
                  <c:v>16.264157231252579</c:v>
                </c:pt>
                <c:pt idx="98">
                  <c:v>15.203900691152695</c:v>
                </c:pt>
                <c:pt idx="99">
                  <c:v>15.907992050535995</c:v>
                </c:pt>
                <c:pt idx="100">
                  <c:v>13.9280853263924</c:v>
                </c:pt>
                <c:pt idx="101">
                  <c:v>14.821347444827973</c:v>
                </c:pt>
                <c:pt idx="102">
                  <c:v>15.518419809100246</c:v>
                </c:pt>
                <c:pt idx="103">
                  <c:v>13.497630438547285</c:v>
                </c:pt>
                <c:pt idx="104">
                  <c:v>18.172437792166715</c:v>
                </c:pt>
                <c:pt idx="105">
                  <c:v>14.651204682436081</c:v>
                </c:pt>
                <c:pt idx="106">
                  <c:v>20.30592081654639</c:v>
                </c:pt>
                <c:pt idx="107">
                  <c:v>17.000365281082551</c:v>
                </c:pt>
                <c:pt idx="108">
                  <c:v>15.388076985521886</c:v>
                </c:pt>
                <c:pt idx="109">
                  <c:v>17.525649305432339</c:v>
                </c:pt>
                <c:pt idx="110">
                  <c:v>17.029677063742369</c:v>
                </c:pt>
                <c:pt idx="111">
                  <c:v>16.892248648858601</c:v>
                </c:pt>
                <c:pt idx="112">
                  <c:v>13.833269208578876</c:v>
                </c:pt>
                <c:pt idx="113">
                  <c:v>11.807755239477554</c:v>
                </c:pt>
                <c:pt idx="114">
                  <c:v>14.355050619626018</c:v>
                </c:pt>
                <c:pt idx="115">
                  <c:v>12.918733074696512</c:v>
                </c:pt>
                <c:pt idx="116">
                  <c:v>14.324433312554147</c:v>
                </c:pt>
                <c:pt idx="117">
                  <c:v>16.098706502851439</c:v>
                </c:pt>
                <c:pt idx="118">
                  <c:v>13.017540412402248</c:v>
                </c:pt>
                <c:pt idx="119">
                  <c:v>14.415683738522176</c:v>
                </c:pt>
                <c:pt idx="120">
                  <c:v>18.820896736278936</c:v>
                </c:pt>
                <c:pt idx="121">
                  <c:v>15.24059731215646</c:v>
                </c:pt>
                <c:pt idx="122">
                  <c:v>15.987215761882473</c:v>
                </c:pt>
                <c:pt idx="123">
                  <c:v>16.180253096217644</c:v>
                </c:pt>
                <c:pt idx="124">
                  <c:v>15.615623916916622</c:v>
                </c:pt>
                <c:pt idx="125">
                  <c:v>18.935591908284131</c:v>
                </c:pt>
                <c:pt idx="126">
                  <c:v>14.425577417981017</c:v>
                </c:pt>
                <c:pt idx="127">
                  <c:v>17.365935544085811</c:v>
                </c:pt>
                <c:pt idx="128">
                  <c:v>16.444586753381088</c:v>
                </c:pt>
                <c:pt idx="129">
                  <c:v>18.076893204910686</c:v>
                </c:pt>
                <c:pt idx="130">
                  <c:v>16.058930703887107</c:v>
                </c:pt>
                <c:pt idx="131">
                  <c:v>16.501170609447065</c:v>
                </c:pt>
                <c:pt idx="132">
                  <c:v>18.7285388692097</c:v>
                </c:pt>
                <c:pt idx="133">
                  <c:v>15.806890941810707</c:v>
                </c:pt>
                <c:pt idx="134">
                  <c:v>17.555478306308984</c:v>
                </c:pt>
                <c:pt idx="135">
                  <c:v>16.3543767566347</c:v>
                </c:pt>
                <c:pt idx="136">
                  <c:v>15.864032368276439</c:v>
                </c:pt>
                <c:pt idx="137">
                  <c:v>17.256062871932038</c:v>
                </c:pt>
                <c:pt idx="138">
                  <c:v>17.730245471645127</c:v>
                </c:pt>
                <c:pt idx="139">
                  <c:v>16.521545985113718</c:v>
                </c:pt>
                <c:pt idx="140">
                  <c:v>16.640274618505913</c:v>
                </c:pt>
                <c:pt idx="141">
                  <c:v>17.420902663702591</c:v>
                </c:pt>
                <c:pt idx="142">
                  <c:v>15.661728308671455</c:v>
                </c:pt>
                <c:pt idx="143">
                  <c:v>19.389727552000735</c:v>
                </c:pt>
                <c:pt idx="144">
                  <c:v>16.175393316881117</c:v>
                </c:pt>
                <c:pt idx="145">
                  <c:v>16.914764070115396</c:v>
                </c:pt>
                <c:pt idx="146">
                  <c:v>15.25335614807425</c:v>
                </c:pt>
                <c:pt idx="147">
                  <c:v>17.147762144723607</c:v>
                </c:pt>
                <c:pt idx="148">
                  <c:v>14.170592347232331</c:v>
                </c:pt>
                <c:pt idx="149">
                  <c:v>16.137607361230593</c:v>
                </c:pt>
                <c:pt idx="150">
                  <c:v>15.394630139716433</c:v>
                </c:pt>
                <c:pt idx="151">
                  <c:v>16.058586371533636</c:v>
                </c:pt>
                <c:pt idx="152">
                  <c:v>14.55124542481825</c:v>
                </c:pt>
                <c:pt idx="153">
                  <c:v>16.87576650142967</c:v>
                </c:pt>
                <c:pt idx="154">
                  <c:v>18.653810972595288</c:v>
                </c:pt>
                <c:pt idx="155">
                  <c:v>19.525578712351589</c:v>
                </c:pt>
                <c:pt idx="156">
                  <c:v>16.296869527497829</c:v>
                </c:pt>
                <c:pt idx="157">
                  <c:v>20.170776128772061</c:v>
                </c:pt>
                <c:pt idx="158">
                  <c:v>15.657547861833855</c:v>
                </c:pt>
                <c:pt idx="159">
                  <c:v>23.284872955216091</c:v>
                </c:pt>
                <c:pt idx="160">
                  <c:v>18.312853881171144</c:v>
                </c:pt>
                <c:pt idx="161">
                  <c:v>19.883841503926416</c:v>
                </c:pt>
                <c:pt idx="162">
                  <c:v>20.40386682543506</c:v>
                </c:pt>
                <c:pt idx="163">
                  <c:v>19.373316429476215</c:v>
                </c:pt>
                <c:pt idx="164">
                  <c:v>21.066542183915715</c:v>
                </c:pt>
                <c:pt idx="165">
                  <c:v>18.891108241928503</c:v>
                </c:pt>
                <c:pt idx="166">
                  <c:v>20.522117561749351</c:v>
                </c:pt>
                <c:pt idx="167">
                  <c:v>19.859647177794237</c:v>
                </c:pt>
                <c:pt idx="168">
                  <c:v>18.534740157502423</c:v>
                </c:pt>
                <c:pt idx="169">
                  <c:v>21.291833044447831</c:v>
                </c:pt>
                <c:pt idx="170">
                  <c:v>21.412809368564009</c:v>
                </c:pt>
                <c:pt idx="171">
                  <c:v>19.943739040022155</c:v>
                </c:pt>
                <c:pt idx="172">
                  <c:v>20.444157372955811</c:v>
                </c:pt>
                <c:pt idx="173">
                  <c:v>20.95789991368941</c:v>
                </c:pt>
                <c:pt idx="174">
                  <c:v>14.138506674726129</c:v>
                </c:pt>
                <c:pt idx="175">
                  <c:v>18.61038972751907</c:v>
                </c:pt>
                <c:pt idx="176">
                  <c:v>18.065871507281521</c:v>
                </c:pt>
                <c:pt idx="177">
                  <c:v>19.524191878301874</c:v>
                </c:pt>
                <c:pt idx="178">
                  <c:v>16.751704548673612</c:v>
                </c:pt>
                <c:pt idx="179">
                  <c:v>18.700963813169835</c:v>
                </c:pt>
                <c:pt idx="180">
                  <c:v>15.341693109752304</c:v>
                </c:pt>
                <c:pt idx="181">
                  <c:v>15.180982812076817</c:v>
                </c:pt>
                <c:pt idx="182">
                  <c:v>20.450704078821278</c:v>
                </c:pt>
                <c:pt idx="183">
                  <c:v>17.221750219152259</c:v>
                </c:pt>
                <c:pt idx="184">
                  <c:v>17.61485908307014</c:v>
                </c:pt>
                <c:pt idx="185">
                  <c:v>17.411576355307098</c:v>
                </c:pt>
                <c:pt idx="186">
                  <c:v>20.513643599101329</c:v>
                </c:pt>
                <c:pt idx="187">
                  <c:v>19.895485252671062</c:v>
                </c:pt>
                <c:pt idx="188">
                  <c:v>20.362885245807021</c:v>
                </c:pt>
                <c:pt idx="189">
                  <c:v>20.471065674166436</c:v>
                </c:pt>
                <c:pt idx="190">
                  <c:v>19.499076285303527</c:v>
                </c:pt>
                <c:pt idx="191">
                  <c:v>22.275960152206274</c:v>
                </c:pt>
                <c:pt idx="192">
                  <c:v>20.059537962919379</c:v>
                </c:pt>
                <c:pt idx="193">
                  <c:v>18.169073031963073</c:v>
                </c:pt>
                <c:pt idx="194">
                  <c:v>23.060753793483769</c:v>
                </c:pt>
                <c:pt idx="195">
                  <c:v>18.34985982830101</c:v>
                </c:pt>
                <c:pt idx="196">
                  <c:v>20.839386894356629</c:v>
                </c:pt>
                <c:pt idx="197">
                  <c:v>19.193850411466538</c:v>
                </c:pt>
                <c:pt idx="198">
                  <c:v>15.595882988570306</c:v>
                </c:pt>
                <c:pt idx="199">
                  <c:v>17.812289221289749</c:v>
                </c:pt>
                <c:pt idx="200">
                  <c:v>19.474462259587394</c:v>
                </c:pt>
                <c:pt idx="201">
                  <c:v>19.234933292505865</c:v>
                </c:pt>
                <c:pt idx="202">
                  <c:v>18.390094934197109</c:v>
                </c:pt>
                <c:pt idx="203">
                  <c:v>19.109164372920365</c:v>
                </c:pt>
                <c:pt idx="204">
                  <c:v>19.199557771089331</c:v>
                </c:pt>
                <c:pt idx="205">
                  <c:v>16.393632817428749</c:v>
                </c:pt>
                <c:pt idx="206">
                  <c:v>18.75719758972766</c:v>
                </c:pt>
                <c:pt idx="207">
                  <c:v>20.880446519558561</c:v>
                </c:pt>
                <c:pt idx="208">
                  <c:v>18.019758123093915</c:v>
                </c:pt>
                <c:pt idx="209">
                  <c:v>20.709229362600578</c:v>
                </c:pt>
                <c:pt idx="210">
                  <c:v>20.117607095603645</c:v>
                </c:pt>
                <c:pt idx="211">
                  <c:v>24.163556747997468</c:v>
                </c:pt>
                <c:pt idx="212">
                  <c:v>20.653032021694987</c:v>
                </c:pt>
                <c:pt idx="213">
                  <c:v>19.067402264874836</c:v>
                </c:pt>
                <c:pt idx="214">
                  <c:v>16.593164155984454</c:v>
                </c:pt>
                <c:pt idx="215">
                  <c:v>22.455605222595821</c:v>
                </c:pt>
                <c:pt idx="216">
                  <c:v>15.524924531596531</c:v>
                </c:pt>
                <c:pt idx="217">
                  <c:v>20.087007612433617</c:v>
                </c:pt>
                <c:pt idx="218">
                  <c:v>20.871557635749671</c:v>
                </c:pt>
                <c:pt idx="219">
                  <c:v>21.326500457185045</c:v>
                </c:pt>
                <c:pt idx="220">
                  <c:v>20.353649306403973</c:v>
                </c:pt>
                <c:pt idx="221">
                  <c:v>19.466433286704671</c:v>
                </c:pt>
                <c:pt idx="222">
                  <c:v>22.391276601678758</c:v>
                </c:pt>
                <c:pt idx="223">
                  <c:v>17.562386178205749</c:v>
                </c:pt>
                <c:pt idx="224">
                  <c:v>16.593041215875775</c:v>
                </c:pt>
                <c:pt idx="225">
                  <c:v>23.085045324123374</c:v>
                </c:pt>
                <c:pt idx="226">
                  <c:v>22.018676349216488</c:v>
                </c:pt>
                <c:pt idx="227">
                  <c:v>20.322515308459927</c:v>
                </c:pt>
                <c:pt idx="228">
                  <c:v>24.694263165889797</c:v>
                </c:pt>
                <c:pt idx="229">
                  <c:v>24.798282808543082</c:v>
                </c:pt>
                <c:pt idx="230">
                  <c:v>22.783959142493462</c:v>
                </c:pt>
                <c:pt idx="231">
                  <c:v>20.666381895743513</c:v>
                </c:pt>
                <c:pt idx="232">
                  <c:v>22.213957377960881</c:v>
                </c:pt>
                <c:pt idx="233">
                  <c:v>17.005207185509647</c:v>
                </c:pt>
                <c:pt idx="234">
                  <c:v>19.312429950813552</c:v>
                </c:pt>
                <c:pt idx="235">
                  <c:v>22.897926806661832</c:v>
                </c:pt>
                <c:pt idx="236">
                  <c:v>17.755575114012078</c:v>
                </c:pt>
                <c:pt idx="237">
                  <c:v>21.216568435397249</c:v>
                </c:pt>
                <c:pt idx="238">
                  <c:v>18.45505420939384</c:v>
                </c:pt>
                <c:pt idx="239">
                  <c:v>22.113484486608336</c:v>
                </c:pt>
                <c:pt idx="240">
                  <c:v>20.79842811991449</c:v>
                </c:pt>
                <c:pt idx="241">
                  <c:v>22.309021728853267</c:v>
                </c:pt>
                <c:pt idx="242">
                  <c:v>19.664994381449301</c:v>
                </c:pt>
                <c:pt idx="243">
                  <c:v>21.048009257353467</c:v>
                </c:pt>
                <c:pt idx="244">
                  <c:v>23.354077706962183</c:v>
                </c:pt>
                <c:pt idx="245">
                  <c:v>18.70244201425966</c:v>
                </c:pt>
                <c:pt idx="246">
                  <c:v>22.024654915513675</c:v>
                </c:pt>
                <c:pt idx="247">
                  <c:v>18.579063951683914</c:v>
                </c:pt>
                <c:pt idx="248">
                  <c:v>21.834201019231738</c:v>
                </c:pt>
                <c:pt idx="249">
                  <c:v>26.961891375731401</c:v>
                </c:pt>
                <c:pt idx="250">
                  <c:v>20.304887055766304</c:v>
                </c:pt>
                <c:pt idx="251">
                  <c:v>23.23337960128384</c:v>
                </c:pt>
                <c:pt idx="252">
                  <c:v>21.83003015466225</c:v>
                </c:pt>
                <c:pt idx="253">
                  <c:v>23.41114073059741</c:v>
                </c:pt>
                <c:pt idx="254">
                  <c:v>22.358492445719875</c:v>
                </c:pt>
                <c:pt idx="255">
                  <c:v>20.403696702479269</c:v>
                </c:pt>
                <c:pt idx="256">
                  <c:v>24.512587073528024</c:v>
                </c:pt>
                <c:pt idx="257">
                  <c:v>15.376709373887406</c:v>
                </c:pt>
                <c:pt idx="258">
                  <c:v>23.090641336092791</c:v>
                </c:pt>
                <c:pt idx="259">
                  <c:v>19.197266380974632</c:v>
                </c:pt>
                <c:pt idx="260">
                  <c:v>24.47853222415721</c:v>
                </c:pt>
                <c:pt idx="261">
                  <c:v>22.612051051971036</c:v>
                </c:pt>
                <c:pt idx="262">
                  <c:v>17.270577840218017</c:v>
                </c:pt>
                <c:pt idx="263">
                  <c:v>22.055359725918674</c:v>
                </c:pt>
                <c:pt idx="264">
                  <c:v>26.613852985040321</c:v>
                </c:pt>
                <c:pt idx="265">
                  <c:v>23.726794522567424</c:v>
                </c:pt>
                <c:pt idx="266">
                  <c:v>20.009334038166578</c:v>
                </c:pt>
                <c:pt idx="267">
                  <c:v>19.780726663865629</c:v>
                </c:pt>
                <c:pt idx="268">
                  <c:v>22.8381836389974</c:v>
                </c:pt>
                <c:pt idx="269">
                  <c:v>21.865600895563865</c:v>
                </c:pt>
                <c:pt idx="270">
                  <c:v>23.018269674860459</c:v>
                </c:pt>
                <c:pt idx="271">
                  <c:v>19.78099533285582</c:v>
                </c:pt>
                <c:pt idx="272">
                  <c:v>19.558089979306661</c:v>
                </c:pt>
                <c:pt idx="273">
                  <c:v>20.844054982167044</c:v>
                </c:pt>
                <c:pt idx="274">
                  <c:v>24.928018418407866</c:v>
                </c:pt>
                <c:pt idx="275">
                  <c:v>23.443927577809518</c:v>
                </c:pt>
                <c:pt idx="276">
                  <c:v>21.078752293718537</c:v>
                </c:pt>
                <c:pt idx="277">
                  <c:v>19.917207450678109</c:v>
                </c:pt>
                <c:pt idx="278">
                  <c:v>25.295121073938418</c:v>
                </c:pt>
                <c:pt idx="279">
                  <c:v>22.677172092258598</c:v>
                </c:pt>
                <c:pt idx="280">
                  <c:v>20.748416889148267</c:v>
                </c:pt>
                <c:pt idx="281">
                  <c:v>22.130724357205004</c:v>
                </c:pt>
                <c:pt idx="282">
                  <c:v>17.336086587744099</c:v>
                </c:pt>
                <c:pt idx="283">
                  <c:v>24.115157347844566</c:v>
                </c:pt>
                <c:pt idx="284">
                  <c:v>16.7584026420685</c:v>
                </c:pt>
                <c:pt idx="285">
                  <c:v>22.448390257069192</c:v>
                </c:pt>
                <c:pt idx="286">
                  <c:v>23.609366335600477</c:v>
                </c:pt>
                <c:pt idx="287">
                  <c:v>20.944583293612045</c:v>
                </c:pt>
                <c:pt idx="288">
                  <c:v>21.988204375980573</c:v>
                </c:pt>
                <c:pt idx="289">
                  <c:v>21.728547576463921</c:v>
                </c:pt>
                <c:pt idx="290">
                  <c:v>20.856437760418828</c:v>
                </c:pt>
                <c:pt idx="291">
                  <c:v>26.930811091006134</c:v>
                </c:pt>
                <c:pt idx="292">
                  <c:v>18.711225660709211</c:v>
                </c:pt>
                <c:pt idx="293">
                  <c:v>23.068595109184983</c:v>
                </c:pt>
                <c:pt idx="294">
                  <c:v>20.836659624960696</c:v>
                </c:pt>
                <c:pt idx="295">
                  <c:v>21.533386840018814</c:v>
                </c:pt>
                <c:pt idx="296">
                  <c:v>21.284616283977094</c:v>
                </c:pt>
                <c:pt idx="297">
                  <c:v>21.353677336163909</c:v>
                </c:pt>
                <c:pt idx="298">
                  <c:v>21.422738388350727</c:v>
                </c:pt>
                <c:pt idx="299">
                  <c:v>27.677407834123137</c:v>
                </c:pt>
                <c:pt idx="300">
                  <c:v>23.998926392524563</c:v>
                </c:pt>
                <c:pt idx="301">
                  <c:v>24.456385869627823</c:v>
                </c:pt>
                <c:pt idx="302">
                  <c:v>24.534421561617702</c:v>
                </c:pt>
                <c:pt idx="303">
                  <c:v>24.22938983419413</c:v>
                </c:pt>
                <c:pt idx="304">
                  <c:v>19.474446707396034</c:v>
                </c:pt>
                <c:pt idx="305">
                  <c:v>22.942110074085576</c:v>
                </c:pt>
                <c:pt idx="306">
                  <c:v>26.941814270825837</c:v>
                </c:pt>
                <c:pt idx="307">
                  <c:v>24.94020715996507</c:v>
                </c:pt>
                <c:pt idx="308">
                  <c:v>21.20200412173925</c:v>
                </c:pt>
                <c:pt idx="309">
                  <c:v>24.339258708641729</c:v>
                </c:pt>
                <c:pt idx="310">
                  <c:v>21.646770837370763</c:v>
                </c:pt>
                <c:pt idx="311">
                  <c:v>26.938124100913253</c:v>
                </c:pt>
                <c:pt idx="312">
                  <c:v>18.425172052341889</c:v>
                </c:pt>
                <c:pt idx="313">
                  <c:v>23.196103929569045</c:v>
                </c:pt>
                <c:pt idx="314">
                  <c:v>21.928420272057743</c:v>
                </c:pt>
                <c:pt idx="315">
                  <c:v>22.652025117276079</c:v>
                </c:pt>
                <c:pt idx="316">
                  <c:v>25.673742664669923</c:v>
                </c:pt>
                <c:pt idx="317">
                  <c:v>25.751778356659802</c:v>
                </c:pt>
                <c:pt idx="318">
                  <c:v>23.551872394746486</c:v>
                </c:pt>
                <c:pt idx="319">
                  <c:v>53.870193941978044</c:v>
                </c:pt>
                <c:pt idx="320">
                  <c:v>6.3761552195247724</c:v>
                </c:pt>
                <c:pt idx="321">
                  <c:v>20.248916316962916</c:v>
                </c:pt>
                <c:pt idx="322">
                  <c:v>20.333893783520914</c:v>
                </c:pt>
                <c:pt idx="323">
                  <c:v>16.324755476502272</c:v>
                </c:pt>
                <c:pt idx="324">
                  <c:v>15.973978109169336</c:v>
                </c:pt>
                <c:pt idx="325">
                  <c:v>19.184856069269216</c:v>
                </c:pt>
                <c:pt idx="326">
                  <c:v>17.111906235777543</c:v>
                </c:pt>
                <c:pt idx="327">
                  <c:v>19.826936227778024</c:v>
                </c:pt>
                <c:pt idx="328">
                  <c:v>16.373224455957931</c:v>
                </c:pt>
                <c:pt idx="329">
                  <c:v>15.648471034746905</c:v>
                </c:pt>
                <c:pt idx="330">
                  <c:v>22.38330860253561</c:v>
                </c:pt>
                <c:pt idx="331">
                  <c:v>17.596111127660159</c:v>
                </c:pt>
                <c:pt idx="332">
                  <c:v>16.991608627414063</c:v>
                </c:pt>
                <c:pt idx="333">
                  <c:v>17.708448459293507</c:v>
                </c:pt>
                <c:pt idx="334">
                  <c:v>21.407119357877182</c:v>
                </c:pt>
                <c:pt idx="335">
                  <c:v>14.668476107632571</c:v>
                </c:pt>
                <c:pt idx="336">
                  <c:v>19.309304815641415</c:v>
                </c:pt>
                <c:pt idx="337">
                  <c:v>18.388421407399189</c:v>
                </c:pt>
                <c:pt idx="338">
                  <c:v>15.512078078108976</c:v>
                </c:pt>
                <c:pt idx="339">
                  <c:v>20.012571490697496</c:v>
                </c:pt>
                <c:pt idx="340">
                  <c:v>21.788729881220593</c:v>
                </c:pt>
                <c:pt idx="341">
                  <c:v>15.280475189534716</c:v>
                </c:pt>
                <c:pt idx="342">
                  <c:v>13.534800755600479</c:v>
                </c:pt>
                <c:pt idx="343">
                  <c:v>18.71323113026493</c:v>
                </c:pt>
                <c:pt idx="344">
                  <c:v>20.863714914189448</c:v>
                </c:pt>
                <c:pt idx="345">
                  <c:v>17.66025989284471</c:v>
                </c:pt>
                <c:pt idx="346">
                  <c:v>17.063543638561075</c:v>
                </c:pt>
                <c:pt idx="347">
                  <c:v>18.92278579017831</c:v>
                </c:pt>
                <c:pt idx="348">
                  <c:v>17.596940466045282</c:v>
                </c:pt>
                <c:pt idx="349">
                  <c:v>22.057722390840297</c:v>
                </c:pt>
                <c:pt idx="350">
                  <c:v>12.572231275802999</c:v>
                </c:pt>
                <c:pt idx="351">
                  <c:v>15.913709579538889</c:v>
                </c:pt>
                <c:pt idx="352">
                  <c:v>17.581792869227236</c:v>
                </c:pt>
                <c:pt idx="353">
                  <c:v>15.639372962956477</c:v>
                </c:pt>
                <c:pt idx="354">
                  <c:v>16.635011919115385</c:v>
                </c:pt>
                <c:pt idx="355">
                  <c:v>16.287681982014423</c:v>
                </c:pt>
                <c:pt idx="356">
                  <c:v>16.331750385645414</c:v>
                </c:pt>
                <c:pt idx="357">
                  <c:v>19.229186718266938</c:v>
                </c:pt>
                <c:pt idx="358">
                  <c:v>19.784960602624771</c:v>
                </c:pt>
                <c:pt idx="359">
                  <c:v>16.472769277264586</c:v>
                </c:pt>
                <c:pt idx="360">
                  <c:v>22.13067184293763</c:v>
                </c:pt>
                <c:pt idx="361">
                  <c:v>17.373591870713074</c:v>
                </c:pt>
                <c:pt idx="362">
                  <c:v>15.494086657681272</c:v>
                </c:pt>
                <c:pt idx="363">
                  <c:v>18.128526199039541</c:v>
                </c:pt>
                <c:pt idx="364">
                  <c:v>12.167729804195965</c:v>
                </c:pt>
                <c:pt idx="365">
                  <c:v>14.927196932673864</c:v>
                </c:pt>
                <c:pt idx="366">
                  <c:v>16.217978709137675</c:v>
                </c:pt>
                <c:pt idx="367">
                  <c:v>20.273216068140187</c:v>
                </c:pt>
                <c:pt idx="368">
                  <c:v>17.502901636062507</c:v>
                </c:pt>
                <c:pt idx="369">
                  <c:v>16.34561232961882</c:v>
                </c:pt>
                <c:pt idx="370">
                  <c:v>16.975149078657886</c:v>
                </c:pt>
                <c:pt idx="371">
                  <c:v>18.072794114799702</c:v>
                </c:pt>
                <c:pt idx="372">
                  <c:v>15.563734422515184</c:v>
                </c:pt>
                <c:pt idx="373">
                  <c:v>13.261037147327555</c:v>
                </c:pt>
                <c:pt idx="374">
                  <c:v>21.213361802077035</c:v>
                </c:pt>
                <c:pt idx="375">
                  <c:v>19.194224560597366</c:v>
                </c:pt>
                <c:pt idx="376">
                  <c:v>15.037110785000374</c:v>
                </c:pt>
                <c:pt idx="377">
                  <c:v>23.830109550478543</c:v>
                </c:pt>
                <c:pt idx="378">
                  <c:v>17.763268289104222</c:v>
                </c:pt>
                <c:pt idx="379">
                  <c:v>18.693154691216549</c:v>
                </c:pt>
                <c:pt idx="380">
                  <c:v>17.028045028112487</c:v>
                </c:pt>
                <c:pt idx="381">
                  <c:v>19.267290223307857</c:v>
                </c:pt>
                <c:pt idx="382">
                  <c:v>17.952815359262345</c:v>
                </c:pt>
                <c:pt idx="383">
                  <c:v>14.051810006174863</c:v>
                </c:pt>
                <c:pt idx="384">
                  <c:v>15.025929197846374</c:v>
                </c:pt>
                <c:pt idx="385">
                  <c:v>21.270955497671697</c:v>
                </c:pt>
                <c:pt idx="386">
                  <c:v>16.142252170796599</c:v>
                </c:pt>
                <c:pt idx="387">
                  <c:v>19.327502799505123</c:v>
                </c:pt>
                <c:pt idx="388">
                  <c:v>18.016213901159194</c:v>
                </c:pt>
                <c:pt idx="389">
                  <c:v>15.909249362455038</c:v>
                </c:pt>
                <c:pt idx="390">
                  <c:v>17.273083305115151</c:v>
                </c:pt>
                <c:pt idx="391">
                  <c:v>17.734161304839176</c:v>
                </c:pt>
                <c:pt idx="392">
                  <c:v>16.969741689323456</c:v>
                </c:pt>
                <c:pt idx="393">
                  <c:v>15.04848903030129</c:v>
                </c:pt>
                <c:pt idx="394">
                  <c:v>18.736143661567954</c:v>
                </c:pt>
                <c:pt idx="395">
                  <c:v>19.010167581791418</c:v>
                </c:pt>
                <c:pt idx="396">
                  <c:v>16.382469941471939</c:v>
                </c:pt>
                <c:pt idx="397">
                  <c:v>19.345657915738467</c:v>
                </c:pt>
                <c:pt idx="398">
                  <c:v>19.631128494779869</c:v>
                </c:pt>
                <c:pt idx="399">
                  <c:v>17.673001982622743</c:v>
                </c:pt>
                <c:pt idx="400">
                  <c:v>20.472528450391248</c:v>
                </c:pt>
                <c:pt idx="401">
                  <c:v>19.074143327817595</c:v>
                </c:pt>
                <c:pt idx="402">
                  <c:v>19.119818958391871</c:v>
                </c:pt>
                <c:pt idx="403">
                  <c:v>19.165494588966144</c:v>
                </c:pt>
                <c:pt idx="404">
                  <c:v>18.535170567194985</c:v>
                </c:pt>
                <c:pt idx="405">
                  <c:v>17.535122598129924</c:v>
                </c:pt>
                <c:pt idx="406">
                  <c:v>17.179494106956561</c:v>
                </c:pt>
                <c:pt idx="407">
                  <c:v>18.899186760671455</c:v>
                </c:pt>
                <c:pt idx="408">
                  <c:v>20.123801603722221</c:v>
                </c:pt>
                <c:pt idx="409">
                  <c:v>16.358716842752067</c:v>
                </c:pt>
                <c:pt idx="410">
                  <c:v>19.032970527264219</c:v>
                </c:pt>
                <c:pt idx="411">
                  <c:v>17.390784006096041</c:v>
                </c:pt>
                <c:pt idx="412">
                  <c:v>18.905345157695312</c:v>
                </c:pt>
                <c:pt idx="413">
                  <c:v>17.472049351918923</c:v>
                </c:pt>
                <c:pt idx="414">
                  <c:v>15.186384434958292</c:v>
                </c:pt>
                <c:pt idx="415">
                  <c:v>14.749660266852484</c:v>
                </c:pt>
                <c:pt idx="416">
                  <c:v>17.602073905235528</c:v>
                </c:pt>
                <c:pt idx="417">
                  <c:v>15.628141467147486</c:v>
                </c:pt>
                <c:pt idx="418">
                  <c:v>22.222366694015385</c:v>
                </c:pt>
                <c:pt idx="419">
                  <c:v>15.533548956453425</c:v>
                </c:pt>
                <c:pt idx="420">
                  <c:v>18.394470898734191</c:v>
                </c:pt>
                <c:pt idx="421">
                  <c:v>17.221271408642686</c:v>
                </c:pt>
                <c:pt idx="422">
                  <c:v>19.830233958923767</c:v>
                </c:pt>
                <c:pt idx="423">
                  <c:v>17.494761790068484</c:v>
                </c:pt>
                <c:pt idx="424">
                  <c:v>19.451793362719606</c:v>
                </c:pt>
                <c:pt idx="425">
                  <c:v>14.80160047411947</c:v>
                </c:pt>
                <c:pt idx="426">
                  <c:v>17.621880858479514</c:v>
                </c:pt>
                <c:pt idx="427">
                  <c:v>17.861735478188571</c:v>
                </c:pt>
                <c:pt idx="428">
                  <c:v>18.957847095466285</c:v>
                </c:pt>
                <c:pt idx="429">
                  <c:v>16.784842370580765</c:v>
                </c:pt>
                <c:pt idx="430">
                  <c:v>19.051445083819125</c:v>
                </c:pt>
                <c:pt idx="431">
                  <c:v>16.15363862380422</c:v>
                </c:pt>
                <c:pt idx="432">
                  <c:v>17.091390735174329</c:v>
                </c:pt>
                <c:pt idx="433">
                  <c:v>17.12938849136636</c:v>
                </c:pt>
                <c:pt idx="434">
                  <c:v>17.167386247558387</c:v>
                </c:pt>
                <c:pt idx="435">
                  <c:v>20.201348755507709</c:v>
                </c:pt>
                <c:pt idx="436">
                  <c:v>18.44723350179347</c:v>
                </c:pt>
                <c:pt idx="437">
                  <c:v>19.584834397854355</c:v>
                </c:pt>
                <c:pt idx="438">
                  <c:v>19.636486708354191</c:v>
                </c:pt>
                <c:pt idx="439">
                  <c:v>20.388646028737583</c:v>
                </c:pt>
                <c:pt idx="440">
                  <c:v>25.976657951947857</c:v>
                </c:pt>
                <c:pt idx="441">
                  <c:v>20.236210947351253</c:v>
                </c:pt>
                <c:pt idx="442">
                  <c:v>18.699156073844389</c:v>
                </c:pt>
                <c:pt idx="443">
                  <c:v>16.250488402326599</c:v>
                </c:pt>
                <c:pt idx="444">
                  <c:v>19.664086462128626</c:v>
                </c:pt>
                <c:pt idx="445">
                  <c:v>26.271460704785323</c:v>
                </c:pt>
                <c:pt idx="446">
                  <c:v>18.657197382075513</c:v>
                </c:pt>
                <c:pt idx="447">
                  <c:v>17.11526587170631</c:v>
                </c:pt>
                <c:pt idx="448">
                  <c:v>19.614040299884834</c:v>
                </c:pt>
                <c:pt idx="449">
                  <c:v>16.12585317867816</c:v>
                </c:pt>
                <c:pt idx="450">
                  <c:v>17.048144728369859</c:v>
                </c:pt>
                <c:pt idx="451">
                  <c:v>17.457946972435856</c:v>
                </c:pt>
                <c:pt idx="452">
                  <c:v>16.758569781996748</c:v>
                </c:pt>
                <c:pt idx="453">
                  <c:v>19.162368545034802</c:v>
                </c:pt>
                <c:pt idx="454">
                  <c:v>17.576910835961826</c:v>
                </c:pt>
                <c:pt idx="455">
                  <c:v>19.034840912203652</c:v>
                </c:pt>
                <c:pt idx="456">
                  <c:v>17.273707035915514</c:v>
                </c:pt>
                <c:pt idx="457">
                  <c:v>18.279655880181856</c:v>
                </c:pt>
                <c:pt idx="458">
                  <c:v>14.562800455403977</c:v>
                </c:pt>
                <c:pt idx="459">
                  <c:v>17.964967875364099</c:v>
                </c:pt>
                <c:pt idx="460">
                  <c:v>24.773481543974889</c:v>
                </c:pt>
                <c:pt idx="461">
                  <c:v>16.560568091068713</c:v>
                </c:pt>
                <c:pt idx="462">
                  <c:v>21.707652558585185</c:v>
                </c:pt>
                <c:pt idx="463">
                  <c:v>20.755620102517295</c:v>
                </c:pt>
                <c:pt idx="464">
                  <c:v>17.769867789446689</c:v>
                </c:pt>
                <c:pt idx="465">
                  <c:v>16.531910882430488</c:v>
                </c:pt>
                <c:pt idx="466">
                  <c:v>22.161815954638644</c:v>
                </c:pt>
                <c:pt idx="467">
                  <c:v>17.880193955357985</c:v>
                </c:pt>
                <c:pt idx="468">
                  <c:v>16.634339078728075</c:v>
                </c:pt>
                <c:pt idx="469">
                  <c:v>17.578959678845766</c:v>
                </c:pt>
                <c:pt idx="470">
                  <c:v>14.65740103951606</c:v>
                </c:pt>
                <c:pt idx="471">
                  <c:v>20.623339114630195</c:v>
                </c:pt>
                <c:pt idx="472">
                  <c:v>16.611084366643212</c:v>
                </c:pt>
                <c:pt idx="473">
                  <c:v>17.921289144675615</c:v>
                </c:pt>
                <c:pt idx="474">
                  <c:v>20.999985023164626</c:v>
                </c:pt>
                <c:pt idx="475">
                  <c:v>16.040665685830788</c:v>
                </c:pt>
                <c:pt idx="476">
                  <c:v>19.252494823379994</c:v>
                </c:pt>
                <c:pt idx="477">
                  <c:v>19.507489465173265</c:v>
                </c:pt>
                <c:pt idx="478">
                  <c:v>17.355951112602281</c:v>
                </c:pt>
                <c:pt idx="479">
                  <c:v>20.499868500932148</c:v>
                </c:pt>
                <c:pt idx="480">
                  <c:v>18.380339240822543</c:v>
                </c:pt>
                <c:pt idx="481">
                  <c:v>14.998828035532576</c:v>
                </c:pt>
                <c:pt idx="482">
                  <c:v>17.495412350951838</c:v>
                </c:pt>
                <c:pt idx="483">
                  <c:v>17.173794245895365</c:v>
                </c:pt>
                <c:pt idx="484">
                  <c:v>19.150869120782261</c:v>
                </c:pt>
                <c:pt idx="485">
                  <c:v>20.519499820276874</c:v>
                </c:pt>
                <c:pt idx="486">
                  <c:v>17.276222442192953</c:v>
                </c:pt>
                <c:pt idx="487">
                  <c:v>19.916023275962235</c:v>
                </c:pt>
                <c:pt idx="488">
                  <c:v>14.498592731546726</c:v>
                </c:pt>
                <c:pt idx="489">
                  <c:v>20.457030376728792</c:v>
                </c:pt>
                <c:pt idx="490">
                  <c:v>21.706224389826971</c:v>
                </c:pt>
                <c:pt idx="491">
                  <c:v>22.003884272929991</c:v>
                </c:pt>
                <c:pt idx="492">
                  <c:v>16.279240870201519</c:v>
                </c:pt>
                <c:pt idx="493">
                  <c:v>20.860814272732963</c:v>
                </c:pt>
                <c:pt idx="494">
                  <c:v>19.123441061799412</c:v>
                </c:pt>
                <c:pt idx="495">
                  <c:v>18.160237906676343</c:v>
                </c:pt>
                <c:pt idx="496">
                  <c:v>20.746289250869495</c:v>
                </c:pt>
                <c:pt idx="497">
                  <c:v>20.099355975820838</c:v>
                </c:pt>
                <c:pt idx="498">
                  <c:v>16.318237470698023</c:v>
                </c:pt>
                <c:pt idx="499">
                  <c:v>21.112736844783889</c:v>
                </c:pt>
                <c:pt idx="500">
                  <c:v>18.737932859965412</c:v>
                </c:pt>
                <c:pt idx="501">
                  <c:v>17.808849062940403</c:v>
                </c:pt>
                <c:pt idx="502">
                  <c:v>19.64119709553405</c:v>
                </c:pt>
                <c:pt idx="503">
                  <c:v>18.071719929378734</c:v>
                </c:pt>
                <c:pt idx="504">
                  <c:v>20.162176136863046</c:v>
                </c:pt>
                <c:pt idx="505">
                  <c:v>19.761464662900504</c:v>
                </c:pt>
                <c:pt idx="506">
                  <c:v>19.58442603296254</c:v>
                </c:pt>
                <c:pt idx="507">
                  <c:v>17.83427650267349</c:v>
                </c:pt>
                <c:pt idx="508">
                  <c:v>17.510041568952278</c:v>
                </c:pt>
                <c:pt idx="509">
                  <c:v>18.285627267221706</c:v>
                </c:pt>
                <c:pt idx="510">
                  <c:v>17.942403984311522</c:v>
                </c:pt>
                <c:pt idx="511">
                  <c:v>16.089851107452048</c:v>
                </c:pt>
                <c:pt idx="512">
                  <c:v>20.484893895151252</c:v>
                </c:pt>
                <c:pt idx="513">
                  <c:v>23.541341219675608</c:v>
                </c:pt>
                <c:pt idx="514">
                  <c:v>18.273190219489461</c:v>
                </c:pt>
                <c:pt idx="515">
                  <c:v>17.567719750295826</c:v>
                </c:pt>
                <c:pt idx="516">
                  <c:v>17.965250281737411</c:v>
                </c:pt>
                <c:pt idx="517">
                  <c:v>21.876631095518945</c:v>
                </c:pt>
                <c:pt idx="518">
                  <c:v>21.188763224958638</c:v>
                </c:pt>
                <c:pt idx="519">
                  <c:v>14.31209073661738</c:v>
                </c:pt>
                <c:pt idx="520">
                  <c:v>17.035660946077726</c:v>
                </c:pt>
                <c:pt idx="521">
                  <c:v>15.334001381802153</c:v>
                </c:pt>
                <c:pt idx="522">
                  <c:v>20.884449214936648</c:v>
                </c:pt>
                <c:pt idx="523">
                  <c:v>18.401945781273174</c:v>
                </c:pt>
                <c:pt idx="524">
                  <c:v>17.694676906973875</c:v>
                </c:pt>
                <c:pt idx="525">
                  <c:v>20.543203850782461</c:v>
                </c:pt>
                <c:pt idx="526">
                  <c:v>18.503315295308834</c:v>
                </c:pt>
                <c:pt idx="527">
                  <c:v>16.597951668740009</c:v>
                </c:pt>
                <c:pt idx="528">
                  <c:v>17.474280809130804</c:v>
                </c:pt>
                <c:pt idx="529">
                  <c:v>18.805816840236915</c:v>
                </c:pt>
                <c:pt idx="530">
                  <c:v>17.190571264934</c:v>
                </c:pt>
                <c:pt idx="531">
                  <c:v>17.575986335848189</c:v>
                </c:pt>
                <c:pt idx="532">
                  <c:v>20.595618872933269</c:v>
                </c:pt>
                <c:pt idx="533">
                  <c:v>18.75336009659679</c:v>
                </c:pt>
                <c:pt idx="534">
                  <c:v>18.031965469716777</c:v>
                </c:pt>
                <c:pt idx="535">
                  <c:v>21.637690913282196</c:v>
                </c:pt>
                <c:pt idx="536">
                  <c:v>16.876197214207227</c:v>
                </c:pt>
                <c:pt idx="537">
                  <c:v>15.660159052994251</c:v>
                </c:pt>
                <c:pt idx="538">
                  <c:v>18.168178158516799</c:v>
                </c:pt>
                <c:pt idx="539">
                  <c:v>17.1406116098421</c:v>
                </c:pt>
                <c:pt idx="540">
                  <c:v>16.199402520686061</c:v>
                </c:pt>
                <c:pt idx="541">
                  <c:v>15.198826875801904</c:v>
                </c:pt>
                <c:pt idx="542">
                  <c:v>17.583106962538508</c:v>
                </c:pt>
                <c:pt idx="543">
                  <c:v>14.837758638677739</c:v>
                </c:pt>
                <c:pt idx="544">
                  <c:v>16.012497018165082</c:v>
                </c:pt>
                <c:pt idx="545">
                  <c:v>14.621957319093228</c:v>
                </c:pt>
                <c:pt idx="546">
                  <c:v>22.080544910430159</c:v>
                </c:pt>
                <c:pt idx="547">
                  <c:v>19.246691731570326</c:v>
                </c:pt>
                <c:pt idx="548">
                  <c:v>19.686375318257934</c:v>
                </c:pt>
                <c:pt idx="549">
                  <c:v>18.351119673030112</c:v>
                </c:pt>
                <c:pt idx="550">
                  <c:v>21.057587533603421</c:v>
                </c:pt>
                <c:pt idx="551">
                  <c:v>19.38860905122025</c:v>
                </c:pt>
                <c:pt idx="552">
                  <c:v>17.730245471645127</c:v>
                </c:pt>
                <c:pt idx="553">
                  <c:v>17.245058272483341</c:v>
                </c:pt>
                <c:pt idx="554">
                  <c:v>17.791937348721135</c:v>
                </c:pt>
                <c:pt idx="555">
                  <c:v>17.475030018582324</c:v>
                </c:pt>
                <c:pt idx="556">
                  <c:v>18.588695400077736</c:v>
                </c:pt>
                <c:pt idx="557">
                  <c:v>18.069103540525045</c:v>
                </c:pt>
                <c:pt idx="558">
                  <c:v>21.366500798155062</c:v>
                </c:pt>
                <c:pt idx="559">
                  <c:v>18.497692671724494</c:v>
                </c:pt>
                <c:pt idx="560">
                  <c:v>20.983893310333912</c:v>
                </c:pt>
                <c:pt idx="561">
                  <c:v>21.027084857456384</c:v>
                </c:pt>
                <c:pt idx="562">
                  <c:v>15.080665180002393</c:v>
                </c:pt>
                <c:pt idx="563">
                  <c:v>17.7290802992263</c:v>
                </c:pt>
                <c:pt idx="564">
                  <c:v>19.436477144213189</c:v>
                </c:pt>
                <c:pt idx="565">
                  <c:v>18.694747129739429</c:v>
                </c:pt>
                <c:pt idx="566">
                  <c:v>19.71094288171264</c:v>
                </c:pt>
                <c:pt idx="567">
                  <c:v>19.744385268685345</c:v>
                </c:pt>
                <c:pt idx="568">
                  <c:v>20.403999935537577</c:v>
                </c:pt>
                <c:pt idx="569">
                  <c:v>19.81127004263076</c:v>
                </c:pt>
                <c:pt idx="570">
                  <c:v>22.797704496216713</c:v>
                </c:pt>
                <c:pt idx="571">
                  <c:v>22.104972891418996</c:v>
                </c:pt>
                <c:pt idx="572">
                  <c:v>23.660036608003605</c:v>
                </c:pt>
                <c:pt idx="573">
                  <c:v>19.153740372515333</c:v>
                </c:pt>
                <c:pt idx="574">
                  <c:v>17.724617665194547</c:v>
                </c:pt>
                <c:pt idx="575">
                  <c:v>20.025301319256076</c:v>
                </c:pt>
                <c:pt idx="576">
                  <c:v>15.317970905925373</c:v>
                </c:pt>
                <c:pt idx="577">
                  <c:v>23.339182586534903</c:v>
                </c:pt>
                <c:pt idx="578">
                  <c:v>18.023751421292939</c:v>
                </c:pt>
                <c:pt idx="579">
                  <c:v>18.411191515347141</c:v>
                </c:pt>
                <c:pt idx="580">
                  <c:v>19.588681913145567</c:v>
                </c:pt>
                <c:pt idx="581">
                  <c:v>21.093512300370389</c:v>
                </c:pt>
                <c:pt idx="582">
                  <c:v>17.800518838700448</c:v>
                </c:pt>
                <c:pt idx="583">
                  <c:v>17.32410588198595</c:v>
                </c:pt>
                <c:pt idx="584">
                  <c:v>18.754330631106882</c:v>
                </c:pt>
                <c:pt idx="585">
                  <c:v>18.068669815322153</c:v>
                </c:pt>
                <c:pt idx="586">
                  <c:v>18.098329483436601</c:v>
                </c:pt>
                <c:pt idx="587">
                  <c:v>21.087123369294162</c:v>
                </c:pt>
                <c:pt idx="588">
                  <c:v>22.513892923632579</c:v>
                </c:pt>
                <c:pt idx="589">
                  <c:v>19.686680516973521</c:v>
                </c:pt>
                <c:pt idx="590">
                  <c:v>19.725206310548813</c:v>
                </c:pt>
                <c:pt idx="591">
                  <c:v>20.794266312514711</c:v>
                </c:pt>
                <c:pt idx="592">
                  <c:v>18.826573407531484</c:v>
                </c:pt>
                <c:pt idx="593">
                  <c:v>21.301030707137134</c:v>
                </c:pt>
                <c:pt idx="594">
                  <c:v>22.498021126811611</c:v>
                </c:pt>
                <c:pt idx="595">
                  <c:v>18.924310323339565</c:v>
                </c:pt>
                <c:pt idx="596">
                  <c:v>21.411434494410923</c:v>
                </c:pt>
                <c:pt idx="597">
                  <c:v>20.159477942402788</c:v>
                </c:pt>
                <c:pt idx="598">
                  <c:v>17.435649188830872</c:v>
                </c:pt>
                <c:pt idx="599">
                  <c:v>19.046481468099664</c:v>
                </c:pt>
                <c:pt idx="600">
                  <c:v>21.783845430200696</c:v>
                </c:pt>
                <c:pt idx="601">
                  <c:v>20.503317828674238</c:v>
                </c:pt>
                <c:pt idx="602">
                  <c:v>15.583488303850949</c:v>
                </c:pt>
                <c:pt idx="603">
                  <c:v>17.254186676970896</c:v>
                </c:pt>
                <c:pt idx="604">
                  <c:v>20.399471727431393</c:v>
                </c:pt>
                <c:pt idx="605">
                  <c:v>16.685079874294875</c:v>
                </c:pt>
                <c:pt idx="606">
                  <c:v>16.260935968184398</c:v>
                </c:pt>
                <c:pt idx="607">
                  <c:v>18.210641040685861</c:v>
                </c:pt>
                <c:pt idx="608">
                  <c:v>18.06615984068716</c:v>
                </c:pt>
                <c:pt idx="609">
                  <c:v>19.751399387401516</c:v>
                </c:pt>
                <c:pt idx="610">
                  <c:v>15.933646601198467</c:v>
                </c:pt>
                <c:pt idx="611">
                  <c:v>19.054022356641024</c:v>
                </c:pt>
                <c:pt idx="612">
                  <c:v>19.271528431707608</c:v>
                </c:pt>
                <c:pt idx="613">
                  <c:v>18.746354988215554</c:v>
                </c:pt>
                <c:pt idx="614">
                  <c:v>18.601445314843154</c:v>
                </c:pt>
                <c:pt idx="615">
                  <c:v>20.35381853431678</c:v>
                </c:pt>
                <c:pt idx="616">
                  <c:v>17.303030809618992</c:v>
                </c:pt>
                <c:pt idx="617">
                  <c:v>19.428797653058645</c:v>
                </c:pt>
                <c:pt idx="618">
                  <c:v>20.044243479265194</c:v>
                </c:pt>
                <c:pt idx="619">
                  <c:v>24.493353641381443</c:v>
                </c:pt>
                <c:pt idx="620">
                  <c:v>19.525578712351589</c:v>
                </c:pt>
                <c:pt idx="621">
                  <c:v>16.968685418763751</c:v>
                </c:pt>
                <c:pt idx="622">
                  <c:v>13.803684381537927</c:v>
                </c:pt>
                <c:pt idx="623">
                  <c:v>16.13045183717054</c:v>
                </c:pt>
                <c:pt idx="624">
                  <c:v>17.209468098915565</c:v>
                </c:pt>
                <c:pt idx="625">
                  <c:v>18.398540006041376</c:v>
                </c:pt>
                <c:pt idx="626">
                  <c:v>18.426810657556501</c:v>
                </c:pt>
                <c:pt idx="627">
                  <c:v>19.361831345112115</c:v>
                </c:pt>
                <c:pt idx="628">
                  <c:v>18.659803007648126</c:v>
                </c:pt>
                <c:pt idx="629">
                  <c:v>17.189126120151961</c:v>
                </c:pt>
                <c:pt idx="630">
                  <c:v>16.753232601345527</c:v>
                </c:pt>
                <c:pt idx="631">
                  <c:v>20.265781619469113</c:v>
                </c:pt>
                <c:pt idx="632">
                  <c:v>20.296627558007117</c:v>
                </c:pt>
                <c:pt idx="633">
                  <c:v>20.127696099226558</c:v>
                </c:pt>
                <c:pt idx="634">
                  <c:v>18.315426695857365</c:v>
                </c:pt>
                <c:pt idx="635">
                  <c:v>19.997386376404695</c:v>
                </c:pt>
                <c:pt idx="636">
                  <c:v>19.640632225387932</c:v>
                </c:pt>
                <c:pt idx="637">
                  <c:v>17.404318233411882</c:v>
                </c:pt>
                <c:pt idx="638">
                  <c:v>18.60063956187193</c:v>
                </c:pt>
                <c:pt idx="639">
                  <c:v>21.579981697031556</c:v>
                </c:pt>
                <c:pt idx="640">
                  <c:v>16.421727374034816</c:v>
                </c:pt>
                <c:pt idx="641">
                  <c:v>18.342536139232834</c:v>
                </c:pt>
                <c:pt idx="642">
                  <c:v>18.370019711512178</c:v>
                </c:pt>
                <c:pt idx="643">
                  <c:v>18.751864273757068</c:v>
                </c:pt>
                <c:pt idx="644">
                  <c:v>15.817590105055043</c:v>
                </c:pt>
                <c:pt idx="645">
                  <c:v>19.919433105663749</c:v>
                </c:pt>
                <c:pt idx="646">
                  <c:v>17.177171109245428</c:v>
                </c:pt>
                <c:pt idx="647">
                  <c:v>20.98508300844426</c:v>
                </c:pt>
                <c:pt idx="648">
                  <c:v>19.63130325063522</c:v>
                </c:pt>
                <c:pt idx="649">
                  <c:v>16.952075524385901</c:v>
                </c:pt>
                <c:pt idx="650">
                  <c:v>18.258015671889826</c:v>
                </c:pt>
                <c:pt idx="651">
                  <c:v>18.803690115801459</c:v>
                </c:pt>
                <c:pt idx="652">
                  <c:v>19.747671378973305</c:v>
                </c:pt>
                <c:pt idx="653">
                  <c:v>18.864723043294468</c:v>
                </c:pt>
                <c:pt idx="654">
                  <c:v>21.644207404543607</c:v>
                </c:pt>
                <c:pt idx="655">
                  <c:v>22.118346133717345</c:v>
                </c:pt>
                <c:pt idx="656">
                  <c:v>18.255846010311135</c:v>
                </c:pt>
                <c:pt idx="657">
                  <c:v>16.561022054009808</c:v>
                </c:pt>
                <c:pt idx="658">
                  <c:v>22.222127229945929</c:v>
                </c:pt>
                <c:pt idx="659">
                  <c:v>16.046320848377608</c:v>
                </c:pt>
                <c:pt idx="660">
                  <c:v>19.064467169635233</c:v>
                </c:pt>
                <c:pt idx="661">
                  <c:v>20.021136480567812</c:v>
                </c:pt>
                <c:pt idx="662">
                  <c:v>15.574782504513617</c:v>
                </c:pt>
                <c:pt idx="663">
                  <c:v>17.318308585433599</c:v>
                </c:pt>
                <c:pt idx="664">
                  <c:v>19.367964951807625</c:v>
                </c:pt>
                <c:pt idx="665">
                  <c:v>18.684251853355342</c:v>
                </c:pt>
                <c:pt idx="666">
                  <c:v>19.062605732951596</c:v>
                </c:pt>
                <c:pt idx="667">
                  <c:v>18.395962667754315</c:v>
                </c:pt>
                <c:pt idx="668">
                  <c:v>18.089015857406217</c:v>
                </c:pt>
                <c:pt idx="669">
                  <c:v>21.4872807855741</c:v>
                </c:pt>
                <c:pt idx="670">
                  <c:v>17.498916670333834</c:v>
                </c:pt>
                <c:pt idx="671">
                  <c:v>18.846113694418193</c:v>
                </c:pt>
                <c:pt idx="672">
                  <c:v>17.398412755320511</c:v>
                </c:pt>
                <c:pt idx="673">
                  <c:v>19.26048745336286</c:v>
                </c:pt>
                <c:pt idx="674">
                  <c:v>20.815155082720104</c:v>
                </c:pt>
                <c:pt idx="675">
                  <c:v>21.465470134349655</c:v>
                </c:pt>
                <c:pt idx="676">
                  <c:v>17.343354930740851</c:v>
                </c:pt>
                <c:pt idx="677">
                  <c:v>19.552730589579326</c:v>
                </c:pt>
                <c:pt idx="678">
                  <c:v>16.228325650704036</c:v>
                </c:pt>
                <c:pt idx="679">
                  <c:v>15.578453406033768</c:v>
                </c:pt>
                <c:pt idx="680">
                  <c:v>16.992724675009239</c:v>
                </c:pt>
                <c:pt idx="681">
                  <c:v>23.000485451660325</c:v>
                </c:pt>
                <c:pt idx="682">
                  <c:v>17.975114672919023</c:v>
                </c:pt>
                <c:pt idx="683">
                  <c:v>17.069527950376514</c:v>
                </c:pt>
                <c:pt idx="684">
                  <c:v>18.188494296765672</c:v>
                </c:pt>
                <c:pt idx="685">
                  <c:v>16.67769750664953</c:v>
                </c:pt>
                <c:pt idx="686">
                  <c:v>18.08141639303485</c:v>
                </c:pt>
                <c:pt idx="687">
                  <c:v>19.846798331136565</c:v>
                </c:pt>
                <c:pt idx="688">
                  <c:v>18.461702896366564</c:v>
                </c:pt>
                <c:pt idx="689">
                  <c:v>21.277845905305501</c:v>
                </c:pt>
                <c:pt idx="690">
                  <c:v>20.309636048463624</c:v>
                </c:pt>
                <c:pt idx="691">
                  <c:v>18.377478932817436</c:v>
                </c:pt>
                <c:pt idx="692">
                  <c:v>19.439607111648655</c:v>
                </c:pt>
                <c:pt idx="693">
                  <c:v>19.466584085159127</c:v>
                </c:pt>
                <c:pt idx="694">
                  <c:v>18.621477544548409</c:v>
                </c:pt>
                <c:pt idx="695">
                  <c:v>17.367140642424697</c:v>
                </c:pt>
                <c:pt idx="696">
                  <c:v>16.379283748217457</c:v>
                </c:pt>
                <c:pt idx="697">
                  <c:v>17.885488787626759</c:v>
                </c:pt>
                <c:pt idx="698">
                  <c:v>16.995724267853166</c:v>
                </c:pt>
                <c:pt idx="699">
                  <c:v>15.014776519350155</c:v>
                </c:pt>
                <c:pt idx="700">
                  <c:v>21.827367955862901</c:v>
                </c:pt>
                <c:pt idx="701">
                  <c:v>20.246286583818094</c:v>
                </c:pt>
                <c:pt idx="702">
                  <c:v>15.71040470651883</c:v>
                </c:pt>
                <c:pt idx="703">
                  <c:v>16.970708226503962</c:v>
                </c:pt>
                <c:pt idx="704">
                  <c:v>18.552181153547796</c:v>
                </c:pt>
                <c:pt idx="705">
                  <c:v>15.020812536759939</c:v>
                </c:pt>
                <c:pt idx="706">
                  <c:v>18.607863006941802</c:v>
                </c:pt>
                <c:pt idx="707">
                  <c:v>18.303388783176562</c:v>
                </c:pt>
                <c:pt idx="708">
                  <c:v>18.328250761963815</c:v>
                </c:pt>
                <c:pt idx="709">
                  <c:v>19.196825051663694</c:v>
                </c:pt>
                <c:pt idx="710">
                  <c:v>16.704699981625748</c:v>
                </c:pt>
                <c:pt idx="711">
                  <c:v>19.790085484676958</c:v>
                </c:pt>
                <c:pt idx="712">
                  <c:v>19.635425744130508</c:v>
                </c:pt>
                <c:pt idx="713">
                  <c:v>20.21444263364333</c:v>
                </c:pt>
                <c:pt idx="714">
                  <c:v>21.836478060544412</c:v>
                </c:pt>
                <c:pt idx="715">
                  <c:v>20.846606579128977</c:v>
                </c:pt>
                <c:pt idx="716">
                  <c:v>20.880212070659006</c:v>
                </c:pt>
                <c:pt idx="717">
                  <c:v>16.045674629120327</c:v>
                </c:pt>
                <c:pt idx="718">
                  <c:v>20.740098451716094</c:v>
                </c:pt>
                <c:pt idx="719">
                  <c:v>18.125118581332956</c:v>
                </c:pt>
                <c:pt idx="720">
                  <c:v>20.992230375759103</c:v>
                </c:pt>
                <c:pt idx="721">
                  <c:v>16.682881986078716</c:v>
                </c:pt>
                <c:pt idx="722">
                  <c:v>23.894442183165761</c:v>
                </c:pt>
                <c:pt idx="723">
                  <c:v>22.327798156556987</c:v>
                </c:pt>
                <c:pt idx="724">
                  <c:v>18.908663110805104</c:v>
                </c:pt>
                <c:pt idx="725">
                  <c:v>18.115972577255615</c:v>
                </c:pt>
                <c:pt idx="726">
                  <c:v>17.527124889668023</c:v>
                </c:pt>
                <c:pt idx="727">
                  <c:v>22.022668287982903</c:v>
                </c:pt>
                <c:pt idx="728">
                  <c:v>21.227468816469322</c:v>
                </c:pt>
                <c:pt idx="729">
                  <c:v>19.210239420931483</c:v>
                </c:pt>
                <c:pt idx="730">
                  <c:v>21.289078884274378</c:v>
                </c:pt>
                <c:pt idx="731">
                  <c:v>14.967817010903655</c:v>
                </c:pt>
                <c:pt idx="732">
                  <c:v>17.670865860985408</c:v>
                </c:pt>
                <c:pt idx="733">
                  <c:v>19.31654114104731</c:v>
                </c:pt>
                <c:pt idx="734">
                  <c:v>20.23926673005737</c:v>
                </c:pt>
                <c:pt idx="735">
                  <c:v>20.83525256366363</c:v>
                </c:pt>
                <c:pt idx="736">
                  <c:v>20.485037162961131</c:v>
                </c:pt>
                <c:pt idx="737">
                  <c:v>21.090893367167038</c:v>
                </c:pt>
                <c:pt idx="738">
                  <c:v>18.282366546670822</c:v>
                </c:pt>
                <c:pt idx="739">
                  <c:v>20.376984849654722</c:v>
                </c:pt>
                <c:pt idx="740">
                  <c:v>19.15864085345811</c:v>
                </c:pt>
                <c:pt idx="741">
                  <c:v>23.109216677749476</c:v>
                </c:pt>
                <c:pt idx="742">
                  <c:v>24.310586713963151</c:v>
                </c:pt>
                <c:pt idx="743">
                  <c:v>17.631183453773311</c:v>
                </c:pt>
                <c:pt idx="744">
                  <c:v>19.258088768607127</c:v>
                </c:pt>
                <c:pt idx="745">
                  <c:v>21.725950274164774</c:v>
                </c:pt>
                <c:pt idx="746">
                  <c:v>22.81756276221536</c:v>
                </c:pt>
                <c:pt idx="747">
                  <c:v>21.376722518872192</c:v>
                </c:pt>
                <c:pt idx="748">
                  <c:v>22.876310349141768</c:v>
                </c:pt>
                <c:pt idx="749">
                  <c:v>20.65242108884943</c:v>
                </c:pt>
                <c:pt idx="750">
                  <c:v>22.940932694760811</c:v>
                </c:pt>
                <c:pt idx="751">
                  <c:v>19.61604477666436</c:v>
                </c:pt>
                <c:pt idx="752">
                  <c:v>18.309923089885842</c:v>
                </c:pt>
                <c:pt idx="753">
                  <c:v>21.95558779961998</c:v>
                </c:pt>
                <c:pt idx="754">
                  <c:v>17.73970439066046</c:v>
                </c:pt>
                <c:pt idx="755">
                  <c:v>17.037257295045727</c:v>
                </c:pt>
                <c:pt idx="756">
                  <c:v>20.848404566737976</c:v>
                </c:pt>
                <c:pt idx="757">
                  <c:v>18.273650579413147</c:v>
                </c:pt>
                <c:pt idx="758">
                  <c:v>21.690035242856691</c:v>
                </c:pt>
                <c:pt idx="759">
                  <c:v>18.163771854371575</c:v>
                </c:pt>
                <c:pt idx="760">
                  <c:v>20.21114067180617</c:v>
                </c:pt>
                <c:pt idx="761">
                  <c:v>18.059655854149394</c:v>
                </c:pt>
                <c:pt idx="762">
                  <c:v>17.929530526815295</c:v>
                </c:pt>
                <c:pt idx="763">
                  <c:v>17.504276358915455</c:v>
                </c:pt>
                <c:pt idx="764">
                  <c:v>23.145620726445436</c:v>
                </c:pt>
                <c:pt idx="765">
                  <c:v>18.627949851089479</c:v>
                </c:pt>
                <c:pt idx="766">
                  <c:v>18.977115509662472</c:v>
                </c:pt>
                <c:pt idx="767">
                  <c:v>15.218217507263541</c:v>
                </c:pt>
                <c:pt idx="768">
                  <c:v>15.002857527665874</c:v>
                </c:pt>
                <c:pt idx="769">
                  <c:v>21.208590417992593</c:v>
                </c:pt>
                <c:pt idx="770">
                  <c:v>16.812589566027235</c:v>
                </c:pt>
                <c:pt idx="771">
                  <c:v>18.296683139463823</c:v>
                </c:pt>
                <c:pt idx="772">
                  <c:v>17.86054946778113</c:v>
                </c:pt>
                <c:pt idx="773">
                  <c:v>18.982995103710557</c:v>
                </c:pt>
                <c:pt idx="774">
                  <c:v>24.861826461631825</c:v>
                </c:pt>
                <c:pt idx="775">
                  <c:v>16.648701086995843</c:v>
                </c:pt>
                <c:pt idx="776">
                  <c:v>20.635079179706072</c:v>
                </c:pt>
                <c:pt idx="777">
                  <c:v>15.537077025890182</c:v>
                </c:pt>
                <c:pt idx="778">
                  <c:v>18.941299748157768</c:v>
                </c:pt>
                <c:pt idx="779">
                  <c:v>15.825638335547296</c:v>
                </c:pt>
                <c:pt idx="780">
                  <c:v>20.930478911821503</c:v>
                </c:pt>
                <c:pt idx="781">
                  <c:v>16.641586859527497</c:v>
                </c:pt>
                <c:pt idx="782">
                  <c:v>22.377124549840239</c:v>
                </c:pt>
                <c:pt idx="783">
                  <c:v>19.395868309273883</c:v>
                </c:pt>
                <c:pt idx="784">
                  <c:v>22.648764547861184</c:v>
                </c:pt>
                <c:pt idx="785">
                  <c:v>23.779827025888007</c:v>
                </c:pt>
                <c:pt idx="786">
                  <c:v>24.996216217916555</c:v>
                </c:pt>
                <c:pt idx="787">
                  <c:v>22.104932094483633</c:v>
                </c:pt>
                <c:pt idx="788">
                  <c:v>18.697806237688244</c:v>
                </c:pt>
                <c:pt idx="789">
                  <c:v>17.227767008540752</c:v>
                </c:pt>
                <c:pt idx="790">
                  <c:v>21.987201944483076</c:v>
                </c:pt>
                <c:pt idx="791">
                  <c:v>18.300508262832221</c:v>
                </c:pt>
                <c:pt idx="792">
                  <c:v>20.320162654005269</c:v>
                </c:pt>
                <c:pt idx="793">
                  <c:v>17.747814236174076</c:v>
                </c:pt>
                <c:pt idx="794">
                  <c:v>18.843669182497123</c:v>
                </c:pt>
                <c:pt idx="795">
                  <c:v>18.706913751068445</c:v>
                </c:pt>
                <c:pt idx="796">
                  <c:v>19.380924976880443</c:v>
                </c:pt>
                <c:pt idx="797">
                  <c:v>23.020510560773161</c:v>
                </c:pt>
                <c:pt idx="798">
                  <c:v>19.432370482369265</c:v>
                </c:pt>
                <c:pt idx="799">
                  <c:v>19.968851595491085</c:v>
                </c:pt>
                <c:pt idx="800">
                  <c:v>18.824425168688105</c:v>
                </c:pt>
                <c:pt idx="801">
                  <c:v>20.371127362676503</c:v>
                </c:pt>
                <c:pt idx="802">
                  <c:v>16.950734013120147</c:v>
                </c:pt>
                <c:pt idx="803">
                  <c:v>19.381847100214905</c:v>
                </c:pt>
                <c:pt idx="804">
                  <c:v>21.18947620975473</c:v>
                </c:pt>
                <c:pt idx="805">
                  <c:v>20.655299947352919</c:v>
                </c:pt>
                <c:pt idx="806">
                  <c:v>19.79439549084729</c:v>
                </c:pt>
                <c:pt idx="807">
                  <c:v>16.014763327202957</c:v>
                </c:pt>
                <c:pt idx="808">
                  <c:v>20.194461216882448</c:v>
                </c:pt>
                <c:pt idx="809">
                  <c:v>20.396206108622604</c:v>
                </c:pt>
                <c:pt idx="810">
                  <c:v>16.849494706857701</c:v>
                </c:pt>
                <c:pt idx="811">
                  <c:v>20.09061727226554</c:v>
                </c:pt>
                <c:pt idx="812">
                  <c:v>22.596621108516889</c:v>
                </c:pt>
                <c:pt idx="813">
                  <c:v>22.838705773968567</c:v>
                </c:pt>
                <c:pt idx="814">
                  <c:v>22.448053494368786</c:v>
                </c:pt>
                <c:pt idx="815">
                  <c:v>14.982394646333754</c:v>
                </c:pt>
                <c:pt idx="816">
                  <c:v>24.716590459009605</c:v>
                </c:pt>
                <c:pt idx="817">
                  <c:v>19.556741449885262</c:v>
                </c:pt>
                <c:pt idx="818">
                  <c:v>24.544025377304141</c:v>
                </c:pt>
                <c:pt idx="819">
                  <c:v>23.658582075472829</c:v>
                </c:pt>
                <c:pt idx="820">
                  <c:v>24.601653988192385</c:v>
                </c:pt>
                <c:pt idx="821">
                  <c:v>18.220181299164022</c:v>
                </c:pt>
                <c:pt idx="822">
                  <c:v>18.096510527171151</c:v>
                </c:pt>
                <c:pt idx="823">
                  <c:v>17.397340178735291</c:v>
                </c:pt>
                <c:pt idx="824">
                  <c:v>19.226105611598417</c:v>
                </c:pt>
                <c:pt idx="825">
                  <c:v>21.937540860603363</c:v>
                </c:pt>
                <c:pt idx="826">
                  <c:v>19.434580606328659</c:v>
                </c:pt>
                <c:pt idx="827">
                  <c:v>19.961447791010805</c:v>
                </c:pt>
                <c:pt idx="828">
                  <c:v>21.822224543777505</c:v>
                </c:pt>
                <c:pt idx="829">
                  <c:v>19.673264681097621</c:v>
                </c:pt>
                <c:pt idx="830">
                  <c:v>19.529493674406076</c:v>
                </c:pt>
                <c:pt idx="831">
                  <c:v>20.232114249513703</c:v>
                </c:pt>
                <c:pt idx="832">
                  <c:v>20.794486805689274</c:v>
                </c:pt>
                <c:pt idx="833">
                  <c:v>18.953859726619022</c:v>
                </c:pt>
                <c:pt idx="834">
                  <c:v>20.661643817190189</c:v>
                </c:pt>
                <c:pt idx="835">
                  <c:v>19.647005092025736</c:v>
                </c:pt>
                <c:pt idx="836">
                  <c:v>17.812146092637398</c:v>
                </c:pt>
                <c:pt idx="837">
                  <c:v>21.473429222289827</c:v>
                </c:pt>
                <c:pt idx="838">
                  <c:v>16.246852606050307</c:v>
                </c:pt>
                <c:pt idx="839">
                  <c:v>16.909586679663288</c:v>
                </c:pt>
                <c:pt idx="840">
                  <c:v>21.557213545626738</c:v>
                </c:pt>
                <c:pt idx="841">
                  <c:v>16.306433087759405</c:v>
                </c:pt>
                <c:pt idx="842">
                  <c:v>17.105423684181297</c:v>
                </c:pt>
                <c:pt idx="843">
                  <c:v>21.631140889747542</c:v>
                </c:pt>
                <c:pt idx="844">
                  <c:v>25.081423804100908</c:v>
                </c:pt>
                <c:pt idx="845">
                  <c:v>21.301735677072848</c:v>
                </c:pt>
                <c:pt idx="846">
                  <c:v>23.761318268026834</c:v>
                </c:pt>
                <c:pt idx="847">
                  <c:v>22.524925540223709</c:v>
                </c:pt>
                <c:pt idx="848">
                  <c:v>19.786306824057579</c:v>
                </c:pt>
                <c:pt idx="849">
                  <c:v>18.998628947418123</c:v>
                </c:pt>
                <c:pt idx="850">
                  <c:v>17.822309493643193</c:v>
                </c:pt>
                <c:pt idx="851">
                  <c:v>24.124456052543092</c:v>
                </c:pt>
                <c:pt idx="852">
                  <c:v>17.038930454103546</c:v>
                </c:pt>
                <c:pt idx="853">
                  <c:v>20.416428956027374</c:v>
                </c:pt>
                <c:pt idx="854">
                  <c:v>17.34733432934992</c:v>
                </c:pt>
                <c:pt idx="855">
                  <c:v>23.149571472488518</c:v>
                </c:pt>
                <c:pt idx="856">
                  <c:v>22.759879412071847</c:v>
                </c:pt>
                <c:pt idx="857">
                  <c:v>22.997241296367282</c:v>
                </c:pt>
                <c:pt idx="858">
                  <c:v>20.361555451914523</c:v>
                </c:pt>
                <c:pt idx="859">
                  <c:v>22.236553827320183</c:v>
                </c:pt>
                <c:pt idx="860">
                  <c:v>18.775246567000231</c:v>
                </c:pt>
                <c:pt idx="861">
                  <c:v>20.961705054627931</c:v>
                </c:pt>
                <c:pt idx="862">
                  <c:v>18.22153155709778</c:v>
                </c:pt>
                <c:pt idx="863">
                  <c:v>18.538442127353736</c:v>
                </c:pt>
                <c:pt idx="864">
                  <c:v>16.002465563681223</c:v>
                </c:pt>
                <c:pt idx="865">
                  <c:v>20.180688477628831</c:v>
                </c:pt>
                <c:pt idx="866">
                  <c:v>21.644123039439734</c:v>
                </c:pt>
                <c:pt idx="867">
                  <c:v>18.776820906658802</c:v>
                </c:pt>
                <c:pt idx="868">
                  <c:v>22.875117771591402</c:v>
                </c:pt>
                <c:pt idx="869">
                  <c:v>21.716126110096553</c:v>
                </c:pt>
                <c:pt idx="870">
                  <c:v>19.963336330787261</c:v>
                </c:pt>
                <c:pt idx="871">
                  <c:v>24.021218168230874</c:v>
                </c:pt>
                <c:pt idx="872">
                  <c:v>17.996394083886194</c:v>
                </c:pt>
                <c:pt idx="873">
                  <c:v>20.717096379886165</c:v>
                </c:pt>
                <c:pt idx="874">
                  <c:v>19.081387509459695</c:v>
                </c:pt>
                <c:pt idx="875">
                  <c:v>21.303116136508304</c:v>
                </c:pt>
                <c:pt idx="876">
                  <c:v>16.105279750631215</c:v>
                </c:pt>
                <c:pt idx="877">
                  <c:v>19.626185469210665</c:v>
                </c:pt>
                <c:pt idx="878">
                  <c:v>17.021398868268612</c:v>
                </c:pt>
                <c:pt idx="879">
                  <c:v>19.832737059814107</c:v>
                </c:pt>
                <c:pt idx="880">
                  <c:v>18.75350491646704</c:v>
                </c:pt>
                <c:pt idx="881">
                  <c:v>19.554509035859937</c:v>
                </c:pt>
                <c:pt idx="882">
                  <c:v>18.794433560981371</c:v>
                </c:pt>
                <c:pt idx="883">
                  <c:v>21.499544430192906</c:v>
                </c:pt>
                <c:pt idx="884">
                  <c:v>16.748111395087506</c:v>
                </c:pt>
                <c:pt idx="885">
                  <c:v>25.328860212641569</c:v>
                </c:pt>
                <c:pt idx="886">
                  <c:v>21.389583893131903</c:v>
                </c:pt>
                <c:pt idx="887">
                  <c:v>18.900848036718635</c:v>
                </c:pt>
                <c:pt idx="888">
                  <c:v>22.58410594667949</c:v>
                </c:pt>
                <c:pt idx="889">
                  <c:v>17.37074224501384</c:v>
                </c:pt>
                <c:pt idx="890">
                  <c:v>18.814299740550602</c:v>
                </c:pt>
                <c:pt idx="891">
                  <c:v>17.958693362398808</c:v>
                </c:pt>
                <c:pt idx="892">
                  <c:v>21.907810452691809</c:v>
                </c:pt>
                <c:pt idx="893">
                  <c:v>24.400686208423348</c:v>
                </c:pt>
                <c:pt idx="894">
                  <c:v>22.146312833994273</c:v>
                </c:pt>
                <c:pt idx="895">
                  <c:v>23.588857892369095</c:v>
                </c:pt>
                <c:pt idx="896">
                  <c:v>18.788943228891636</c:v>
                </c:pt>
                <c:pt idx="897">
                  <c:v>19.584632894324564</c:v>
                </c:pt>
                <c:pt idx="898">
                  <c:v>24.537149499758907</c:v>
                </c:pt>
                <c:pt idx="899">
                  <c:v>19.001062318898757</c:v>
                </c:pt>
                <c:pt idx="900">
                  <c:v>19.334774050473982</c:v>
                </c:pt>
                <c:pt idx="901">
                  <c:v>17.740127812653569</c:v>
                </c:pt>
                <c:pt idx="902">
                  <c:v>23.985725699975177</c:v>
                </c:pt>
                <c:pt idx="903">
                  <c:v>21.985938300269058</c:v>
                </c:pt>
                <c:pt idx="904">
                  <c:v>21.450969320955839</c:v>
                </c:pt>
                <c:pt idx="905">
                  <c:v>23.639591556941809</c:v>
                </c:pt>
                <c:pt idx="906">
                  <c:v>21.501109708233891</c:v>
                </c:pt>
                <c:pt idx="907">
                  <c:v>18.570160779161078</c:v>
                </c:pt>
                <c:pt idx="908">
                  <c:v>22.29935831392639</c:v>
                </c:pt>
                <c:pt idx="909">
                  <c:v>17.895179025682513</c:v>
                </c:pt>
                <c:pt idx="910">
                  <c:v>18.931208423308462</c:v>
                </c:pt>
                <c:pt idx="911">
                  <c:v>20.728189228350018</c:v>
                </c:pt>
                <c:pt idx="912">
                  <c:v>21.459392725313599</c:v>
                </c:pt>
                <c:pt idx="913">
                  <c:v>19.770985770790716</c:v>
                </c:pt>
                <c:pt idx="914">
                  <c:v>24.751473969349103</c:v>
                </c:pt>
                <c:pt idx="915">
                  <c:v>25.943320233479749</c:v>
                </c:pt>
                <c:pt idx="916">
                  <c:v>19.999810336838088</c:v>
                </c:pt>
                <c:pt idx="917">
                  <c:v>21.760928078674709</c:v>
                </c:pt>
                <c:pt idx="918">
                  <c:v>20.712554722214076</c:v>
                </c:pt>
                <c:pt idx="919">
                  <c:v>16.896242842966533</c:v>
                </c:pt>
                <c:pt idx="920">
                  <c:v>18.689548231575824</c:v>
                </c:pt>
                <c:pt idx="921">
                  <c:v>19.784515913790599</c:v>
                </c:pt>
                <c:pt idx="922">
                  <c:v>19.645749366879482</c:v>
                </c:pt>
                <c:pt idx="923">
                  <c:v>15.31833192001951</c:v>
                </c:pt>
                <c:pt idx="924">
                  <c:v>16.988051059041172</c:v>
                </c:pt>
                <c:pt idx="925">
                  <c:v>19.553229941841114</c:v>
                </c:pt>
                <c:pt idx="926">
                  <c:v>27.782753309223587</c:v>
                </c:pt>
                <c:pt idx="927">
                  <c:v>20.074642821341467</c:v>
                </c:pt>
                <c:pt idx="928">
                  <c:v>18.849521400155076</c:v>
                </c:pt>
                <c:pt idx="929">
                  <c:v>19.173691229902538</c:v>
                </c:pt>
                <c:pt idx="930">
                  <c:v>17.488302421083496</c:v>
                </c:pt>
                <c:pt idx="931">
                  <c:v>20.662896293179223</c:v>
                </c:pt>
                <c:pt idx="932">
                  <c:v>18.7832679875747</c:v>
                </c:pt>
                <c:pt idx="933">
                  <c:v>22.139260091772741</c:v>
                </c:pt>
                <c:pt idx="934">
                  <c:v>23.962316474356925</c:v>
                </c:pt>
                <c:pt idx="935">
                  <c:v>19.606554263289279</c:v>
                </c:pt>
                <c:pt idx="936">
                  <c:v>18.007197180483036</c:v>
                </c:pt>
                <c:pt idx="937">
                  <c:v>20.799313186387753</c:v>
                </c:pt>
                <c:pt idx="938">
                  <c:v>21.888181773204355</c:v>
                </c:pt>
                <c:pt idx="939">
                  <c:v>23.674513690659047</c:v>
                </c:pt>
                <c:pt idx="940">
                  <c:v>19.554523854721744</c:v>
                </c:pt>
                <c:pt idx="941">
                  <c:v>22.521973757166879</c:v>
                </c:pt>
                <c:pt idx="942">
                  <c:v>17.98368149763321</c:v>
                </c:pt>
                <c:pt idx="943">
                  <c:v>21.633558067954674</c:v>
                </c:pt>
                <c:pt idx="944">
                  <c:v>20.27964457065293</c:v>
                </c:pt>
                <c:pt idx="945">
                  <c:v>19.815991572593109</c:v>
                </c:pt>
                <c:pt idx="946">
                  <c:v>17.654084883776065</c:v>
                </c:pt>
                <c:pt idx="947">
                  <c:v>20.01607633166044</c:v>
                </c:pt>
                <c:pt idx="948">
                  <c:v>17.689930741408098</c:v>
                </c:pt>
                <c:pt idx="949">
                  <c:v>20.721128721811066</c:v>
                </c:pt>
                <c:pt idx="950">
                  <c:v>20.24330757678873</c:v>
                </c:pt>
                <c:pt idx="951">
                  <c:v>19.940848430062697</c:v>
                </c:pt>
                <c:pt idx="952">
                  <c:v>20.121637788987655</c:v>
                </c:pt>
                <c:pt idx="953">
                  <c:v>19.514006307962148</c:v>
                </c:pt>
                <c:pt idx="954">
                  <c:v>17.939776564543934</c:v>
                </c:pt>
                <c:pt idx="955">
                  <c:v>16.67096415790078</c:v>
                </c:pt>
                <c:pt idx="956">
                  <c:v>22.880559989675355</c:v>
                </c:pt>
                <c:pt idx="957">
                  <c:v>21.592372384614045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6C-EC45-A12B-955E761DE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919935"/>
        <c:axId val="270289535"/>
      </c:scatterChart>
      <c:valAx>
        <c:axId val="254919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289535"/>
        <c:crosses val="autoZero"/>
        <c:crossBetween val="midCat"/>
      </c:valAx>
      <c:valAx>
        <c:axId val="270289535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9199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SS curve C - elastic 1-3 mN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'curves processed'!$AO$2:$AO$959</c:f>
              <c:numCache>
                <c:formatCode>General</c:formatCode>
                <c:ptCount val="958"/>
                <c:pt idx="0">
                  <c:v>3.8246284800631851E-2</c:v>
                </c:pt>
                <c:pt idx="1">
                  <c:v>3.1498546614734897E-2</c:v>
                </c:pt>
                <c:pt idx="2">
                  <c:v>3.7393031489394886E-2</c:v>
                </c:pt>
                <c:pt idx="3">
                  <c:v>3.5235373877344711E-2</c:v>
                </c:pt>
                <c:pt idx="4">
                  <c:v>4.0334171315802823E-2</c:v>
                </c:pt>
                <c:pt idx="5">
                  <c:v>4.2790175469997971E-2</c:v>
                </c:pt>
                <c:pt idx="6">
                  <c:v>3.2143707408762393E-2</c:v>
                </c:pt>
                <c:pt idx="7">
                  <c:v>3.7548327651347968E-2</c:v>
                </c:pt>
                <c:pt idx="8">
                  <c:v>5.0502548128518988E-2</c:v>
                </c:pt>
                <c:pt idx="9">
                  <c:v>4.7471493812014834E-2</c:v>
                </c:pt>
                <c:pt idx="10">
                  <c:v>4.6272718715751844E-2</c:v>
                </c:pt>
                <c:pt idx="11">
                  <c:v>4.9402882211218857E-2</c:v>
                </c:pt>
                <c:pt idx="12">
                  <c:v>4.8302393328638782E-2</c:v>
                </c:pt>
                <c:pt idx="13">
                  <c:v>4.908472208197636E-2</c:v>
                </c:pt>
                <c:pt idx="14">
                  <c:v>4.0347549150401757E-2</c:v>
                </c:pt>
                <c:pt idx="15">
                  <c:v>4.3650259016001267E-2</c:v>
                </c:pt>
                <c:pt idx="16">
                  <c:v>4.9020495355433145E-2</c:v>
                </c:pt>
                <c:pt idx="17">
                  <c:v>5.089194484553422E-2</c:v>
                </c:pt>
                <c:pt idx="18">
                  <c:v>6.0053099514639746E-2</c:v>
                </c:pt>
                <c:pt idx="19">
                  <c:v>5.3808672991993864E-2</c:v>
                </c:pt>
                <c:pt idx="20">
                  <c:v>5.621110642336339E-2</c:v>
                </c:pt>
                <c:pt idx="21">
                  <c:v>6.2938317608762867E-2</c:v>
                </c:pt>
                <c:pt idx="22">
                  <c:v>5.60619613886316E-2</c:v>
                </c:pt>
                <c:pt idx="23">
                  <c:v>5.6632071457557505E-2</c:v>
                </c:pt>
                <c:pt idx="24">
                  <c:v>5.9935690851242659E-2</c:v>
                </c:pt>
                <c:pt idx="25">
                  <c:v>5.935285348485151E-2</c:v>
                </c:pt>
                <c:pt idx="26">
                  <c:v>6.8541729033390411E-2</c:v>
                </c:pt>
                <c:pt idx="27">
                  <c:v>6.0534902428588951E-2</c:v>
                </c:pt>
                <c:pt idx="28">
                  <c:v>7.4623428067480166E-2</c:v>
                </c:pt>
                <c:pt idx="29">
                  <c:v>6.8519583078936977E-2</c:v>
                </c:pt>
                <c:pt idx="30">
                  <c:v>5.849382269445013E-2</c:v>
                </c:pt>
                <c:pt idx="31">
                  <c:v>5.9503359698187333E-2</c:v>
                </c:pt>
                <c:pt idx="32">
                  <c:v>6.9948526866946109E-2</c:v>
                </c:pt>
                <c:pt idx="33">
                  <c:v>7.4200534182387132E-2</c:v>
                </c:pt>
                <c:pt idx="34">
                  <c:v>6.644311991410963E-2</c:v>
                </c:pt>
                <c:pt idx="35">
                  <c:v>6.0697219360747623E-2</c:v>
                </c:pt>
                <c:pt idx="36">
                  <c:v>6.5494413176498678E-2</c:v>
                </c:pt>
                <c:pt idx="37">
                  <c:v>7.2276756586514279E-2</c:v>
                </c:pt>
                <c:pt idx="38">
                  <c:v>7.6113079968468958E-2</c:v>
                </c:pt>
                <c:pt idx="39">
                  <c:v>6.8796937598940275E-2</c:v>
                </c:pt>
                <c:pt idx="40">
                  <c:v>7.4284153158331714E-2</c:v>
                </c:pt>
                <c:pt idx="41">
                  <c:v>7.4847952630291426E-2</c:v>
                </c:pt>
                <c:pt idx="42">
                  <c:v>7.9146298431009288E-2</c:v>
                </c:pt>
                <c:pt idx="43">
                  <c:v>6.5196239878189205E-2</c:v>
                </c:pt>
                <c:pt idx="44">
                  <c:v>7.6363112224310539E-2</c:v>
                </c:pt>
                <c:pt idx="45">
                  <c:v>6.8238011192164605E-2</c:v>
                </c:pt>
                <c:pt idx="46">
                  <c:v>7.480916340025684E-2</c:v>
                </c:pt>
                <c:pt idx="47">
                  <c:v>7.1042463632063207E-2</c:v>
                </c:pt>
                <c:pt idx="48">
                  <c:v>7.9495594140595788E-2</c:v>
                </c:pt>
                <c:pt idx="49">
                  <c:v>7.6747673078222362E-2</c:v>
                </c:pt>
                <c:pt idx="50">
                  <c:v>7.9589981863352172E-2</c:v>
                </c:pt>
                <c:pt idx="51">
                  <c:v>7.7826095575366516E-2</c:v>
                </c:pt>
                <c:pt idx="52">
                  <c:v>7.7347028456452957E-2</c:v>
                </c:pt>
                <c:pt idx="53">
                  <c:v>8.9719489069934474E-2</c:v>
                </c:pt>
                <c:pt idx="54">
                  <c:v>9.5584923743324543E-2</c:v>
                </c:pt>
                <c:pt idx="55">
                  <c:v>7.2327771618365996E-2</c:v>
                </c:pt>
                <c:pt idx="56">
                  <c:v>8.5368811610996548E-2</c:v>
                </c:pt>
                <c:pt idx="57">
                  <c:v>8.7314646463162351E-2</c:v>
                </c:pt>
                <c:pt idx="58">
                  <c:v>9.2802879296438837E-2</c:v>
                </c:pt>
                <c:pt idx="59">
                  <c:v>8.1550835374247413E-2</c:v>
                </c:pt>
                <c:pt idx="60">
                  <c:v>7.1686750756527473E-2</c:v>
                </c:pt>
                <c:pt idx="61">
                  <c:v>8.1321905592741342E-2</c:v>
                </c:pt>
                <c:pt idx="62">
                  <c:v>9.6051044604899813E-2</c:v>
                </c:pt>
                <c:pt idx="63">
                  <c:v>8.5930716613937905E-2</c:v>
                </c:pt>
                <c:pt idx="64">
                  <c:v>7.8604395847157352E-2</c:v>
                </c:pt>
                <c:pt idx="65">
                  <c:v>9.5211662509417802E-2</c:v>
                </c:pt>
                <c:pt idx="66">
                  <c:v>8.3491381743822798E-2</c:v>
                </c:pt>
                <c:pt idx="67">
                  <c:v>8.0764513760160223E-2</c:v>
                </c:pt>
                <c:pt idx="68">
                  <c:v>8.3064432016702813E-2</c:v>
                </c:pt>
                <c:pt idx="69">
                  <c:v>8.8432270007786057E-2</c:v>
                </c:pt>
                <c:pt idx="70">
                  <c:v>9.3836693605326024E-2</c:v>
                </c:pt>
                <c:pt idx="71">
                  <c:v>8.5602005887096141E-2</c:v>
                </c:pt>
                <c:pt idx="72">
                  <c:v>9.8062176686385297E-2</c:v>
                </c:pt>
                <c:pt idx="73">
                  <c:v>9.9317475605578964E-2</c:v>
                </c:pt>
                <c:pt idx="74">
                  <c:v>8.4776058307085733E-2</c:v>
                </c:pt>
                <c:pt idx="75">
                  <c:v>9.0540796802301315E-2</c:v>
                </c:pt>
                <c:pt idx="76">
                  <c:v>9.442214051323955E-2</c:v>
                </c:pt>
                <c:pt idx="77">
                  <c:v>7.660172865120575E-2</c:v>
                </c:pt>
                <c:pt idx="78">
                  <c:v>8.5108885511857912E-2</c:v>
                </c:pt>
                <c:pt idx="79">
                  <c:v>8.9621956547808676E-2</c:v>
                </c:pt>
                <c:pt idx="80">
                  <c:v>8.9887581789503415E-2</c:v>
                </c:pt>
                <c:pt idx="81">
                  <c:v>0.10435977335593641</c:v>
                </c:pt>
                <c:pt idx="82">
                  <c:v>9.0736537602369202E-2</c:v>
                </c:pt>
                <c:pt idx="83">
                  <c:v>0.1117405931267426</c:v>
                </c:pt>
                <c:pt idx="84">
                  <c:v>0.10023737165742215</c:v>
                </c:pt>
                <c:pt idx="85">
                  <c:v>9.7743834339007088E-2</c:v>
                </c:pt>
                <c:pt idx="86">
                  <c:v>9.5995231457183403E-2</c:v>
                </c:pt>
                <c:pt idx="87">
                  <c:v>9.4965797298165747E-2</c:v>
                </c:pt>
                <c:pt idx="88">
                  <c:v>9.0886332698275674E-2</c:v>
                </c:pt>
                <c:pt idx="89">
                  <c:v>0.10239326150371893</c:v>
                </c:pt>
                <c:pt idx="90">
                  <c:v>9.6172168242484798E-2</c:v>
                </c:pt>
                <c:pt idx="91">
                  <c:v>0.10855484964407648</c:v>
                </c:pt>
                <c:pt idx="92">
                  <c:v>0.12084758115106092</c:v>
                </c:pt>
                <c:pt idx="93">
                  <c:v>0.10954042225244144</c:v>
                </c:pt>
                <c:pt idx="94">
                  <c:v>8.9405318889628965E-2</c:v>
                </c:pt>
                <c:pt idx="95">
                  <c:v>9.552409681920826E-2</c:v>
                </c:pt>
                <c:pt idx="96">
                  <c:v>8.8238129531076501E-2</c:v>
                </c:pt>
                <c:pt idx="97">
                  <c:v>0.11098487662714369</c:v>
                </c:pt>
                <c:pt idx="98">
                  <c:v>0.10751877755662198</c:v>
                </c:pt>
                <c:pt idx="99">
                  <c:v>0.10981098493090355</c:v>
                </c:pt>
                <c:pt idx="100">
                  <c:v>0.10354747394384567</c:v>
                </c:pt>
                <c:pt idx="101">
                  <c:v>0.10628682510638128</c:v>
                </c:pt>
                <c:pt idx="102">
                  <c:v>0.10936394200403146</c:v>
                </c:pt>
                <c:pt idx="103">
                  <c:v>0.10207234287652499</c:v>
                </c:pt>
                <c:pt idx="104">
                  <c:v>0.11907740338422156</c:v>
                </c:pt>
                <c:pt idx="105">
                  <c:v>0.10750229079973865</c:v>
                </c:pt>
                <c:pt idx="106">
                  <c:v>0.12680634270990002</c:v>
                </c:pt>
                <c:pt idx="107">
                  <c:v>0.11613595827959378</c:v>
                </c:pt>
                <c:pt idx="108">
                  <c:v>0.11081031980538944</c:v>
                </c:pt>
                <c:pt idx="109">
                  <c:v>0.11832746554834142</c:v>
                </c:pt>
                <c:pt idx="110">
                  <c:v>0.11740751172143472</c:v>
                </c:pt>
                <c:pt idx="111">
                  <c:v>0.1166465007138292</c:v>
                </c:pt>
                <c:pt idx="112">
                  <c:v>0.10611324380256733</c:v>
                </c:pt>
                <c:pt idx="113">
                  <c:v>9.7794359817283821E-2</c:v>
                </c:pt>
                <c:pt idx="114">
                  <c:v>0.10806745944264555</c:v>
                </c:pt>
                <c:pt idx="115">
                  <c:v>0.10292682976514125</c:v>
                </c:pt>
                <c:pt idx="116">
                  <c:v>0.10860204056552733</c:v>
                </c:pt>
                <c:pt idx="117">
                  <c:v>0.11544646348154762</c:v>
                </c:pt>
                <c:pt idx="118">
                  <c:v>0.1040136458661753</c:v>
                </c:pt>
                <c:pt idx="119">
                  <c:v>0.10935042001173209</c:v>
                </c:pt>
                <c:pt idx="120">
                  <c:v>0.12506240865315663</c:v>
                </c:pt>
                <c:pt idx="121">
                  <c:v>0.11297961669003853</c:v>
                </c:pt>
                <c:pt idx="122">
                  <c:v>0.11593833465997987</c:v>
                </c:pt>
                <c:pt idx="123">
                  <c:v>0.11675444825327022</c:v>
                </c:pt>
                <c:pt idx="124">
                  <c:v>0.1153785772062072</c:v>
                </c:pt>
                <c:pt idx="125">
                  <c:v>0.12779715929451502</c:v>
                </c:pt>
                <c:pt idx="126">
                  <c:v>0.1110760356485037</c:v>
                </c:pt>
                <c:pt idx="127">
                  <c:v>0.12259097807708538</c:v>
                </c:pt>
                <c:pt idx="128">
                  <c:v>0.11882828469056099</c:v>
                </c:pt>
                <c:pt idx="129">
                  <c:v>0.1253172460507076</c:v>
                </c:pt>
                <c:pt idx="130">
                  <c:v>0.11765221061265461</c:v>
                </c:pt>
                <c:pt idx="131">
                  <c:v>0.11994802580843321</c:v>
                </c:pt>
                <c:pt idx="132">
                  <c:v>0.12852465735501509</c:v>
                </c:pt>
                <c:pt idx="133">
                  <c:v>0.11763066258873286</c:v>
                </c:pt>
                <c:pt idx="134">
                  <c:v>0.12467740511173717</c:v>
                </c:pt>
                <c:pt idx="135">
                  <c:v>0.12100251394740846</c:v>
                </c:pt>
                <c:pt idx="136">
                  <c:v>0.11871944764651396</c:v>
                </c:pt>
                <c:pt idx="137">
                  <c:v>0.12451747441065925</c:v>
                </c:pt>
                <c:pt idx="138">
                  <c:v>0.12575032069195291</c:v>
                </c:pt>
                <c:pt idx="139">
                  <c:v>0.12206955551660958</c:v>
                </c:pt>
                <c:pt idx="140">
                  <c:v>0.12206955551660958</c:v>
                </c:pt>
                <c:pt idx="141">
                  <c:v>0.12557110940389096</c:v>
                </c:pt>
                <c:pt idx="142">
                  <c:v>0.11972793768768381</c:v>
                </c:pt>
                <c:pt idx="143">
                  <c:v>0.13394573903676804</c:v>
                </c:pt>
                <c:pt idx="144">
                  <c:v>0.1219154272899472</c:v>
                </c:pt>
                <c:pt idx="145">
                  <c:v>0.12421571837088961</c:v>
                </c:pt>
                <c:pt idx="146">
                  <c:v>0.11860167041670591</c:v>
                </c:pt>
                <c:pt idx="147">
                  <c:v>0.12641422666063987</c:v>
                </c:pt>
                <c:pt idx="148">
                  <c:v>0.11452912842758822</c:v>
                </c:pt>
                <c:pt idx="149">
                  <c:v>0.12287662695804172</c:v>
                </c:pt>
                <c:pt idx="150">
                  <c:v>0.11961441562287246</c:v>
                </c:pt>
                <c:pt idx="151">
                  <c:v>0.12281936851118337</c:v>
                </c:pt>
                <c:pt idx="152">
                  <c:v>0.11652093935676369</c:v>
                </c:pt>
                <c:pt idx="153">
                  <c:v>0.126141934349524</c:v>
                </c:pt>
                <c:pt idx="154">
                  <c:v>0.13220645042402035</c:v>
                </c:pt>
                <c:pt idx="155">
                  <c:v>0.1359410959162243</c:v>
                </c:pt>
                <c:pt idx="156">
                  <c:v>0.12484386359653253</c:v>
                </c:pt>
                <c:pt idx="157">
                  <c:v>0.13844072002783805</c:v>
                </c:pt>
                <c:pt idx="158">
                  <c:v>0.1226002927145079</c:v>
                </c:pt>
                <c:pt idx="159">
                  <c:v>0.14903841080516284</c:v>
                </c:pt>
                <c:pt idx="160">
                  <c:v>0.13285565048154366</c:v>
                </c:pt>
                <c:pt idx="161">
                  <c:v>0.13914636447458187</c:v>
                </c:pt>
                <c:pt idx="162">
                  <c:v>0.14051054451845033</c:v>
                </c:pt>
                <c:pt idx="163">
                  <c:v>0.13649595753220889</c:v>
                </c:pt>
                <c:pt idx="164">
                  <c:v>0.14305541069543265</c:v>
                </c:pt>
                <c:pt idx="165">
                  <c:v>0.13612259270649962</c:v>
                </c:pt>
                <c:pt idx="166">
                  <c:v>0.14140890698636371</c:v>
                </c:pt>
                <c:pt idx="167">
                  <c:v>0.13982512722811644</c:v>
                </c:pt>
                <c:pt idx="168">
                  <c:v>0.13469392989864426</c:v>
                </c:pt>
                <c:pt idx="169">
                  <c:v>0.14507999312067638</c:v>
                </c:pt>
                <c:pt idx="170">
                  <c:v>0.14622235527123287</c:v>
                </c:pt>
                <c:pt idx="171">
                  <c:v>0.14070453054401655</c:v>
                </c:pt>
                <c:pt idx="172">
                  <c:v>0.14204457369205478</c:v>
                </c:pt>
                <c:pt idx="173">
                  <c:v>0.14453078054829344</c:v>
                </c:pt>
                <c:pt idx="174">
                  <c:v>0.11927340249117543</c:v>
                </c:pt>
                <c:pt idx="175">
                  <c:v>0.13646596501242597</c:v>
                </c:pt>
                <c:pt idx="176">
                  <c:v>0.13508179695341632</c:v>
                </c:pt>
                <c:pt idx="177">
                  <c:v>0.14003892711684446</c:v>
                </c:pt>
                <c:pt idx="178">
                  <c:v>0.13034545758553226</c:v>
                </c:pt>
                <c:pt idx="179">
                  <c:v>0.13836861548615689</c:v>
                </c:pt>
                <c:pt idx="180">
                  <c:v>0.12497810431007721</c:v>
                </c:pt>
                <c:pt idx="181">
                  <c:v>0.12491044699045069</c:v>
                </c:pt>
                <c:pt idx="182">
                  <c:v>0.1445722766093179</c:v>
                </c:pt>
                <c:pt idx="183">
                  <c:v>0.13330785434883985</c:v>
                </c:pt>
                <c:pt idx="184">
                  <c:v>0.13444723771934272</c:v>
                </c:pt>
                <c:pt idx="185">
                  <c:v>0.13429531993660901</c:v>
                </c:pt>
                <c:pt idx="186">
                  <c:v>0.14645292377868463</c:v>
                </c:pt>
                <c:pt idx="187">
                  <c:v>0.14381413235924886</c:v>
                </c:pt>
                <c:pt idx="188">
                  <c:v>0.14512153356251475</c:v>
                </c:pt>
                <c:pt idx="189">
                  <c:v>0.14618081482939443</c:v>
                </c:pt>
                <c:pt idx="190">
                  <c:v>0.14229990824100344</c:v>
                </c:pt>
                <c:pt idx="191">
                  <c:v>0.15279632613764296</c:v>
                </c:pt>
                <c:pt idx="192">
                  <c:v>0.14565117419595464</c:v>
                </c:pt>
                <c:pt idx="193">
                  <c:v>0.13824518228768576</c:v>
                </c:pt>
                <c:pt idx="194">
                  <c:v>0.15647097570765411</c:v>
                </c:pt>
                <c:pt idx="195">
                  <c:v>0.14022011346322411</c:v>
                </c:pt>
                <c:pt idx="196">
                  <c:v>0.14906282332126528</c:v>
                </c:pt>
                <c:pt idx="197">
                  <c:v>0.14364219248290697</c:v>
                </c:pt>
                <c:pt idx="198">
                  <c:v>0.12916662269780779</c:v>
                </c:pt>
                <c:pt idx="199">
                  <c:v>0.13866954766424769</c:v>
                </c:pt>
                <c:pt idx="200">
                  <c:v>0.14464668333943079</c:v>
                </c:pt>
                <c:pt idx="201">
                  <c:v>0.14440629236521993</c:v>
                </c:pt>
                <c:pt idx="202">
                  <c:v>0.14079613505608946</c:v>
                </c:pt>
                <c:pt idx="203">
                  <c:v>0.14416997581430085</c:v>
                </c:pt>
                <c:pt idx="204">
                  <c:v>0.14416997581430085</c:v>
                </c:pt>
                <c:pt idx="205">
                  <c:v>0.13381701629253331</c:v>
                </c:pt>
                <c:pt idx="206">
                  <c:v>0.14370915854000854</c:v>
                </c:pt>
                <c:pt idx="207">
                  <c:v>0.15127279846316691</c:v>
                </c:pt>
                <c:pt idx="208">
                  <c:v>0.14115138182242107</c:v>
                </c:pt>
                <c:pt idx="209">
                  <c:v>0.1509706083839808</c:v>
                </c:pt>
                <c:pt idx="210">
                  <c:v>0.14938581968815856</c:v>
                </c:pt>
                <c:pt idx="211">
                  <c:v>0.16334711124779955</c:v>
                </c:pt>
                <c:pt idx="212">
                  <c:v>0.15167811933509759</c:v>
                </c:pt>
                <c:pt idx="213">
                  <c:v>0.14541042845348195</c:v>
                </c:pt>
                <c:pt idx="214">
                  <c:v>0.13623986755560064</c:v>
                </c:pt>
                <c:pt idx="215">
                  <c:v>0.1581355605556079</c:v>
                </c:pt>
                <c:pt idx="216">
                  <c:v>0.13205706460433217</c:v>
                </c:pt>
                <c:pt idx="217">
                  <c:v>0.14981263631583905</c:v>
                </c:pt>
                <c:pt idx="218">
                  <c:v>0.15336944154650944</c:v>
                </c:pt>
                <c:pt idx="219">
                  <c:v>0.15469159190466905</c:v>
                </c:pt>
                <c:pt idx="220">
                  <c:v>0.15177097143107876</c:v>
                </c:pt>
                <c:pt idx="221">
                  <c:v>0.14899398802996011</c:v>
                </c:pt>
                <c:pt idx="222">
                  <c:v>0.15944970648820297</c:v>
                </c:pt>
                <c:pt idx="223">
                  <c:v>0.14181230603885192</c:v>
                </c:pt>
                <c:pt idx="224">
                  <c:v>0.13754727427828498</c:v>
                </c:pt>
                <c:pt idx="225">
                  <c:v>0.16292308334839525</c:v>
                </c:pt>
                <c:pt idx="226">
                  <c:v>0.15971404618728818</c:v>
                </c:pt>
                <c:pt idx="227">
                  <c:v>0.15311429221260683</c:v>
                </c:pt>
                <c:pt idx="228">
                  <c:v>0.16842572143386753</c:v>
                </c:pt>
                <c:pt idx="229">
                  <c:v>0.16948500270074718</c:v>
                </c:pt>
                <c:pt idx="230">
                  <c:v>0.16211608953984516</c:v>
                </c:pt>
                <c:pt idx="231">
                  <c:v>0.15504025815238806</c:v>
                </c:pt>
                <c:pt idx="232">
                  <c:v>0.16034077979862352</c:v>
                </c:pt>
                <c:pt idx="233">
                  <c:v>0.14086859832683371</c:v>
                </c:pt>
                <c:pt idx="234">
                  <c:v>0.15073740567581334</c:v>
                </c:pt>
                <c:pt idx="235">
                  <c:v>0.16373200961338347</c:v>
                </c:pt>
                <c:pt idx="236">
                  <c:v>0.14476843980688825</c:v>
                </c:pt>
                <c:pt idx="237">
                  <c:v>0.15889219003195049</c:v>
                </c:pt>
                <c:pt idx="238">
                  <c:v>0.14789196149127698</c:v>
                </c:pt>
                <c:pt idx="239">
                  <c:v>0.16254181456489727</c:v>
                </c:pt>
                <c:pt idx="240">
                  <c:v>0.15725590189612013</c:v>
                </c:pt>
                <c:pt idx="241">
                  <c:v>0.16254181456489727</c:v>
                </c:pt>
                <c:pt idx="242">
                  <c:v>0.15322044781558691</c:v>
                </c:pt>
                <c:pt idx="243">
                  <c:v>0.15915055131655528</c:v>
                </c:pt>
                <c:pt idx="244">
                  <c:v>0.16731211805073756</c:v>
                </c:pt>
                <c:pt idx="245">
                  <c:v>0.15032090649842034</c:v>
                </c:pt>
                <c:pt idx="246">
                  <c:v>0.16467008785129414</c:v>
                </c:pt>
                <c:pt idx="247">
                  <c:v>0.15183031491941937</c:v>
                </c:pt>
                <c:pt idx="248">
                  <c:v>0.16427542269969964</c:v>
                </c:pt>
                <c:pt idx="249">
                  <c:v>0.18325565917018288</c:v>
                </c:pt>
                <c:pt idx="250">
                  <c:v>0.15964286179588094</c:v>
                </c:pt>
                <c:pt idx="251">
                  <c:v>0.17037515502585615</c:v>
                </c:pt>
                <c:pt idx="252">
                  <c:v>0.16483449957786084</c:v>
                </c:pt>
                <c:pt idx="253">
                  <c:v>0.17135432258347602</c:v>
                </c:pt>
                <c:pt idx="254">
                  <c:v>0.16809578136713449</c:v>
                </c:pt>
                <c:pt idx="255">
                  <c:v>0.16021629161555007</c:v>
                </c:pt>
                <c:pt idx="256">
                  <c:v>0.17527936176743936</c:v>
                </c:pt>
                <c:pt idx="257">
                  <c:v>0.13935274504153497</c:v>
                </c:pt>
                <c:pt idx="258">
                  <c:v>0.17141096864052843</c:v>
                </c:pt>
                <c:pt idx="259">
                  <c:v>0.15594531733461608</c:v>
                </c:pt>
                <c:pt idx="260">
                  <c:v>0.1767563402106839</c:v>
                </c:pt>
                <c:pt idx="261">
                  <c:v>0.16957112312894881</c:v>
                </c:pt>
                <c:pt idx="262">
                  <c:v>0.14875013534906004</c:v>
                </c:pt>
                <c:pt idx="263">
                  <c:v>0.16779015267373973</c:v>
                </c:pt>
                <c:pt idx="264">
                  <c:v>0.18500254406644062</c:v>
                </c:pt>
                <c:pt idx="265">
                  <c:v>0.17526290052009083</c:v>
                </c:pt>
                <c:pt idx="266">
                  <c:v>0.16065765881008329</c:v>
                </c:pt>
                <c:pt idx="267">
                  <c:v>0.16032580377659969</c:v>
                </c:pt>
                <c:pt idx="268">
                  <c:v>0.17196235405070776</c:v>
                </c:pt>
                <c:pt idx="269">
                  <c:v>0.16881773891058677</c:v>
                </c:pt>
                <c:pt idx="270">
                  <c:v>0.17290203904552034</c:v>
                </c:pt>
                <c:pt idx="271">
                  <c:v>0.16086846105224839</c:v>
                </c:pt>
                <c:pt idx="272">
                  <c:v>0.15967684282223171</c:v>
                </c:pt>
                <c:pt idx="273">
                  <c:v>0.16544194443021412</c:v>
                </c:pt>
                <c:pt idx="274">
                  <c:v>0.18060745600298372</c:v>
                </c:pt>
                <c:pt idx="275">
                  <c:v>0.17572109402995817</c:v>
                </c:pt>
                <c:pt idx="276">
                  <c:v>0.16633141724973138</c:v>
                </c:pt>
                <c:pt idx="277">
                  <c:v>0.16226619703015982</c:v>
                </c:pt>
                <c:pt idx="278">
                  <c:v>0.18254947165892979</c:v>
                </c:pt>
                <c:pt idx="279">
                  <c:v>0.17340517746793968</c:v>
                </c:pt>
                <c:pt idx="280">
                  <c:v>0.1664584847953767</c:v>
                </c:pt>
                <c:pt idx="281">
                  <c:v>0.1716199881998845</c:v>
                </c:pt>
                <c:pt idx="282">
                  <c:v>0.15243492751467033</c:v>
                </c:pt>
                <c:pt idx="283">
                  <c:v>0.18041951900402123</c:v>
                </c:pt>
                <c:pt idx="284">
                  <c:v>0.15014778762750761</c:v>
                </c:pt>
                <c:pt idx="285">
                  <c:v>0.17342651439146223</c:v>
                </c:pt>
                <c:pt idx="286">
                  <c:v>0.1784804864750428</c:v>
                </c:pt>
                <c:pt idx="287">
                  <c:v>0.16869449429262801</c:v>
                </c:pt>
                <c:pt idx="288">
                  <c:v>0.17255772698635233</c:v>
                </c:pt>
                <c:pt idx="289">
                  <c:v>0.17213320586794639</c:v>
                </c:pt>
                <c:pt idx="290">
                  <c:v>0.16830802351532534</c:v>
                </c:pt>
                <c:pt idx="291">
                  <c:v>0.19191684129349315</c:v>
                </c:pt>
                <c:pt idx="292">
                  <c:v>0.15970702177570409</c:v>
                </c:pt>
                <c:pt idx="293">
                  <c:v>0.17703956677461771</c:v>
                </c:pt>
                <c:pt idx="294">
                  <c:v>0.16878400774472391</c:v>
                </c:pt>
                <c:pt idx="295">
                  <c:v>0.17217273128835234</c:v>
                </c:pt>
                <c:pt idx="296">
                  <c:v>0.17089737772325342</c:v>
                </c:pt>
                <c:pt idx="297">
                  <c:v>0.17176049579256275</c:v>
                </c:pt>
                <c:pt idx="298">
                  <c:v>0.17176049579256275</c:v>
                </c:pt>
                <c:pt idx="299">
                  <c:v>0.19583351152397258</c:v>
                </c:pt>
                <c:pt idx="300">
                  <c:v>0.18297428758366799</c:v>
                </c:pt>
                <c:pt idx="301">
                  <c:v>0.18441503000558665</c:v>
                </c:pt>
                <c:pt idx="302">
                  <c:v>0.18533251771705722</c:v>
                </c:pt>
                <c:pt idx="303">
                  <c:v>0.18388460742239271</c:v>
                </c:pt>
                <c:pt idx="304">
                  <c:v>0.16541084398197922</c:v>
                </c:pt>
                <c:pt idx="305">
                  <c:v>0.17919508098047751</c:v>
                </c:pt>
                <c:pt idx="306">
                  <c:v>0.1948382920391786</c:v>
                </c:pt>
                <c:pt idx="307">
                  <c:v>0.18716749313999836</c:v>
                </c:pt>
                <c:pt idx="308">
                  <c:v>0.17309269976910546</c:v>
                </c:pt>
                <c:pt idx="309">
                  <c:v>0.18516893463671746</c:v>
                </c:pt>
                <c:pt idx="310">
                  <c:v>0.17520666793790743</c:v>
                </c:pt>
                <c:pt idx="311">
                  <c:v>0.19514889030482377</c:v>
                </c:pt>
                <c:pt idx="312">
                  <c:v>0.16187808353590663</c:v>
                </c:pt>
                <c:pt idx="313">
                  <c:v>0.18135213869812095</c:v>
                </c:pt>
                <c:pt idx="314">
                  <c:v>0.1769077035489551</c:v>
                </c:pt>
                <c:pt idx="315">
                  <c:v>0.17952855841634704</c:v>
                </c:pt>
                <c:pt idx="316">
                  <c:v>0.19175493169735131</c:v>
                </c:pt>
                <c:pt idx="317">
                  <c:v>0.19175493169735131</c:v>
                </c:pt>
                <c:pt idx="318">
                  <c:v>0.18398043056331109</c:v>
                </c:pt>
                <c:pt idx="319">
                  <c:v>0.28171350831998482</c:v>
                </c:pt>
                <c:pt idx="320">
                  <c:v>0.11697609927612605</c:v>
                </c:pt>
                <c:pt idx="321">
                  <c:v>0.20876668301420165</c:v>
                </c:pt>
                <c:pt idx="322">
                  <c:v>0.20957585620417912</c:v>
                </c:pt>
                <c:pt idx="323">
                  <c:v>0.18817046107303456</c:v>
                </c:pt>
                <c:pt idx="324">
                  <c:v>0.18586162105986848</c:v>
                </c:pt>
                <c:pt idx="325">
                  <c:v>0.20410714880614314</c:v>
                </c:pt>
                <c:pt idx="326">
                  <c:v>0.192480792228578</c:v>
                </c:pt>
                <c:pt idx="327">
                  <c:v>0.20688411681711105</c:v>
                </c:pt>
                <c:pt idx="328">
                  <c:v>0.18844744513254377</c:v>
                </c:pt>
                <c:pt idx="329">
                  <c:v>0.18460847620981238</c:v>
                </c:pt>
                <c:pt idx="330">
                  <c:v>0.22046767662466801</c:v>
                </c:pt>
                <c:pt idx="331">
                  <c:v>0.19519112771228567</c:v>
                </c:pt>
                <c:pt idx="332">
                  <c:v>0.19225954993866007</c:v>
                </c:pt>
                <c:pt idx="333">
                  <c:v>0.19593329930054529</c:v>
                </c:pt>
                <c:pt idx="334">
                  <c:v>0.21593041209470196</c:v>
                </c:pt>
                <c:pt idx="335">
                  <c:v>0.1784858319626727</c:v>
                </c:pt>
                <c:pt idx="336">
                  <c:v>0.2044903902618701</c:v>
                </c:pt>
                <c:pt idx="337">
                  <c:v>0.1999649668961235</c:v>
                </c:pt>
                <c:pt idx="338">
                  <c:v>0.1833998217094624</c:v>
                </c:pt>
                <c:pt idx="339">
                  <c:v>0.20958128689672936</c:v>
                </c:pt>
                <c:pt idx="340">
                  <c:v>0.21837490732596274</c:v>
                </c:pt>
                <c:pt idx="341">
                  <c:v>0.18329902156122474</c:v>
                </c:pt>
                <c:pt idx="342">
                  <c:v>0.17286073421058351</c:v>
                </c:pt>
                <c:pt idx="343">
                  <c:v>0.20297195887952388</c:v>
                </c:pt>
                <c:pt idx="344">
                  <c:v>0.21481071133117657</c:v>
                </c:pt>
                <c:pt idx="345">
                  <c:v>0.1980855969064983</c:v>
                </c:pt>
                <c:pt idx="346">
                  <c:v>0.19443984972417011</c:v>
                </c:pt>
                <c:pt idx="347">
                  <c:v>0.20522720286707413</c:v>
                </c:pt>
                <c:pt idx="348">
                  <c:v>0.19830271666927485</c:v>
                </c:pt>
                <c:pt idx="349">
                  <c:v>0.22171345405384202</c:v>
                </c:pt>
                <c:pt idx="350">
                  <c:v>0.167765750382775</c:v>
                </c:pt>
                <c:pt idx="351">
                  <c:v>0.18917517213215754</c:v>
                </c:pt>
                <c:pt idx="352">
                  <c:v>0.19923642099891078</c:v>
                </c:pt>
                <c:pt idx="353">
                  <c:v>0.18765290815013691</c:v>
                </c:pt>
                <c:pt idx="354">
                  <c:v>0.19396898886934313</c:v>
                </c:pt>
                <c:pt idx="355">
                  <c:v>0.19167349787680654</c:v>
                </c:pt>
                <c:pt idx="356">
                  <c:v>0.19236297089075188</c:v>
                </c:pt>
                <c:pt idx="357">
                  <c:v>0.20914014756342203</c:v>
                </c:pt>
                <c:pt idx="358">
                  <c:v>0.21261288285227656</c:v>
                </c:pt>
                <c:pt idx="359">
                  <c:v>0.19374191691864256</c:v>
                </c:pt>
                <c:pt idx="360">
                  <c:v>0.22506099245621483</c:v>
                </c:pt>
                <c:pt idx="361">
                  <c:v>0.19914487817337798</c:v>
                </c:pt>
                <c:pt idx="362">
                  <c:v>0.18843100478836639</c:v>
                </c:pt>
                <c:pt idx="363">
                  <c:v>0.20427127640321535</c:v>
                </c:pt>
                <c:pt idx="364">
                  <c:v>0.16713104432990347</c:v>
                </c:pt>
                <c:pt idx="365">
                  <c:v>0.18552216601495897</c:v>
                </c:pt>
                <c:pt idx="366">
                  <c:v>0.19374993404671173</c:v>
                </c:pt>
                <c:pt idx="367">
                  <c:v>0.21715265971033235</c:v>
                </c:pt>
                <c:pt idx="368">
                  <c:v>0.20145487708066981</c:v>
                </c:pt>
                <c:pt idx="369">
                  <c:v>0.19510482869039503</c:v>
                </c:pt>
                <c:pt idx="370">
                  <c:v>0.1992577010302054</c:v>
                </c:pt>
                <c:pt idx="371">
                  <c:v>0.20533263093966286</c:v>
                </c:pt>
                <c:pt idx="372">
                  <c:v>0.19156832402722165</c:v>
                </c:pt>
                <c:pt idx="373">
                  <c:v>0.17660204871259497</c:v>
                </c:pt>
                <c:pt idx="374">
                  <c:v>0.22384285718536187</c:v>
                </c:pt>
                <c:pt idx="375">
                  <c:v>0.21337897019707353</c:v>
                </c:pt>
                <c:pt idx="376">
                  <c:v>0.18926605619275433</c:v>
                </c:pt>
                <c:pt idx="377">
                  <c:v>0.23789691785339259</c:v>
                </c:pt>
                <c:pt idx="378">
                  <c:v>0.20583040185775622</c:v>
                </c:pt>
                <c:pt idx="379">
                  <c:v>0.21159630705277332</c:v>
                </c:pt>
                <c:pt idx="380">
                  <c:v>0.20169706461755588</c:v>
                </c:pt>
                <c:pt idx="381">
                  <c:v>0.21494856514881255</c:v>
                </c:pt>
                <c:pt idx="382">
                  <c:v>0.20722586220933428</c:v>
                </c:pt>
                <c:pt idx="383">
                  <c:v>0.18372084618156392</c:v>
                </c:pt>
                <c:pt idx="384">
                  <c:v>0.19038120692717131</c:v>
                </c:pt>
                <c:pt idx="385">
                  <c:v>0.22698884290278637</c:v>
                </c:pt>
                <c:pt idx="386">
                  <c:v>0.19749311755383675</c:v>
                </c:pt>
                <c:pt idx="387">
                  <c:v>0.21649878238509795</c:v>
                </c:pt>
                <c:pt idx="388">
                  <c:v>0.20946026003418236</c:v>
                </c:pt>
                <c:pt idx="389">
                  <c:v>0.19658840047900911</c:v>
                </c:pt>
                <c:pt idx="390">
                  <c:v>0.20526653851801976</c:v>
                </c:pt>
                <c:pt idx="391">
                  <c:v>0.20768143897117297</c:v>
                </c:pt>
                <c:pt idx="392">
                  <c:v>0.20357681358882854</c:v>
                </c:pt>
                <c:pt idx="393">
                  <c:v>0.19147224629435766</c:v>
                </c:pt>
                <c:pt idx="394">
                  <c:v>0.21408967773381282</c:v>
                </c:pt>
                <c:pt idx="395">
                  <c:v>0.21609337844345269</c:v>
                </c:pt>
                <c:pt idx="396">
                  <c:v>0.20031127777061622</c:v>
                </c:pt>
                <c:pt idx="397">
                  <c:v>0.21812151452760031</c:v>
                </c:pt>
                <c:pt idx="398">
                  <c:v>0.22017453571707496</c:v>
                </c:pt>
                <c:pt idx="399">
                  <c:v>0.20933122244906968</c:v>
                </c:pt>
                <c:pt idx="400">
                  <c:v>0.2250310641327499</c:v>
                </c:pt>
                <c:pt idx="401">
                  <c:v>0.21759934458190811</c:v>
                </c:pt>
                <c:pt idx="402">
                  <c:v>0.21759934458190811</c:v>
                </c:pt>
                <c:pt idx="403">
                  <c:v>0.21830127795152718</c:v>
                </c:pt>
                <c:pt idx="404">
                  <c:v>0.21511558035094835</c:v>
                </c:pt>
                <c:pt idx="405">
                  <c:v>0.20960375872797146</c:v>
                </c:pt>
                <c:pt idx="406">
                  <c:v>0.20788394862513523</c:v>
                </c:pt>
                <c:pt idx="407">
                  <c:v>0.21847676129393193</c:v>
                </c:pt>
                <c:pt idx="408">
                  <c:v>0.22517850243791757</c:v>
                </c:pt>
                <c:pt idx="409">
                  <c:v>0.20342882230241618</c:v>
                </c:pt>
                <c:pt idx="410">
                  <c:v>0.21986391533389341</c:v>
                </c:pt>
                <c:pt idx="411">
                  <c:v>0.21053215179233439</c:v>
                </c:pt>
                <c:pt idx="412">
                  <c:v>0.21925241843462046</c:v>
                </c:pt>
                <c:pt idx="413">
                  <c:v>0.21119420258413421</c:v>
                </c:pt>
                <c:pt idx="414">
                  <c:v>0.19666761722120435</c:v>
                </c:pt>
                <c:pt idx="415">
                  <c:v>0.19420156559460619</c:v>
                </c:pt>
                <c:pt idx="416">
                  <c:v>0.21251830416773376</c:v>
                </c:pt>
                <c:pt idx="417">
                  <c:v>0.20001722745198472</c:v>
                </c:pt>
                <c:pt idx="418">
                  <c:v>0.23897925141960452</c:v>
                </c:pt>
                <c:pt idx="419">
                  <c:v>0.1995730982599889</c:v>
                </c:pt>
                <c:pt idx="420">
                  <c:v>0.21755065556205011</c:v>
                </c:pt>
                <c:pt idx="421">
                  <c:v>0.21090940978542702</c:v>
                </c:pt>
                <c:pt idx="422">
                  <c:v>0.22676230713142637</c:v>
                </c:pt>
                <c:pt idx="423">
                  <c:v>0.21274890612892247</c:v>
                </c:pt>
                <c:pt idx="424">
                  <c:v>0.22476820254618318</c:v>
                </c:pt>
                <c:pt idx="425">
                  <c:v>0.1964038513900089</c:v>
                </c:pt>
                <c:pt idx="426">
                  <c:v>0.21405813016663891</c:v>
                </c:pt>
                <c:pt idx="427">
                  <c:v>0.2159258085255282</c:v>
                </c:pt>
                <c:pt idx="428">
                  <c:v>0.22288016888590267</c:v>
                </c:pt>
                <c:pt idx="429">
                  <c:v>0.21011972670891815</c:v>
                </c:pt>
                <c:pt idx="430">
                  <c:v>0.22423506352958594</c:v>
                </c:pt>
                <c:pt idx="431">
                  <c:v>0.20687140035532381</c:v>
                </c:pt>
                <c:pt idx="432">
                  <c:v>0.21319490552638631</c:v>
                </c:pt>
                <c:pt idx="433">
                  <c:v>0.21319490552638631</c:v>
                </c:pt>
                <c:pt idx="434">
                  <c:v>0.213835130467907</c:v>
                </c:pt>
                <c:pt idx="435">
                  <c:v>0.23234830169354667</c:v>
                </c:pt>
                <c:pt idx="436">
                  <c:v>0.22244906604473066</c:v>
                </c:pt>
                <c:pt idx="437">
                  <c:v>0.22895342470100938</c:v>
                </c:pt>
                <c:pt idx="438">
                  <c:v>0.23031624270518203</c:v>
                </c:pt>
                <c:pt idx="439">
                  <c:v>0.23512260977346963</c:v>
                </c:pt>
                <c:pt idx="440">
                  <c:v>0.26588670725704466</c:v>
                </c:pt>
                <c:pt idx="441">
                  <c:v>0.2357997707693088</c:v>
                </c:pt>
                <c:pt idx="442">
                  <c:v>0.22708342158732922</c:v>
                </c:pt>
                <c:pt idx="443">
                  <c:v>0.21208043988744293</c:v>
                </c:pt>
                <c:pt idx="444">
                  <c:v>0.23371932603536905</c:v>
                </c:pt>
                <c:pt idx="445">
                  <c:v>0.26979680589317773</c:v>
                </c:pt>
                <c:pt idx="446">
                  <c:v>0.22777539557875839</c:v>
                </c:pt>
                <c:pt idx="447">
                  <c:v>0.21855549165836219</c:v>
                </c:pt>
                <c:pt idx="448">
                  <c:v>0.2343889415962645</c:v>
                </c:pt>
                <c:pt idx="449">
                  <c:v>0.21290998866759445</c:v>
                </c:pt>
                <c:pt idx="450">
                  <c:v>0.21863337545973408</c:v>
                </c:pt>
                <c:pt idx="451">
                  <c:v>0.22164309116775702</c:v>
                </c:pt>
                <c:pt idx="452">
                  <c:v>0.2175470729480003</c:v>
                </c:pt>
                <c:pt idx="453">
                  <c:v>0.23237982792172759</c:v>
                </c:pt>
                <c:pt idx="454">
                  <c:v>0.22290962311728704</c:v>
                </c:pt>
                <c:pt idx="455">
                  <c:v>0.23238356832168125</c:v>
                </c:pt>
                <c:pt idx="456">
                  <c:v>0.22113920211256766</c:v>
                </c:pt>
                <c:pt idx="457">
                  <c:v>0.22789178194637766</c:v>
                </c:pt>
                <c:pt idx="458">
                  <c:v>0.20376814518054734</c:v>
                </c:pt>
                <c:pt idx="459">
                  <c:v>0.22667461426780261</c:v>
                </c:pt>
                <c:pt idx="460">
                  <c:v>0.26590675904492228</c:v>
                </c:pt>
                <c:pt idx="461">
                  <c:v>0.21840050413466705</c:v>
                </c:pt>
                <c:pt idx="462">
                  <c:v>0.24978740293246349</c:v>
                </c:pt>
                <c:pt idx="463">
                  <c:v>0.24462583174899519</c:v>
                </c:pt>
                <c:pt idx="464">
                  <c:v>0.22674344955910772</c:v>
                </c:pt>
                <c:pt idx="465">
                  <c:v>0.21908364118641513</c:v>
                </c:pt>
                <c:pt idx="466">
                  <c:v>0.25339794643248015</c:v>
                </c:pt>
                <c:pt idx="467">
                  <c:v>0.22800313538999165</c:v>
                </c:pt>
                <c:pt idx="468">
                  <c:v>0.22029740097138137</c:v>
                </c:pt>
                <c:pt idx="469">
                  <c:v>0.22618770581018835</c:v>
                </c:pt>
                <c:pt idx="470">
                  <c:v>0.20689571671152188</c:v>
                </c:pt>
                <c:pt idx="471">
                  <c:v>0.24583897609953032</c:v>
                </c:pt>
                <c:pt idx="472">
                  <c:v>0.22096716997189386</c:v>
                </c:pt>
                <c:pt idx="473">
                  <c:v>0.22990959539748537</c:v>
                </c:pt>
                <c:pt idx="474">
                  <c:v>0.24862316711588534</c:v>
                </c:pt>
                <c:pt idx="475">
                  <c:v>0.21766348062583268</c:v>
                </c:pt>
                <c:pt idx="476">
                  <c:v>0.23886792568136556</c:v>
                </c:pt>
                <c:pt idx="477">
                  <c:v>0.24085333833520986</c:v>
                </c:pt>
                <c:pt idx="478">
                  <c:v>0.22690919769475035</c:v>
                </c:pt>
                <c:pt idx="479">
                  <c:v>0.247024391436339</c:v>
                </c:pt>
                <c:pt idx="480">
                  <c:v>0.23430156454441131</c:v>
                </c:pt>
                <c:pt idx="481">
                  <c:v>0.21201127014669685</c:v>
                </c:pt>
                <c:pt idx="482">
                  <c:v>0.22874900200038345</c:v>
                </c:pt>
                <c:pt idx="483">
                  <c:v>0.22697307978869596</c:v>
                </c:pt>
                <c:pt idx="484">
                  <c:v>0.24008435307025486</c:v>
                </c:pt>
                <c:pt idx="485">
                  <c:v>0.24893109771672245</c:v>
                </c:pt>
                <c:pt idx="486">
                  <c:v>0.22818683957366226</c:v>
                </c:pt>
                <c:pt idx="487">
                  <c:v>0.24541002311452464</c:v>
                </c:pt>
                <c:pt idx="488">
                  <c:v>0.20973769084217467</c:v>
                </c:pt>
                <c:pt idx="489">
                  <c:v>0.24949963850968046</c:v>
                </c:pt>
                <c:pt idx="490">
                  <c:v>0.25675253497798511</c:v>
                </c:pt>
                <c:pt idx="491">
                  <c:v>0.25893542079280824</c:v>
                </c:pt>
                <c:pt idx="492">
                  <c:v>0.22308782861772344</c:v>
                </c:pt>
                <c:pt idx="493">
                  <c:v>0.25224135167572143</c:v>
                </c:pt>
                <c:pt idx="494">
                  <c:v>0.24190760236023767</c:v>
                </c:pt>
                <c:pt idx="495">
                  <c:v>0.23612444324677509</c:v>
                </c:pt>
                <c:pt idx="496">
                  <c:v>0.25344950086075718</c:v>
                </c:pt>
                <c:pt idx="497">
                  <c:v>0.24922534251307787</c:v>
                </c:pt>
                <c:pt idx="498">
                  <c:v>0.22488541295855394</c:v>
                </c:pt>
                <c:pt idx="499">
                  <c:v>0.25621365642652016</c:v>
                </c:pt>
                <c:pt idx="500">
                  <c:v>0.24176537149959523</c:v>
                </c:pt>
                <c:pt idx="501">
                  <c:v>0.23607627817594315</c:v>
                </c:pt>
                <c:pt idx="502">
                  <c:v>0.24832331338326691</c:v>
                </c:pt>
                <c:pt idx="503">
                  <c:v>0.23792233690648087</c:v>
                </c:pt>
                <c:pt idx="504">
                  <c:v>0.25171097949444537</c:v>
                </c:pt>
                <c:pt idx="505">
                  <c:v>0.24959676627241187</c:v>
                </c:pt>
                <c:pt idx="506">
                  <c:v>0.24824026210788788</c:v>
                </c:pt>
                <c:pt idx="507">
                  <c:v>0.23726802677309911</c:v>
                </c:pt>
                <c:pt idx="508">
                  <c:v>0.23543205182853791</c:v>
                </c:pt>
                <c:pt idx="509">
                  <c:v>0.24097262327707675</c:v>
                </c:pt>
                <c:pt idx="510">
                  <c:v>0.23907923308434414</c:v>
                </c:pt>
                <c:pt idx="511">
                  <c:v>0.22733006796074484</c:v>
                </c:pt>
                <c:pt idx="512">
                  <c:v>0.25686107626159516</c:v>
                </c:pt>
                <c:pt idx="513">
                  <c:v>0.27578920557813891</c:v>
                </c:pt>
                <c:pt idx="514">
                  <c:v>0.24275195699325769</c:v>
                </c:pt>
                <c:pt idx="515">
                  <c:v>0.23839233001052162</c:v>
                </c:pt>
                <c:pt idx="516">
                  <c:v>0.24145060629597426</c:v>
                </c:pt>
                <c:pt idx="517">
                  <c:v>0.26680646909531686</c:v>
                </c:pt>
                <c:pt idx="518">
                  <c:v>0.26298580726331022</c:v>
                </c:pt>
                <c:pt idx="519">
                  <c:v>0.21647238733710686</c:v>
                </c:pt>
                <c:pt idx="520">
                  <c:v>0.23595490219744644</c:v>
                </c:pt>
                <c:pt idx="521">
                  <c:v>0.22420616767225626</c:v>
                </c:pt>
                <c:pt idx="522">
                  <c:v>0.26201117302874488</c:v>
                </c:pt>
                <c:pt idx="523">
                  <c:v>0.24632405832932425</c:v>
                </c:pt>
                <c:pt idx="524">
                  <c:v>0.2419140314564282</c:v>
                </c:pt>
                <c:pt idx="525">
                  <c:v>0.26105784227471646</c:v>
                </c:pt>
                <c:pt idx="526">
                  <c:v>0.24753152920348762</c:v>
                </c:pt>
                <c:pt idx="527">
                  <c:v>0.23475542193936216</c:v>
                </c:pt>
                <c:pt idx="528">
                  <c:v>0.24123933173360121</c:v>
                </c:pt>
                <c:pt idx="529">
                  <c:v>0.25064139559553861</c:v>
                </c:pt>
                <c:pt idx="530">
                  <c:v>0.23999835270497594</c:v>
                </c:pt>
                <c:pt idx="531">
                  <c:v>0.2424103964507546</c:v>
                </c:pt>
                <c:pt idx="532">
                  <c:v>0.26280537952748334</c:v>
                </c:pt>
                <c:pt idx="533">
                  <c:v>0.25115394182597772</c:v>
                </c:pt>
                <c:pt idx="534">
                  <c:v>0.24664584625264191</c:v>
                </c:pt>
                <c:pt idx="535">
                  <c:v>0.27058751472848458</c:v>
                </c:pt>
                <c:pt idx="536">
                  <c:v>0.23875368946630995</c:v>
                </c:pt>
                <c:pt idx="537">
                  <c:v>0.23029374335133959</c:v>
                </c:pt>
                <c:pt idx="538">
                  <c:v>0.24842027680122208</c:v>
                </c:pt>
                <c:pt idx="539">
                  <c:v>0.2416518003408745</c:v>
                </c:pt>
                <c:pt idx="540">
                  <c:v>0.23527194453853723</c:v>
                </c:pt>
                <c:pt idx="541">
                  <c:v>0.22764739078034385</c:v>
                </c:pt>
                <c:pt idx="542">
                  <c:v>0.24521570819856242</c:v>
                </c:pt>
                <c:pt idx="543">
                  <c:v>0.22559305154003564</c:v>
                </c:pt>
                <c:pt idx="544">
                  <c:v>0.2341463425936863</c:v>
                </c:pt>
                <c:pt idx="545">
                  <c:v>0.22407872953223787</c:v>
                </c:pt>
                <c:pt idx="546">
                  <c:v>0.27511888459235867</c:v>
                </c:pt>
                <c:pt idx="547">
                  <c:v>0.25719129619679443</c:v>
                </c:pt>
                <c:pt idx="548">
                  <c:v>0.2604944560488906</c:v>
                </c:pt>
                <c:pt idx="549">
                  <c:v>0.25187354568027709</c:v>
                </c:pt>
                <c:pt idx="550">
                  <c:v>0.27020261072460339</c:v>
                </c:pt>
                <c:pt idx="551">
                  <c:v>0.25960623794512117</c:v>
                </c:pt>
                <c:pt idx="552">
                  <c:v>0.24803962338320984</c:v>
                </c:pt>
                <c:pt idx="553">
                  <c:v>0.24497817006226902</c:v>
                </c:pt>
                <c:pt idx="554">
                  <c:v>0.24861645971665919</c:v>
                </c:pt>
                <c:pt idx="555">
                  <c:v>0.24675022452020548</c:v>
                </c:pt>
                <c:pt idx="556">
                  <c:v>0.25481599364383173</c:v>
                </c:pt>
                <c:pt idx="557">
                  <c:v>0.25159247602405693</c:v>
                </c:pt>
                <c:pt idx="558">
                  <c:v>0.27335182530181318</c:v>
                </c:pt>
                <c:pt idx="559">
                  <c:v>0.25470657598086538</c:v>
                </c:pt>
                <c:pt idx="560">
                  <c:v>0.27167448962325652</c:v>
                </c:pt>
                <c:pt idx="561">
                  <c:v>0.27167448962325652</c:v>
                </c:pt>
                <c:pt idx="562">
                  <c:v>0.23040565836608928</c:v>
                </c:pt>
                <c:pt idx="563">
                  <c:v>0.25017731097187501</c:v>
                </c:pt>
                <c:pt idx="564">
                  <c:v>0.26232149937240645</c:v>
                </c:pt>
                <c:pt idx="565">
                  <c:v>0.25763423777374889</c:v>
                </c:pt>
                <c:pt idx="566">
                  <c:v>0.26427429544833003</c:v>
                </c:pt>
                <c:pt idx="567">
                  <c:v>0.2648749188470762</c:v>
                </c:pt>
                <c:pt idx="568">
                  <c:v>0.2696453151606783</c:v>
                </c:pt>
                <c:pt idx="569">
                  <c:v>0.26607616564456865</c:v>
                </c:pt>
                <c:pt idx="570">
                  <c:v>0.2858303705768126</c:v>
                </c:pt>
                <c:pt idx="571">
                  <c:v>0.2811700927956689</c:v>
                </c:pt>
                <c:pt idx="572">
                  <c:v>0.29130234839190922</c:v>
                </c:pt>
                <c:pt idx="573">
                  <c:v>0.26246635834907378</c:v>
                </c:pt>
                <c:pt idx="574">
                  <c:v>0.25283912569161832</c:v>
                </c:pt>
                <c:pt idx="575">
                  <c:v>0.26847865923955344</c:v>
                </c:pt>
                <c:pt idx="576">
                  <c:v>0.23514135509833395</c:v>
                </c:pt>
                <c:pt idx="577">
                  <c:v>0.2906550098399272</c:v>
                </c:pt>
                <c:pt idx="578">
                  <c:v>0.25520927693261902</c:v>
                </c:pt>
                <c:pt idx="579">
                  <c:v>0.25829764882041212</c:v>
                </c:pt>
                <c:pt idx="580">
                  <c:v>0.26675605913655037</c:v>
                </c:pt>
                <c:pt idx="581">
                  <c:v>0.27719718204872207</c:v>
                </c:pt>
                <c:pt idx="582">
                  <c:v>0.25443219608336809</c:v>
                </c:pt>
                <c:pt idx="583">
                  <c:v>0.25135231204101882</c:v>
                </c:pt>
                <c:pt idx="584">
                  <c:v>0.26188369538599365</c:v>
                </c:pt>
                <c:pt idx="585">
                  <c:v>0.2573642107151819</c:v>
                </c:pt>
                <c:pt idx="586">
                  <c:v>0.2573642107151819</c:v>
                </c:pt>
                <c:pt idx="587">
                  <c:v>0.27818611699834689</c:v>
                </c:pt>
                <c:pt idx="588">
                  <c:v>0.28783821235697837</c:v>
                </c:pt>
                <c:pt idx="589">
                  <c:v>0.26952823346160493</c:v>
                </c:pt>
                <c:pt idx="590">
                  <c:v>0.26952823346160493</c:v>
                </c:pt>
                <c:pt idx="591">
                  <c:v>0.27771830105757145</c:v>
                </c:pt>
                <c:pt idx="592">
                  <c:v>0.26461159134713336</c:v>
                </c:pt>
                <c:pt idx="593">
                  <c:v>0.28184646064306196</c:v>
                </c:pt>
                <c:pt idx="594">
                  <c:v>0.29004943506549247</c:v>
                </c:pt>
                <c:pt idx="595">
                  <c:v>0.26633357567260274</c:v>
                </c:pt>
                <c:pt idx="596">
                  <c:v>0.28306657519130035</c:v>
                </c:pt>
                <c:pt idx="597">
                  <c:v>0.27503673502992443</c:v>
                </c:pt>
                <c:pt idx="598">
                  <c:v>0.25612621575590516</c:v>
                </c:pt>
                <c:pt idx="599">
                  <c:v>0.26805555999807212</c:v>
                </c:pt>
                <c:pt idx="600">
                  <c:v>0.28639620357688761</c:v>
                </c:pt>
                <c:pt idx="601">
                  <c:v>0.27822346744370108</c:v>
                </c:pt>
                <c:pt idx="602">
                  <c:v>0.24236355386206851</c:v>
                </c:pt>
                <c:pt idx="603">
                  <c:v>0.25536598391739329</c:v>
                </c:pt>
                <c:pt idx="604">
                  <c:v>0.27740264242803131</c:v>
                </c:pt>
                <c:pt idx="605">
                  <c:v>0.25121486925540792</c:v>
                </c:pt>
                <c:pt idx="606">
                  <c:v>0.24780471265918069</c:v>
                </c:pt>
                <c:pt idx="607">
                  <c:v>0.26259025089490767</c:v>
                </c:pt>
                <c:pt idx="608">
                  <c:v>0.26133982112874143</c:v>
                </c:pt>
                <c:pt idx="609">
                  <c:v>0.27362131033031073</c:v>
                </c:pt>
                <c:pt idx="610">
                  <c:v>0.2460464478381662</c:v>
                </c:pt>
                <c:pt idx="611">
                  <c:v>0.26885075275975234</c:v>
                </c:pt>
                <c:pt idx="612">
                  <c:v>0.27073982968189209</c:v>
                </c:pt>
                <c:pt idx="613">
                  <c:v>0.26681606403432845</c:v>
                </c:pt>
                <c:pt idx="614">
                  <c:v>0.26609349131953247</c:v>
                </c:pt>
                <c:pt idx="615">
                  <c:v>0.2787134026825101</c:v>
                </c:pt>
                <c:pt idx="616">
                  <c:v>0.25677762561953477</c:v>
                </c:pt>
                <c:pt idx="617">
                  <c:v>0.27245337290772692</c:v>
                </c:pt>
                <c:pt idx="618">
                  <c:v>0.27709954732603503</c:v>
                </c:pt>
                <c:pt idx="619">
                  <c:v>0.30602752204688488</c:v>
                </c:pt>
                <c:pt idx="620">
                  <c:v>0.27359573505828338</c:v>
                </c:pt>
                <c:pt idx="621">
                  <c:v>0.25485630115018176</c:v>
                </c:pt>
                <c:pt idx="622">
                  <c:v>0.2301648184824962</c:v>
                </c:pt>
                <c:pt idx="623">
                  <c:v>0.24857800396109586</c:v>
                </c:pt>
                <c:pt idx="624">
                  <c:v>0.25709436619542819</c:v>
                </c:pt>
                <c:pt idx="625">
                  <c:v>0.26617579511829437</c:v>
                </c:pt>
                <c:pt idx="626">
                  <c:v>0.26672802705837378</c:v>
                </c:pt>
                <c:pt idx="627">
                  <c:v>0.27320200829765467</c:v>
                </c:pt>
                <c:pt idx="628">
                  <c:v>0.26855302213654114</c:v>
                </c:pt>
                <c:pt idx="629">
                  <c:v>0.25751659656928599</c:v>
                </c:pt>
                <c:pt idx="630">
                  <c:v>0.25456151165779461</c:v>
                </c:pt>
                <c:pt idx="631">
                  <c:v>0.28034245805637203</c:v>
                </c:pt>
                <c:pt idx="632">
                  <c:v>0.28091929438982133</c:v>
                </c:pt>
                <c:pt idx="633">
                  <c:v>0.27953545550120151</c:v>
                </c:pt>
                <c:pt idx="634">
                  <c:v>0.26695877185962769</c:v>
                </c:pt>
                <c:pt idx="635">
                  <c:v>0.27873636473578767</c:v>
                </c:pt>
                <c:pt idx="636">
                  <c:v>0.27603018643738197</c:v>
                </c:pt>
                <c:pt idx="637">
                  <c:v>0.26017689198839017</c:v>
                </c:pt>
                <c:pt idx="638">
                  <c:v>0.26931726549440665</c:v>
                </c:pt>
                <c:pt idx="639">
                  <c:v>0.29041513311761918</c:v>
                </c:pt>
                <c:pt idx="640">
                  <c:v>0.25314947444323443</c:v>
                </c:pt>
                <c:pt idx="641">
                  <c:v>0.26788926244639127</c:v>
                </c:pt>
                <c:pt idx="642">
                  <c:v>0.26843375281721726</c:v>
                </c:pt>
                <c:pt idx="643">
                  <c:v>0.27096614671171937</c:v>
                </c:pt>
                <c:pt idx="644">
                  <c:v>0.24968772719306509</c:v>
                </c:pt>
                <c:pt idx="645">
                  <c:v>0.27998963583300018</c:v>
                </c:pt>
                <c:pt idx="646">
                  <c:v>0.26033507171601261</c:v>
                </c:pt>
                <c:pt idx="647">
                  <c:v>0.28753425831320789</c:v>
                </c:pt>
                <c:pt idx="648">
                  <c:v>0.27841782144380556</c:v>
                </c:pt>
                <c:pt idx="649">
                  <c:v>0.25853083419781941</c:v>
                </c:pt>
                <c:pt idx="650">
                  <c:v>0.26864549907253854</c:v>
                </c:pt>
                <c:pt idx="651">
                  <c:v>0.2729762851597422</c:v>
                </c:pt>
                <c:pt idx="652">
                  <c:v>0.28009841191529739</c:v>
                </c:pt>
                <c:pt idx="653">
                  <c:v>0.27407037848703575</c:v>
                </c:pt>
                <c:pt idx="654">
                  <c:v>0.29335171164692769</c:v>
                </c:pt>
                <c:pt idx="655">
                  <c:v>0.29692137846241307</c:v>
                </c:pt>
                <c:pt idx="656">
                  <c:v>0.26955535279767456</c:v>
                </c:pt>
                <c:pt idx="657">
                  <c:v>0.25706154603707082</c:v>
                </c:pt>
                <c:pt idx="658">
                  <c:v>0.29751285531193977</c:v>
                </c:pt>
                <c:pt idx="659">
                  <c:v>0.25363394127226585</c:v>
                </c:pt>
                <c:pt idx="660">
                  <c:v>0.27625856514162289</c:v>
                </c:pt>
                <c:pt idx="661">
                  <c:v>0.28345959285828093</c:v>
                </c:pt>
                <c:pt idx="662">
                  <c:v>0.25032252649948811</c:v>
                </c:pt>
                <c:pt idx="663">
                  <c:v>0.26373266184767497</c:v>
                </c:pt>
                <c:pt idx="664">
                  <c:v>0.27921055279828283</c:v>
                </c:pt>
                <c:pt idx="665">
                  <c:v>0.27457943579904037</c:v>
                </c:pt>
                <c:pt idx="666">
                  <c:v>0.27714559875043326</c:v>
                </c:pt>
                <c:pt idx="667">
                  <c:v>0.27259485812820866</c:v>
                </c:pt>
                <c:pt idx="668">
                  <c:v>0.27064636368775569</c:v>
                </c:pt>
                <c:pt idx="669">
                  <c:v>0.2947633663926052</c:v>
                </c:pt>
                <c:pt idx="670">
                  <c:v>0.26633357567260274</c:v>
                </c:pt>
                <c:pt idx="671">
                  <c:v>0.27673723097231373</c:v>
                </c:pt>
                <c:pt idx="672">
                  <c:v>0.26566774173342123</c:v>
                </c:pt>
                <c:pt idx="673">
                  <c:v>0.27986805060456327</c:v>
                </c:pt>
                <c:pt idx="674">
                  <c:v>0.29130234839190922</c:v>
                </c:pt>
                <c:pt idx="675">
                  <c:v>0.29618130398073927</c:v>
                </c:pt>
                <c:pt idx="676">
                  <c:v>0.26603895888535428</c:v>
                </c:pt>
                <c:pt idx="677">
                  <c:v>0.28282312510538421</c:v>
                </c:pt>
                <c:pt idx="678">
                  <c:v>0.2579395153282204</c:v>
                </c:pt>
                <c:pt idx="679">
                  <c:v>0.2530308264692902</c:v>
                </c:pt>
                <c:pt idx="680">
                  <c:v>0.26408020753781819</c:v>
                </c:pt>
                <c:pt idx="681">
                  <c:v>0.307567961753894</c:v>
                </c:pt>
                <c:pt idx="682">
                  <c:v>0.27170802002474048</c:v>
                </c:pt>
                <c:pt idx="683">
                  <c:v>0.26509785766320476</c:v>
                </c:pt>
                <c:pt idx="684">
                  <c:v>0.27398166821725523</c:v>
                </c:pt>
                <c:pt idx="685">
                  <c:v>0.26267435898098024</c:v>
                </c:pt>
                <c:pt idx="686">
                  <c:v>0.27379808171723846</c:v>
                </c:pt>
                <c:pt idx="687">
                  <c:v>0.28665245175091164</c:v>
                </c:pt>
                <c:pt idx="688">
                  <c:v>0.27680313648099969</c:v>
                </c:pt>
                <c:pt idx="689">
                  <c:v>0.2969587046713637</c:v>
                </c:pt>
                <c:pt idx="690">
                  <c:v>0.29047400048179012</c:v>
                </c:pt>
                <c:pt idx="691">
                  <c:v>0.27608114460206173</c:v>
                </c:pt>
                <c:pt idx="692">
                  <c:v>0.28428951407877068</c:v>
                </c:pt>
                <c:pt idx="693">
                  <c:v>0.28536841166540738</c:v>
                </c:pt>
                <c:pt idx="694">
                  <c:v>0.27943935682843785</c:v>
                </c:pt>
                <c:pt idx="695">
                  <c:v>0.27018610829013767</c:v>
                </c:pt>
                <c:pt idx="696">
                  <c:v>0.26266584634660295</c:v>
                </c:pt>
                <c:pt idx="697">
                  <c:v>0.27428822892831101</c:v>
                </c:pt>
                <c:pt idx="698">
                  <c:v>0.2676968132635994</c:v>
                </c:pt>
                <c:pt idx="699">
                  <c:v>0.25191166646361057</c:v>
                </c:pt>
                <c:pt idx="700">
                  <c:v>0.30409123197984667</c:v>
                </c:pt>
                <c:pt idx="701">
                  <c:v>0.29321701171467301</c:v>
                </c:pt>
                <c:pt idx="702">
                  <c:v>0.25807943593068322</c:v>
                </c:pt>
                <c:pt idx="703">
                  <c:v>0.26854825937588889</c:v>
                </c:pt>
                <c:pt idx="704">
                  <c:v>0.28111329764098142</c:v>
                </c:pt>
                <c:pt idx="705">
                  <c:v>0.25277526360459218</c:v>
                </c:pt>
                <c:pt idx="706">
                  <c:v>0.28163581306410601</c:v>
                </c:pt>
                <c:pt idx="707">
                  <c:v>0.27913238361464726</c:v>
                </c:pt>
                <c:pt idx="708">
                  <c:v>0.27965025445623287</c:v>
                </c:pt>
                <c:pt idx="709">
                  <c:v>0.28653558269095075</c:v>
                </c:pt>
                <c:pt idx="710">
                  <c:v>0.26710944149156424</c:v>
                </c:pt>
                <c:pt idx="711">
                  <c:v>0.29103386696481987</c:v>
                </c:pt>
                <c:pt idx="712">
                  <c:v>0.28969884922644917</c:v>
                </c:pt>
                <c:pt idx="713">
                  <c:v>0.29428311660801248</c:v>
                </c:pt>
                <c:pt idx="714">
                  <c:v>0.30621928024192974</c:v>
                </c:pt>
                <c:pt idx="715">
                  <c:v>0.29899712740603518</c:v>
                </c:pt>
                <c:pt idx="716">
                  <c:v>0.29954675447847268</c:v>
                </c:pt>
                <c:pt idx="717">
                  <c:v>0.26289435078013629</c:v>
                </c:pt>
                <c:pt idx="718">
                  <c:v>0.29868747835114079</c:v>
                </c:pt>
                <c:pt idx="719">
                  <c:v>0.27954804310591996</c:v>
                </c:pt>
                <c:pt idx="720">
                  <c:v>0.30119563569578539</c:v>
                </c:pt>
                <c:pt idx="721">
                  <c:v>0.26829191078784242</c:v>
                </c:pt>
                <c:pt idx="722">
                  <c:v>0.32145726485860932</c:v>
                </c:pt>
                <c:pt idx="723">
                  <c:v>0.31109959537000015</c:v>
                </c:pt>
                <c:pt idx="724">
                  <c:v>0.28610052074205372</c:v>
                </c:pt>
                <c:pt idx="725">
                  <c:v>0.28036260954400349</c:v>
                </c:pt>
                <c:pt idx="726">
                  <c:v>0.27604960740314832</c:v>
                </c:pt>
                <c:pt idx="727">
                  <c:v>0.30922864675448825</c:v>
                </c:pt>
                <c:pt idx="728">
                  <c:v>0.30394377105797327</c:v>
                </c:pt>
                <c:pt idx="729">
                  <c:v>0.28895102898784902</c:v>
                </c:pt>
                <c:pt idx="730">
                  <c:v>0.30449339813041082</c:v>
                </c:pt>
                <c:pt idx="731">
                  <c:v>0.2556091752687899</c:v>
                </c:pt>
                <c:pt idx="732">
                  <c:v>0.27804996687708416</c:v>
                </c:pt>
                <c:pt idx="733">
                  <c:v>0.29051857525722247</c:v>
                </c:pt>
                <c:pt idx="734">
                  <c:v>0.29771634505374944</c:v>
                </c:pt>
                <c:pt idx="735">
                  <c:v>0.30241248447011221</c:v>
                </c:pt>
                <c:pt idx="736">
                  <c:v>0.30016223548585669</c:v>
                </c:pt>
                <c:pt idx="737">
                  <c:v>0.30491460766255923</c:v>
                </c:pt>
                <c:pt idx="738">
                  <c:v>0.28420976947454107</c:v>
                </c:pt>
                <c:pt idx="739">
                  <c:v>0.29985434394102956</c:v>
                </c:pt>
                <c:pt idx="740">
                  <c:v>0.29104341297111641</c:v>
                </c:pt>
                <c:pt idx="741">
                  <c:v>0.32000628711150225</c:v>
                </c:pt>
                <c:pt idx="742">
                  <c:v>0.32858904898607366</c:v>
                </c:pt>
                <c:pt idx="743">
                  <c:v>0.27965025445623287</c:v>
                </c:pt>
                <c:pt idx="744">
                  <c:v>0.29259702549587324</c:v>
                </c:pt>
                <c:pt idx="745">
                  <c:v>0.31108892299966157</c:v>
                </c:pt>
                <c:pt idx="746">
                  <c:v>0.3186031481928901</c:v>
                </c:pt>
                <c:pt idx="747">
                  <c:v>0.30927053062916715</c:v>
                </c:pt>
                <c:pt idx="748">
                  <c:v>0.31972895437025012</c:v>
                </c:pt>
                <c:pt idx="749">
                  <c:v>0.3035958419937696</c:v>
                </c:pt>
                <c:pt idx="750">
                  <c:v>0.32029185745893013</c:v>
                </c:pt>
                <c:pt idx="751">
                  <c:v>0.29650417604176482</c:v>
                </c:pt>
                <c:pt idx="752">
                  <c:v>0.28627989410929017</c:v>
                </c:pt>
                <c:pt idx="753">
                  <c:v>0.31383705836184944</c:v>
                </c:pt>
                <c:pt idx="754">
                  <c:v>0.28241515810198659</c:v>
                </c:pt>
                <c:pt idx="755">
                  <c:v>0.27655592245671717</c:v>
                </c:pt>
                <c:pt idx="756">
                  <c:v>0.30626834060286967</c:v>
                </c:pt>
                <c:pt idx="757">
                  <c:v>0.28705158450979562</c:v>
                </c:pt>
                <c:pt idx="758">
                  <c:v>0.31308196322494913</c:v>
                </c:pt>
                <c:pt idx="759">
                  <c:v>0.28632282106897056</c:v>
                </c:pt>
                <c:pt idx="760">
                  <c:v>0.30232459941214362</c:v>
                </c:pt>
                <c:pt idx="761">
                  <c:v>0.28560025987019522</c:v>
                </c:pt>
                <c:pt idx="762">
                  <c:v>0.28488382207140961</c:v>
                </c:pt>
                <c:pt idx="763">
                  <c:v>0.28179540982514401</c:v>
                </c:pt>
                <c:pt idx="764">
                  <c:v>0.32379376417408379</c:v>
                </c:pt>
                <c:pt idx="765">
                  <c:v>0.29080010296364733</c:v>
                </c:pt>
                <c:pt idx="766">
                  <c:v>0.29332879951115731</c:v>
                </c:pt>
                <c:pt idx="767">
                  <c:v>0.2629655440736301</c:v>
                </c:pt>
                <c:pt idx="768">
                  <c:v>0.26093492211167157</c:v>
                </c:pt>
                <c:pt idx="769">
                  <c:v>0.3105443383774299</c:v>
                </c:pt>
                <c:pt idx="770">
                  <c:v>0.27679668043116923</c:v>
                </c:pt>
                <c:pt idx="771">
                  <c:v>0.28907109636167333</c:v>
                </c:pt>
                <c:pt idx="772">
                  <c:v>0.28542734304619005</c:v>
                </c:pt>
                <c:pt idx="773">
                  <c:v>0.29458107612272733</c:v>
                </c:pt>
                <c:pt idx="774">
                  <c:v>0.33744925506785522</c:v>
                </c:pt>
                <c:pt idx="775">
                  <c:v>0.27597064584496661</c:v>
                </c:pt>
                <c:pt idx="776">
                  <c:v>0.30704842127795839</c:v>
                </c:pt>
                <c:pt idx="777">
                  <c:v>0.26672371274634188</c:v>
                </c:pt>
                <c:pt idx="778">
                  <c:v>0.29481806638974262</c:v>
                </c:pt>
                <c:pt idx="779">
                  <c:v>0.26974138717235063</c:v>
                </c:pt>
                <c:pt idx="780">
                  <c:v>0.3100195128587197</c:v>
                </c:pt>
                <c:pt idx="781">
                  <c:v>0.27673723097231379</c:v>
                </c:pt>
                <c:pt idx="782">
                  <c:v>0.3207048284165131</c:v>
                </c:pt>
                <c:pt idx="783">
                  <c:v>0.29890154008908948</c:v>
                </c:pt>
                <c:pt idx="784">
                  <c:v>0.32330457821524583</c:v>
                </c:pt>
                <c:pt idx="785">
                  <c:v>0.3310763228838815</c:v>
                </c:pt>
                <c:pt idx="786">
                  <c:v>0.33923091211747464</c:v>
                </c:pt>
                <c:pt idx="787">
                  <c:v>0.31935368564446343</c:v>
                </c:pt>
                <c:pt idx="788">
                  <c:v>0.29402943420664196</c:v>
                </c:pt>
                <c:pt idx="789">
                  <c:v>0.28250382848129652</c:v>
                </c:pt>
                <c:pt idx="790">
                  <c:v>0.31949289823628751</c:v>
                </c:pt>
                <c:pt idx="791">
                  <c:v>0.29130234839190922</c:v>
                </c:pt>
                <c:pt idx="792">
                  <c:v>0.30728530910013785</c:v>
                </c:pt>
                <c:pt idx="793">
                  <c:v>0.28696892502740146</c:v>
                </c:pt>
                <c:pt idx="794">
                  <c:v>0.29601276934462945</c:v>
                </c:pt>
                <c:pt idx="795">
                  <c:v>0.29475847794910137</c:v>
                </c:pt>
                <c:pt idx="796">
                  <c:v>0.30034276610062371</c:v>
                </c:pt>
                <c:pt idx="797">
                  <c:v>0.32713390486077326</c:v>
                </c:pt>
                <c:pt idx="798">
                  <c:v>0.3008450115288856</c:v>
                </c:pt>
                <c:pt idx="799">
                  <c:v>0.30529503761597476</c:v>
                </c:pt>
                <c:pt idx="800">
                  <c:v>0.29623967633075515</c:v>
                </c:pt>
                <c:pt idx="801">
                  <c:v>0.3084981698388326</c:v>
                </c:pt>
                <c:pt idx="802">
                  <c:v>0.28124130342736942</c:v>
                </c:pt>
                <c:pt idx="803">
                  <c:v>0.30105410082734657</c:v>
                </c:pt>
                <c:pt idx="804">
                  <c:v>0.31507680014407402</c:v>
                </c:pt>
                <c:pt idx="805">
                  <c:v>0.31140994412161621</c:v>
                </c:pt>
                <c:pt idx="806">
                  <c:v>0.30466946914062887</c:v>
                </c:pt>
                <c:pt idx="807">
                  <c:v>0.27384687693184934</c:v>
                </c:pt>
                <c:pt idx="808">
                  <c:v>0.30783916292944119</c:v>
                </c:pt>
                <c:pt idx="809">
                  <c:v>0.30970039144824035</c:v>
                </c:pt>
                <c:pt idx="810">
                  <c:v>0.28178569796635683</c:v>
                </c:pt>
                <c:pt idx="811">
                  <c:v>0.30751395734589376</c:v>
                </c:pt>
                <c:pt idx="812">
                  <c:v>0.32647341534060986</c:v>
                </c:pt>
                <c:pt idx="813">
                  <c:v>0.32852431513087538</c:v>
                </c:pt>
                <c:pt idx="814">
                  <c:v>0.32604483031021031</c:v>
                </c:pt>
                <c:pt idx="815">
                  <c:v>0.26664529568158285</c:v>
                </c:pt>
                <c:pt idx="816">
                  <c:v>0.34284045618432396</c:v>
                </c:pt>
                <c:pt idx="817">
                  <c:v>0.30474707216384345</c:v>
                </c:pt>
                <c:pt idx="818">
                  <c:v>0.34175758768275666</c:v>
                </c:pt>
                <c:pt idx="819">
                  <c:v>0.33533960481547487</c:v>
                </c:pt>
                <c:pt idx="820">
                  <c:v>0.34231510413900912</c:v>
                </c:pt>
                <c:pt idx="821">
                  <c:v>0.29489867368069828</c:v>
                </c:pt>
                <c:pt idx="822">
                  <c:v>0.29369007255905599</c:v>
                </c:pt>
                <c:pt idx="823">
                  <c:v>0.28826063712355998</c:v>
                </c:pt>
                <c:pt idx="824">
                  <c:v>0.30334776195410629</c:v>
                </c:pt>
                <c:pt idx="825">
                  <c:v>0.3238442323564108</c:v>
                </c:pt>
                <c:pt idx="826">
                  <c:v>0.30512686662067784</c:v>
                </c:pt>
                <c:pt idx="827">
                  <c:v>0.30955562859157398</c:v>
                </c:pt>
                <c:pt idx="828">
                  <c:v>0.32395956233719053</c:v>
                </c:pt>
                <c:pt idx="829">
                  <c:v>0.30741694638805739</c:v>
                </c:pt>
                <c:pt idx="830">
                  <c:v>0.30660806500233162</c:v>
                </c:pt>
                <c:pt idx="831">
                  <c:v>0.31239665637890962</c:v>
                </c:pt>
                <c:pt idx="832">
                  <c:v>0.31699801405792044</c:v>
                </c:pt>
                <c:pt idx="833">
                  <c:v>0.30295444232758562</c:v>
                </c:pt>
                <c:pt idx="834">
                  <c:v>0.31663298738251006</c:v>
                </c:pt>
                <c:pt idx="835">
                  <c:v>0.30907672897175459</c:v>
                </c:pt>
                <c:pt idx="836">
                  <c:v>0.29412140337634707</c:v>
                </c:pt>
                <c:pt idx="837">
                  <c:v>0.32326826980836654</c:v>
                </c:pt>
                <c:pt idx="838">
                  <c:v>0.28144288429249076</c:v>
                </c:pt>
                <c:pt idx="839">
                  <c:v>0.28741831708001708</c:v>
                </c:pt>
                <c:pt idx="840">
                  <c:v>0.32429942856373611</c:v>
                </c:pt>
                <c:pt idx="841">
                  <c:v>0.28278735666968419</c:v>
                </c:pt>
                <c:pt idx="842">
                  <c:v>0.28946737296896807</c:v>
                </c:pt>
                <c:pt idx="843">
                  <c:v>0.32584616669679051</c:v>
                </c:pt>
                <c:pt idx="844">
                  <c:v>0.35122740291824484</c:v>
                </c:pt>
                <c:pt idx="845">
                  <c:v>0.32400998049205348</c:v>
                </c:pt>
                <c:pt idx="846">
                  <c:v>0.34201053496383416</c:v>
                </c:pt>
                <c:pt idx="847">
                  <c:v>0.33329187608804034</c:v>
                </c:pt>
                <c:pt idx="848">
                  <c:v>0.31268910308397346</c:v>
                </c:pt>
                <c:pt idx="849">
                  <c:v>0.30622858442521367</c:v>
                </c:pt>
                <c:pt idx="850">
                  <c:v>0.29689535348103391</c:v>
                </c:pt>
                <c:pt idx="851">
                  <c:v>0.34576911306797781</c:v>
                </c:pt>
                <c:pt idx="852">
                  <c:v>0.29084718847254687</c:v>
                </c:pt>
                <c:pt idx="853">
                  <c:v>0.31868974866807159</c:v>
                </c:pt>
                <c:pt idx="854">
                  <c:v>0.29359606767058571</c:v>
                </c:pt>
                <c:pt idx="855">
                  <c:v>0.33949964603493421</c:v>
                </c:pt>
                <c:pt idx="856">
                  <c:v>0.33696595976145172</c:v>
                </c:pt>
                <c:pt idx="857">
                  <c:v>0.33849069261105103</c:v>
                </c:pt>
                <c:pt idx="858">
                  <c:v>0.31882112343148533</c:v>
                </c:pt>
                <c:pt idx="859">
                  <c:v>0.33299095113955135</c:v>
                </c:pt>
                <c:pt idx="860">
                  <c:v>0.30628361202349313</c:v>
                </c:pt>
                <c:pt idx="861">
                  <c:v>0.32394830122893359</c:v>
                </c:pt>
                <c:pt idx="862">
                  <c:v>0.30183134893619512</c:v>
                </c:pt>
                <c:pt idx="863">
                  <c:v>0.3047470721638435</c:v>
                </c:pt>
                <c:pt idx="864">
                  <c:v>0.28341747279633878</c:v>
                </c:pt>
                <c:pt idx="865">
                  <c:v>0.31858889748178426</c:v>
                </c:pt>
                <c:pt idx="866">
                  <c:v>0.32971864062525275</c:v>
                </c:pt>
                <c:pt idx="867">
                  <c:v>0.30693320611049951</c:v>
                </c:pt>
                <c:pt idx="868">
                  <c:v>0.33911250960780104</c:v>
                </c:pt>
                <c:pt idx="869">
                  <c:v>0.33073629075063932</c:v>
                </c:pt>
                <c:pt idx="870">
                  <c:v>0.31689795222550793</c:v>
                </c:pt>
                <c:pt idx="871">
                  <c:v>0.34795931890483106</c:v>
                </c:pt>
                <c:pt idx="872">
                  <c:v>0.30101242667163958</c:v>
                </c:pt>
                <c:pt idx="873">
                  <c:v>0.3232836274919571</c:v>
                </c:pt>
                <c:pt idx="874">
                  <c:v>0.31008837739024459</c:v>
                </c:pt>
                <c:pt idx="875">
                  <c:v>0.32796626465502887</c:v>
                </c:pt>
                <c:pt idx="876">
                  <c:v>0.28541084022218527</c:v>
                </c:pt>
                <c:pt idx="877">
                  <c:v>0.31489543115422913</c:v>
                </c:pt>
                <c:pt idx="878">
                  <c:v>0.29354313568723162</c:v>
                </c:pt>
                <c:pt idx="879">
                  <c:v>0.31668554057543663</c:v>
                </c:pt>
                <c:pt idx="880">
                  <c:v>0.30821667829853627</c:v>
                </c:pt>
                <c:pt idx="881">
                  <c:v>0.31455858525941149</c:v>
                </c:pt>
                <c:pt idx="882">
                  <c:v>0.30868652079594255</c:v>
                </c:pt>
                <c:pt idx="883">
                  <c:v>0.33047749179633845</c:v>
                </c:pt>
                <c:pt idx="884">
                  <c:v>0.29152387109030614</c:v>
                </c:pt>
                <c:pt idx="885">
                  <c:v>0.35827466400350705</c:v>
                </c:pt>
                <c:pt idx="886">
                  <c:v>0.32955922333093252</c:v>
                </c:pt>
                <c:pt idx="887">
                  <c:v>0.31009604828816151</c:v>
                </c:pt>
                <c:pt idx="888">
                  <c:v>0.33878334790953324</c:v>
                </c:pt>
                <c:pt idx="889">
                  <c:v>0.29692594585121251</c:v>
                </c:pt>
                <c:pt idx="890">
                  <c:v>0.30931863821213174</c:v>
                </c:pt>
                <c:pt idx="891">
                  <c:v>0.30249749746736293</c:v>
                </c:pt>
                <c:pt idx="892">
                  <c:v>0.33443022854343868</c:v>
                </c:pt>
                <c:pt idx="893">
                  <c:v>0.35328723165703696</c:v>
                </c:pt>
                <c:pt idx="894">
                  <c:v>0.33689749857499074</c:v>
                </c:pt>
                <c:pt idx="895">
                  <c:v>0.34799527180091755</c:v>
                </c:pt>
                <c:pt idx="896">
                  <c:v>0.31041178244641848</c:v>
                </c:pt>
                <c:pt idx="897">
                  <c:v>0.31722231245290361</c:v>
                </c:pt>
                <c:pt idx="898">
                  <c:v>0.35541546799232032</c:v>
                </c:pt>
                <c:pt idx="899">
                  <c:v>0.31259432727035402</c:v>
                </c:pt>
                <c:pt idx="900">
                  <c:v>0.31559720012014131</c:v>
                </c:pt>
                <c:pt idx="901">
                  <c:v>0.30259313708927005</c:v>
                </c:pt>
                <c:pt idx="902">
                  <c:v>0.35166229445509767</c:v>
                </c:pt>
                <c:pt idx="903">
                  <c:v>0.33700668236374332</c:v>
                </c:pt>
                <c:pt idx="904">
                  <c:v>0.33320030318189442</c:v>
                </c:pt>
                <c:pt idx="905">
                  <c:v>0.34956281807029105</c:v>
                </c:pt>
                <c:pt idx="906">
                  <c:v>0.33369613696639128</c:v>
                </c:pt>
                <c:pt idx="907">
                  <c:v>0.31041546690299898</c:v>
                </c:pt>
                <c:pt idx="908">
                  <c:v>0.34048326435417964</c:v>
                </c:pt>
                <c:pt idx="909">
                  <c:v>0.30485129482874224</c:v>
                </c:pt>
                <c:pt idx="910">
                  <c:v>0.3138173506182162</c:v>
                </c:pt>
                <c:pt idx="911">
                  <c:v>0.32868614976887095</c:v>
                </c:pt>
                <c:pt idx="912">
                  <c:v>0.33425710145986876</c:v>
                </c:pt>
                <c:pt idx="913">
                  <c:v>0.32114307676376341</c:v>
                </c:pt>
                <c:pt idx="914">
                  <c:v>0.35962599010564789</c:v>
                </c:pt>
                <c:pt idx="915">
                  <c:v>0.3679893852243839</c:v>
                </c:pt>
                <c:pt idx="916">
                  <c:v>0.32340505617387472</c:v>
                </c:pt>
                <c:pt idx="917">
                  <c:v>0.3376628072423663</c:v>
                </c:pt>
                <c:pt idx="918">
                  <c:v>0.32973975369839353</c:v>
                </c:pt>
                <c:pt idx="919">
                  <c:v>0.29763026457420538</c:v>
                </c:pt>
                <c:pt idx="920">
                  <c:v>0.31332205346720315</c:v>
                </c:pt>
                <c:pt idx="921">
                  <c:v>0.32220162583267042</c:v>
                </c:pt>
                <c:pt idx="922">
                  <c:v>0.3213722682259128</c:v>
                </c:pt>
                <c:pt idx="923">
                  <c:v>0.28404570626115</c:v>
                </c:pt>
                <c:pt idx="924">
                  <c:v>0.29937589662449399</c:v>
                </c:pt>
                <c:pt idx="925">
                  <c:v>0.32101752770578268</c:v>
                </c:pt>
                <c:pt idx="926">
                  <c:v>0.38301380544543862</c:v>
                </c:pt>
                <c:pt idx="927">
                  <c:v>0.32587970031485136</c:v>
                </c:pt>
                <c:pt idx="928">
                  <c:v>0.3160745166016149</c:v>
                </c:pt>
                <c:pt idx="929">
                  <c:v>0.31858304451115149</c:v>
                </c:pt>
                <c:pt idx="930">
                  <c:v>0.30454336422790512</c:v>
                </c:pt>
                <c:pt idx="931">
                  <c:v>0.33134143660709353</c:v>
                </c:pt>
                <c:pt idx="932">
                  <c:v>0.31574889841381848</c:v>
                </c:pt>
                <c:pt idx="933">
                  <c:v>0.34311697887183179</c:v>
                </c:pt>
                <c:pt idx="934">
                  <c:v>0.35729650873556296</c:v>
                </c:pt>
                <c:pt idx="935">
                  <c:v>0.32299604389694897</c:v>
                </c:pt>
                <c:pt idx="936">
                  <c:v>0.30982962419001536</c:v>
                </c:pt>
                <c:pt idx="937">
                  <c:v>0.33325947676111434</c:v>
                </c:pt>
                <c:pt idx="938">
                  <c:v>0.34218807507302751</c:v>
                </c:pt>
                <c:pt idx="939">
                  <c:v>0.35569549908906811</c:v>
                </c:pt>
                <c:pt idx="940">
                  <c:v>0.32356611446878208</c:v>
                </c:pt>
                <c:pt idx="941">
                  <c:v>0.34707305440882169</c:v>
                </c:pt>
                <c:pt idx="942">
                  <c:v>0.3104260140115308</c:v>
                </c:pt>
                <c:pt idx="943">
                  <c:v>0.34078718247020001</c:v>
                </c:pt>
                <c:pt idx="944">
                  <c:v>0.33022128562645581</c:v>
                </c:pt>
                <c:pt idx="945">
                  <c:v>0.32672471395636543</c:v>
                </c:pt>
                <c:pt idx="946">
                  <c:v>0.30867056388093622</c:v>
                </c:pt>
                <c:pt idx="947">
                  <c:v>0.32850481698171929</c:v>
                </c:pt>
                <c:pt idx="948">
                  <c:v>0.30911026553888626</c:v>
                </c:pt>
                <c:pt idx="949">
                  <c:v>0.33481935227412912</c:v>
                </c:pt>
                <c:pt idx="950">
                  <c:v>0.33076911817403887</c:v>
                </c:pt>
                <c:pt idx="951">
                  <c:v>0.32858904898607366</c:v>
                </c:pt>
                <c:pt idx="952">
                  <c:v>0.33037663930070343</c:v>
                </c:pt>
                <c:pt idx="953">
                  <c:v>0.32515329322480307</c:v>
                </c:pt>
                <c:pt idx="954">
                  <c:v>0.31204660653496946</c:v>
                </c:pt>
                <c:pt idx="955">
                  <c:v>0.30108330315543319</c:v>
                </c:pt>
                <c:pt idx="956">
                  <c:v>0.35255053446405427</c:v>
                </c:pt>
                <c:pt idx="957">
                  <c:v>0.34279396682135044</c:v>
                </c:pt>
              </c:numCache>
            </c:numRef>
          </c:xVal>
          <c:yVal>
            <c:numRef>
              <c:f>'curves processed'!$AP$2:$AP$959</c:f>
              <c:numCache>
                <c:formatCode>General</c:formatCode>
                <c:ptCount val="958"/>
                <c:pt idx="0">
                  <c:v>4.5738046336352447</c:v>
                </c:pt>
                <c:pt idx="1">
                  <c:v>3.4553337619799658</c:v>
                </c:pt>
                <c:pt idx="2">
                  <c:v>4.35106664782798</c:v>
                </c:pt>
                <c:pt idx="3">
                  <c:v>3.6752052424998851</c:v>
                </c:pt>
                <c:pt idx="4">
                  <c:v>4.6019452246865633</c:v>
                </c:pt>
                <c:pt idx="5">
                  <c:v>5.1746637598593335</c:v>
                </c:pt>
                <c:pt idx="6">
                  <c:v>2.8329681506501592</c:v>
                </c:pt>
                <c:pt idx="7">
                  <c:v>3.9024588711616937</c:v>
                </c:pt>
                <c:pt idx="8">
                  <c:v>7.0035438593790085</c:v>
                </c:pt>
                <c:pt idx="9">
                  <c:v>6.245178379515985</c:v>
                </c:pt>
                <c:pt idx="10">
                  <c:v>5.4782855851154197</c:v>
                </c:pt>
                <c:pt idx="11">
                  <c:v>6.5106850554548812</c:v>
                </c:pt>
                <c:pt idx="12">
                  <c:v>5.9946019794486647</c:v>
                </c:pt>
                <c:pt idx="13">
                  <c:v>6.0447349550033387</c:v>
                </c:pt>
                <c:pt idx="14">
                  <c:v>4.0314913959616945</c:v>
                </c:pt>
                <c:pt idx="15">
                  <c:v>4.6545478864756058</c:v>
                </c:pt>
                <c:pt idx="16">
                  <c:v>5.7709352700772545</c:v>
                </c:pt>
                <c:pt idx="17">
                  <c:v>6.2542912111756728</c:v>
                </c:pt>
                <c:pt idx="18">
                  <c:v>8.61227792436474</c:v>
                </c:pt>
                <c:pt idx="19">
                  <c:v>6.76725205211876</c:v>
                </c:pt>
                <c:pt idx="20">
                  <c:v>7.2638289509811012</c:v>
                </c:pt>
                <c:pt idx="21">
                  <c:v>9.0353777202029644</c:v>
                </c:pt>
                <c:pt idx="22">
                  <c:v>7.0464794089810496</c:v>
                </c:pt>
                <c:pt idx="23">
                  <c:v>7.1846124658691526</c:v>
                </c:pt>
                <c:pt idx="24">
                  <c:v>7.9213411741017996</c:v>
                </c:pt>
                <c:pt idx="25">
                  <c:v>7.9006775286566899</c:v>
                </c:pt>
                <c:pt idx="26">
                  <c:v>10.074000001099396</c:v>
                </c:pt>
                <c:pt idx="27">
                  <c:v>7.8795167171604108</c:v>
                </c:pt>
                <c:pt idx="28">
                  <c:v>11.583017768422431</c:v>
                </c:pt>
                <c:pt idx="29">
                  <c:v>9.7971774743667162</c:v>
                </c:pt>
                <c:pt idx="30">
                  <c:v>6.922164165278379</c:v>
                </c:pt>
                <c:pt idx="31">
                  <c:v>7.1338412791375072</c:v>
                </c:pt>
                <c:pt idx="32">
                  <c:v>9.8647081717353462</c:v>
                </c:pt>
                <c:pt idx="33">
                  <c:v>10.935488309181109</c:v>
                </c:pt>
                <c:pt idx="34">
                  <c:v>8.6767581828316906</c:v>
                </c:pt>
                <c:pt idx="35">
                  <c:v>7.2817685559183456</c:v>
                </c:pt>
                <c:pt idx="36">
                  <c:v>8.3065969983340544</c:v>
                </c:pt>
                <c:pt idx="37">
                  <c:v>10.059764594185914</c:v>
                </c:pt>
                <c:pt idx="38">
                  <c:v>10.990454092115769</c:v>
                </c:pt>
                <c:pt idx="39">
                  <c:v>8.9315595393081022</c:v>
                </c:pt>
                <c:pt idx="40">
                  <c:v>10.325106043415619</c:v>
                </c:pt>
                <c:pt idx="41">
                  <c:v>10.459312055758256</c:v>
                </c:pt>
                <c:pt idx="42">
                  <c:v>11.4680947123412</c:v>
                </c:pt>
                <c:pt idx="43">
                  <c:v>7.8955509770420731</c:v>
                </c:pt>
                <c:pt idx="44">
                  <c:v>10.485809808178473</c:v>
                </c:pt>
                <c:pt idx="45">
                  <c:v>8.3652759035115789</c:v>
                </c:pt>
                <c:pt idx="46">
                  <c:v>10.025275630869031</c:v>
                </c:pt>
                <c:pt idx="47">
                  <c:v>8.9460122268781337</c:v>
                </c:pt>
                <c:pt idx="48">
                  <c:v>11.079899949166737</c:v>
                </c:pt>
                <c:pt idx="49">
                  <c:v>10.141397376637615</c:v>
                </c:pt>
                <c:pt idx="50">
                  <c:v>10.839998851616349</c:v>
                </c:pt>
                <c:pt idx="51">
                  <c:v>10.308784334710873</c:v>
                </c:pt>
                <c:pt idx="52">
                  <c:v>10.145044821005593</c:v>
                </c:pt>
                <c:pt idx="53">
                  <c:v>13.505048057013704</c:v>
                </c:pt>
                <c:pt idx="54">
                  <c:v>15.177569451505308</c:v>
                </c:pt>
                <c:pt idx="55">
                  <c:v>8.6603608306276669</c:v>
                </c:pt>
                <c:pt idx="56">
                  <c:v>11.988374380869944</c:v>
                </c:pt>
                <c:pt idx="57">
                  <c:v>12.591784695079292</c:v>
                </c:pt>
                <c:pt idx="58">
                  <c:v>14.020968226215237</c:v>
                </c:pt>
                <c:pt idx="59">
                  <c:v>10.753854546299317</c:v>
                </c:pt>
                <c:pt idx="60">
                  <c:v>8.2258597521788879</c:v>
                </c:pt>
                <c:pt idx="61">
                  <c:v>10.587591496669827</c:v>
                </c:pt>
                <c:pt idx="62">
                  <c:v>14.669538719005756</c:v>
                </c:pt>
                <c:pt idx="63">
                  <c:v>11.634064608106186</c:v>
                </c:pt>
                <c:pt idx="64">
                  <c:v>9.7027156621772175</c:v>
                </c:pt>
                <c:pt idx="65">
                  <c:v>14.171066305288557</c:v>
                </c:pt>
                <c:pt idx="66">
                  <c:v>10.819424265640917</c:v>
                </c:pt>
                <c:pt idx="67">
                  <c:v>9.9959847147224341</c:v>
                </c:pt>
                <c:pt idx="68">
                  <c:v>10.664891153821241</c:v>
                </c:pt>
                <c:pt idx="69">
                  <c:v>11.892088758694261</c:v>
                </c:pt>
                <c:pt idx="70">
                  <c:v>13.266838589817867</c:v>
                </c:pt>
                <c:pt idx="71">
                  <c:v>11.058741281203291</c:v>
                </c:pt>
                <c:pt idx="72">
                  <c:v>14.287028246040007</c:v>
                </c:pt>
                <c:pt idx="73">
                  <c:v>14.557276858813511</c:v>
                </c:pt>
                <c:pt idx="74">
                  <c:v>10.692204394968869</c:v>
                </c:pt>
                <c:pt idx="75">
                  <c:v>12.078301177189351</c:v>
                </c:pt>
                <c:pt idx="76">
                  <c:v>13.007352637522402</c:v>
                </c:pt>
                <c:pt idx="77">
                  <c:v>8.5581086037963594</c:v>
                </c:pt>
                <c:pt idx="78">
                  <c:v>10.461811378305699</c:v>
                </c:pt>
                <c:pt idx="79">
                  <c:v>11.584527653231319</c:v>
                </c:pt>
                <c:pt idx="80">
                  <c:v>11.607215178774062</c:v>
                </c:pt>
                <c:pt idx="81">
                  <c:v>15.457067754462917</c:v>
                </c:pt>
                <c:pt idx="82">
                  <c:v>11.797036352706387</c:v>
                </c:pt>
                <c:pt idx="83">
                  <c:v>17.671561662963978</c:v>
                </c:pt>
                <c:pt idx="84">
                  <c:v>14.28341062826464</c:v>
                </c:pt>
                <c:pt idx="85">
                  <c:v>13.416512967477376</c:v>
                </c:pt>
                <c:pt idx="86">
                  <c:v>12.854987175013378</c:v>
                </c:pt>
                <c:pt idx="87">
                  <c:v>12.595200263970337</c:v>
                </c:pt>
                <c:pt idx="88">
                  <c:v>11.401090940060794</c:v>
                </c:pt>
                <c:pt idx="89">
                  <c:v>14.260755676321114</c:v>
                </c:pt>
                <c:pt idx="90">
                  <c:v>12.59933647127197</c:v>
                </c:pt>
                <c:pt idx="91">
                  <c:v>15.82629744361456</c:v>
                </c:pt>
                <c:pt idx="92">
                  <c:v>19.552623374407041</c:v>
                </c:pt>
                <c:pt idx="93">
                  <c:v>16.001325159148376</c:v>
                </c:pt>
                <c:pt idx="94">
                  <c:v>10.640874998838122</c:v>
                </c:pt>
                <c:pt idx="95">
                  <c:v>12.064703307977036</c:v>
                </c:pt>
                <c:pt idx="96">
                  <c:v>10.280279228316394</c:v>
                </c:pt>
                <c:pt idx="97">
                  <c:v>16.083544776535526</c:v>
                </c:pt>
                <c:pt idx="98">
                  <c:v>15.035062319384691</c:v>
                </c:pt>
                <c:pt idx="99">
                  <c:v>15.731334788003775</c:v>
                </c:pt>
                <c:pt idx="100">
                  <c:v>13.773414804917453</c:v>
                </c:pt>
                <c:pt idx="101">
                  <c:v>14.65675730307253</c:v>
                </c:pt>
                <c:pt idx="102">
                  <c:v>15.346088722084835</c:v>
                </c:pt>
                <c:pt idx="103">
                  <c:v>13.347740091835364</c:v>
                </c:pt>
                <c:pt idx="104">
                  <c:v>17.970634000481198</c:v>
                </c:pt>
                <c:pt idx="105">
                  <c:v>14.488503965477198</c:v>
                </c:pt>
                <c:pt idx="106">
                  <c:v>20.080424828539144</c:v>
                </c:pt>
                <c:pt idx="107">
                  <c:v>16.811577281750942</c:v>
                </c:pt>
                <c:pt idx="108">
                  <c:v>15.217193347457348</c:v>
                </c:pt>
                <c:pt idx="109">
                  <c:v>17.331028059673478</c:v>
                </c:pt>
                <c:pt idx="110">
                  <c:v>16.840563558886988</c:v>
                </c:pt>
                <c:pt idx="111">
                  <c:v>16.704661278004945</c:v>
                </c:pt>
                <c:pt idx="112">
                  <c:v>13.679651614196409</c:v>
                </c:pt>
                <c:pt idx="113">
                  <c:v>11.676630851771673</c:v>
                </c:pt>
                <c:pt idx="114">
                  <c:v>14.19563867511922</c:v>
                </c:pt>
                <c:pt idx="115">
                  <c:v>12.77527134721322</c:v>
                </c:pt>
                <c:pt idx="116">
                  <c:v>14.165361371338545</c:v>
                </c:pt>
                <c:pt idx="117">
                  <c:v>15.919931368185242</c:v>
                </c:pt>
                <c:pt idx="118">
                  <c:v>12.87298143557776</c:v>
                </c:pt>
                <c:pt idx="119">
                  <c:v>14.25559846700032</c:v>
                </c:pt>
                <c:pt idx="120">
                  <c:v>18.611891848341447</c:v>
                </c:pt>
                <c:pt idx="121">
                  <c:v>15.071351426694077</c:v>
                </c:pt>
                <c:pt idx="122">
                  <c:v>15.80967872496203</c:v>
                </c:pt>
                <c:pt idx="123">
                  <c:v>16.000572391702836</c:v>
                </c:pt>
                <c:pt idx="124">
                  <c:v>15.442213384328239</c:v>
                </c:pt>
                <c:pt idx="125">
                  <c:v>18.725313337593494</c:v>
                </c:pt>
                <c:pt idx="126">
                  <c:v>14.26538227776398</c:v>
                </c:pt>
                <c:pt idx="127">
                  <c:v>17.173087909715402</c:v>
                </c:pt>
                <c:pt idx="128">
                  <c:v>16.261970640040243</c:v>
                </c:pt>
                <c:pt idx="129">
                  <c:v>17.876150429925506</c:v>
                </c:pt>
                <c:pt idx="130">
                  <c:v>15.880597276995076</c:v>
                </c:pt>
                <c:pt idx="131">
                  <c:v>16.317926135903097</c:v>
                </c:pt>
                <c:pt idx="132">
                  <c:v>18.52055960964303</c:v>
                </c:pt>
                <c:pt idx="133">
                  <c:v>15.631356400804226</c:v>
                </c:pt>
                <c:pt idx="134">
                  <c:v>17.360525811350211</c:v>
                </c:pt>
                <c:pt idx="135">
                  <c:v>16.172762419698298</c:v>
                </c:pt>
                <c:pt idx="136">
                  <c:v>15.687863275282213</c:v>
                </c:pt>
                <c:pt idx="137">
                  <c:v>17.064435366753798</c:v>
                </c:pt>
                <c:pt idx="138">
                  <c:v>17.533352198182648</c:v>
                </c:pt>
                <c:pt idx="139">
                  <c:v>16.338075244289957</c:v>
                </c:pt>
                <c:pt idx="140">
                  <c:v>16.455485403591101</c:v>
                </c:pt>
                <c:pt idx="141">
                  <c:v>17.227444622886797</c:v>
                </c:pt>
                <c:pt idx="142">
                  <c:v>15.487805789679493</c:v>
                </c:pt>
                <c:pt idx="143">
                  <c:v>19.174405833225638</c:v>
                </c:pt>
                <c:pt idx="144">
                  <c:v>15.995766579913646</c:v>
                </c:pt>
                <c:pt idx="145">
                  <c:v>16.726926666908732</c:v>
                </c:pt>
                <c:pt idx="146">
                  <c:v>15.083968576532371</c:v>
                </c:pt>
                <c:pt idx="147">
                  <c:v>16.957337312386677</c:v>
                </c:pt>
                <c:pt idx="148">
                  <c:v>14.013228800370502</c:v>
                </c:pt>
                <c:pt idx="149">
                  <c:v>15.958400234951023</c:v>
                </c:pt>
                <c:pt idx="150">
                  <c:v>15.223673729282051</c:v>
                </c:pt>
                <c:pt idx="151">
                  <c:v>15.880256768430979</c:v>
                </c:pt>
                <c:pt idx="152">
                  <c:v>14.389654749199556</c:v>
                </c:pt>
                <c:pt idx="153">
                  <c:v>16.688362163798317</c:v>
                </c:pt>
                <c:pt idx="154">
                  <c:v>18.446661561673807</c:v>
                </c:pt>
                <c:pt idx="155">
                  <c:v>19.308748374888271</c:v>
                </c:pt>
                <c:pt idx="156">
                  <c:v>16.115893804765083</c:v>
                </c:pt>
                <c:pt idx="157">
                  <c:v>19.946780914118996</c:v>
                </c:pt>
                <c:pt idx="158">
                  <c:v>15.483671766444079</c:v>
                </c:pt>
                <c:pt idx="159">
                  <c:v>23.026295888945775</c:v>
                </c:pt>
                <c:pt idx="160">
                  <c:v>18.109490777548569</c:v>
                </c:pt>
                <c:pt idx="161">
                  <c:v>19.663032680440121</c:v>
                </c:pt>
                <c:pt idx="162">
                  <c:v>20.177283153089565</c:v>
                </c:pt>
                <c:pt idx="163">
                  <c:v>19.158176955196279</c:v>
                </c:pt>
                <c:pt idx="164">
                  <c:v>20.8325995429207</c:v>
                </c:pt>
                <c:pt idx="165">
                  <c:v>18.681323659586667</c:v>
                </c:pt>
                <c:pt idx="166">
                  <c:v>20.294220722330145</c:v>
                </c:pt>
                <c:pt idx="167">
                  <c:v>19.639107030795195</c:v>
                </c:pt>
                <c:pt idx="168">
                  <c:v>18.328913020578494</c:v>
                </c:pt>
                <c:pt idx="169">
                  <c:v>21.055388562455612</c:v>
                </c:pt>
                <c:pt idx="170">
                  <c:v>21.175021452015017</c:v>
                </c:pt>
                <c:pt idx="171">
                  <c:v>19.722265058122058</c:v>
                </c:pt>
                <c:pt idx="172">
                  <c:v>20.217126276585446</c:v>
                </c:pt>
                <c:pt idx="173">
                  <c:v>20.725163738349675</c:v>
                </c:pt>
                <c:pt idx="174">
                  <c:v>13.981499437262334</c:v>
                </c:pt>
                <c:pt idx="175">
                  <c:v>18.403722506824145</c:v>
                </c:pt>
                <c:pt idx="176">
                  <c:v>17.865251127563159</c:v>
                </c:pt>
                <c:pt idx="177">
                  <c:v>19.307376941544444</c:v>
                </c:pt>
                <c:pt idx="178">
                  <c:v>16.565677911313209</c:v>
                </c:pt>
                <c:pt idx="179">
                  <c:v>18.493290772885825</c:v>
                </c:pt>
                <c:pt idx="180">
                  <c:v>15.171324561743948</c:v>
                </c:pt>
                <c:pt idx="181">
                  <c:v>15.012398941930883</c:v>
                </c:pt>
                <c:pt idx="182">
                  <c:v>20.223600281689357</c:v>
                </c:pt>
                <c:pt idx="183">
                  <c:v>17.030503753849516</c:v>
                </c:pt>
                <c:pt idx="184">
                  <c:v>17.419247168277842</c:v>
                </c:pt>
                <c:pt idx="185">
                  <c:v>17.218221882566105</c:v>
                </c:pt>
                <c:pt idx="186">
                  <c:v>20.285840862510398</c:v>
                </c:pt>
                <c:pt idx="187">
                  <c:v>19.674547126078991</c:v>
                </c:pt>
                <c:pt idx="188">
                  <c:v>20.136756671354988</c:v>
                </c:pt>
                <c:pt idx="189">
                  <c:v>20.243735762784333</c:v>
                </c:pt>
                <c:pt idx="190">
                  <c:v>19.282540255644612</c:v>
                </c:pt>
                <c:pt idx="191">
                  <c:v>22.028586999877284</c:v>
                </c:pt>
                <c:pt idx="192">
                  <c:v>19.836778041181105</c:v>
                </c:pt>
                <c:pt idx="193">
                  <c:v>17.967306605730386</c:v>
                </c:pt>
                <c:pt idx="194">
                  <c:v>22.804665556568349</c:v>
                </c:pt>
                <c:pt idx="195">
                  <c:v>18.146085775936655</c:v>
                </c:pt>
                <c:pt idx="196">
                  <c:v>20.607966798727226</c:v>
                </c:pt>
                <c:pt idx="197">
                  <c:v>18.980703896157063</c:v>
                </c:pt>
                <c:pt idx="198">
                  <c:v>15.422691677763684</c:v>
                </c:pt>
                <c:pt idx="199">
                  <c:v>17.614484857089099</c:v>
                </c:pt>
                <c:pt idx="200">
                  <c:v>19.258199567153511</c:v>
                </c:pt>
                <c:pt idx="201">
                  <c:v>19.021330554357053</c:v>
                </c:pt>
                <c:pt idx="202">
                  <c:v>18.185874073483678</c:v>
                </c:pt>
                <c:pt idx="203">
                  <c:v>18.896958290803003</c:v>
                </c:pt>
                <c:pt idx="204">
                  <c:v>18.986347875906137</c:v>
                </c:pt>
                <c:pt idx="205">
                  <c:v>16.211582544378246</c:v>
                </c:pt>
                <c:pt idx="206">
                  <c:v>18.548900076851698</c:v>
                </c:pt>
                <c:pt idx="207">
                  <c:v>20.648570459344455</c:v>
                </c:pt>
                <c:pt idx="208">
                  <c:v>17.819649829639541</c:v>
                </c:pt>
                <c:pt idx="209">
                  <c:v>20.479254658267877</c:v>
                </c:pt>
                <c:pt idx="210">
                  <c:v>19.894202319757756</c:v>
                </c:pt>
                <c:pt idx="211">
                  <c:v>23.895221952846537</c:v>
                </c:pt>
                <c:pt idx="212">
                  <c:v>20.423681385338593</c:v>
                </c:pt>
                <c:pt idx="213">
                  <c:v>18.855659948370477</c:v>
                </c:pt>
                <c:pt idx="214">
                  <c:v>16.408898099826523</c:v>
                </c:pt>
                <c:pt idx="215">
                  <c:v>22.20623712293083</c:v>
                </c:pt>
                <c:pt idx="216">
                  <c:v>15.352521210042269</c:v>
                </c:pt>
                <c:pt idx="217">
                  <c:v>19.863942641945595</c:v>
                </c:pt>
                <c:pt idx="218">
                  <c:v>20.639780286037531</c:v>
                </c:pt>
                <c:pt idx="219">
                  <c:v>21.089670995730071</c:v>
                </c:pt>
                <c:pt idx="220">
                  <c:v>20.127623296484696</c:v>
                </c:pt>
                <c:pt idx="221">
                  <c:v>19.250259755515398</c:v>
                </c:pt>
                <c:pt idx="222">
                  <c:v>22.142622867348972</c:v>
                </c:pt>
                <c:pt idx="223">
                  <c:v>17.367356971759104</c:v>
                </c:pt>
                <c:pt idx="224">
                  <c:v>16.408776524960107</c:v>
                </c:pt>
                <c:pt idx="225">
                  <c:v>22.828687331270689</c:v>
                </c:pt>
                <c:pt idx="226">
                  <c:v>21.774160317521307</c:v>
                </c:pt>
                <c:pt idx="227">
                  <c:v>20.09683503965185</c:v>
                </c:pt>
                <c:pt idx="228">
                  <c:v>24.420034908968503</c:v>
                </c:pt>
                <c:pt idx="229">
                  <c:v>24.522899419958257</c:v>
                </c:pt>
                <c:pt idx="230">
                  <c:v>22.530944692965669</c:v>
                </c:pt>
                <c:pt idx="231">
                  <c:v>20.436883009865927</c:v>
                </c:pt>
                <c:pt idx="232">
                  <c:v>21.967272762584436</c:v>
                </c:pt>
                <c:pt idx="233">
                  <c:v>16.816365417130456</c:v>
                </c:pt>
                <c:pt idx="234">
                  <c:v>19.097966617093128</c:v>
                </c:pt>
                <c:pt idx="235">
                  <c:v>22.643646753310176</c:v>
                </c:pt>
                <c:pt idx="236">
                  <c:v>17.558400556446156</c:v>
                </c:pt>
                <c:pt idx="237">
                  <c:v>20.980959762208446</c:v>
                </c:pt>
                <c:pt idx="238">
                  <c:v>18.25011197996864</c:v>
                </c:pt>
                <c:pt idx="239">
                  <c:v>21.867915616442762</c:v>
                </c:pt>
                <c:pt idx="240">
                  <c:v>20.56746286892837</c:v>
                </c:pt>
                <c:pt idx="241">
                  <c:v>22.061281429771437</c:v>
                </c:pt>
                <c:pt idx="242">
                  <c:v>19.446615841649788</c:v>
                </c:pt>
                <c:pt idx="243">
                  <c:v>20.814272423355511</c:v>
                </c:pt>
                <c:pt idx="244">
                  <c:v>23.094732126227012</c:v>
                </c:pt>
                <c:pt idx="245">
                  <c:v>18.494752558644464</c:v>
                </c:pt>
                <c:pt idx="246">
                  <c:v>21.780072492211524</c:v>
                </c:pt>
                <c:pt idx="247">
                  <c:v>18.372744601781736</c:v>
                </c:pt>
                <c:pt idx="248">
                  <c:v>21.591733574605019</c:v>
                </c:pt>
                <c:pt idx="249">
                  <c:v>26.66248124854522</c:v>
                </c:pt>
                <c:pt idx="250">
                  <c:v>20.079402547608236</c:v>
                </c:pt>
                <c:pt idx="251">
                  <c:v>22.975374365506987</c:v>
                </c:pt>
                <c:pt idx="252">
                  <c:v>21.587609027227217</c:v>
                </c:pt>
                <c:pt idx="253">
                  <c:v>23.151161468533054</c:v>
                </c:pt>
                <c:pt idx="254">
                  <c:v>22.110202777403437</c:v>
                </c:pt>
                <c:pt idx="255">
                  <c:v>20.177114919338621</c:v>
                </c:pt>
                <c:pt idx="256">
                  <c:v>24.240376318315441</c:v>
                </c:pt>
                <c:pt idx="257">
                  <c:v>15.205951972443213</c:v>
                </c:pt>
                <c:pt idx="258">
                  <c:v>22.834221199875156</c:v>
                </c:pt>
                <c:pt idx="259">
                  <c:v>18.984081931536181</c:v>
                </c:pt>
                <c:pt idx="260">
                  <c:v>24.206699645929294</c:v>
                </c:pt>
                <c:pt idx="261">
                  <c:v>22.360945631098922</c:v>
                </c:pt>
                <c:pt idx="262">
                  <c:v>17.078789147219538</c:v>
                </c:pt>
                <c:pt idx="263">
                  <c:v>21.810436327606261</c:v>
                </c:pt>
                <c:pt idx="264">
                  <c:v>26.318307802541078</c:v>
                </c:pt>
                <c:pt idx="265">
                  <c:v>23.463309944771193</c:v>
                </c:pt>
                <c:pt idx="266">
                  <c:v>19.787131627890904</c:v>
                </c:pt>
                <c:pt idx="267">
                  <c:v>19.561062924266338</c:v>
                </c:pt>
                <c:pt idx="268">
                  <c:v>22.584567029807712</c:v>
                </c:pt>
                <c:pt idx="269">
                  <c:v>21.622784757262977</c:v>
                </c:pt>
                <c:pt idx="270">
                  <c:v>22.762653221440601</c:v>
                </c:pt>
                <c:pt idx="271">
                  <c:v>19.561328609704095</c:v>
                </c:pt>
                <c:pt idx="272">
                  <c:v>19.340898606245421</c:v>
                </c:pt>
                <c:pt idx="273">
                  <c:v>20.612583047712775</c:v>
                </c:pt>
                <c:pt idx="274">
                  <c:v>24.651194323942704</c:v>
                </c:pt>
                <c:pt idx="275">
                  <c:v>23.183584219845621</c:v>
                </c:pt>
                <c:pt idx="276">
                  <c:v>20.844674060213411</c:v>
                </c:pt>
                <c:pt idx="277">
                  <c:v>19.696028100427892</c:v>
                </c:pt>
                <c:pt idx="278">
                  <c:v>25.014220327310728</c:v>
                </c:pt>
                <c:pt idx="279">
                  <c:v>22.425343506283443</c:v>
                </c:pt>
                <c:pt idx="280">
                  <c:v>20.518007009770017</c:v>
                </c:pt>
                <c:pt idx="281">
                  <c:v>21.884964039348468</c:v>
                </c:pt>
                <c:pt idx="282">
                  <c:v>17.143570424177799</c:v>
                </c:pt>
                <c:pt idx="283">
                  <c:v>23.847360025022766</c:v>
                </c:pt>
                <c:pt idx="284">
                  <c:v>16.572301622797447</c:v>
                </c:pt>
                <c:pt idx="285">
                  <c:v>22.199102279147727</c:v>
                </c:pt>
                <c:pt idx="286">
                  <c:v>23.347185790518612</c:v>
                </c:pt>
                <c:pt idx="287">
                  <c:v>20.711994998510217</c:v>
                </c:pt>
                <c:pt idx="288">
                  <c:v>21.744026733653374</c:v>
                </c:pt>
                <c:pt idx="289">
                  <c:v>21.487253406749403</c:v>
                </c:pt>
                <c:pt idx="290">
                  <c:v>20.624828315982054</c:v>
                </c:pt>
                <c:pt idx="291">
                  <c:v>26.631746108449185</c:v>
                </c:pt>
                <c:pt idx="292">
                  <c:v>18.503438663246371</c:v>
                </c:pt>
                <c:pt idx="293">
                  <c:v>22.81241979494628</c:v>
                </c:pt>
                <c:pt idx="294">
                  <c:v>20.605269815488345</c:v>
                </c:pt>
                <c:pt idx="295">
                  <c:v>21.294259918147056</c:v>
                </c:pt>
                <c:pt idx="296">
                  <c:v>21.048251943661153</c:v>
                </c:pt>
                <c:pt idx="297">
                  <c:v>21.116546077157782</c:v>
                </c:pt>
                <c:pt idx="298">
                  <c:v>21.184840210654411</c:v>
                </c:pt>
                <c:pt idx="299">
                  <c:v>27.370051941158668</c:v>
                </c:pt>
                <c:pt idx="300">
                  <c:v>23.732419807234134</c:v>
                </c:pt>
                <c:pt idx="301">
                  <c:v>24.184799225289854</c:v>
                </c:pt>
                <c:pt idx="302">
                  <c:v>24.261968335772593</c:v>
                </c:pt>
                <c:pt idx="303">
                  <c:v>23.960323966714615</c:v>
                </c:pt>
                <c:pt idx="304">
                  <c:v>19.258184187668267</c:v>
                </c:pt>
                <c:pt idx="305">
                  <c:v>22.687339368296577</c:v>
                </c:pt>
                <c:pt idx="306">
                  <c:v>26.642627098641203</c:v>
                </c:pt>
                <c:pt idx="307">
                  <c:v>24.663247710282828</c:v>
                </c:pt>
                <c:pt idx="308">
                  <c:v>20.96655718434798</c:v>
                </c:pt>
                <c:pt idx="309">
                  <c:v>24.068972754143321</c:v>
                </c:pt>
                <c:pt idx="310">
                  <c:v>21.406384793258837</c:v>
                </c:pt>
                <c:pt idx="311">
                  <c:v>26.638977907836026</c:v>
                </c:pt>
                <c:pt idx="312">
                  <c:v>18.220561662412621</c:v>
                </c:pt>
                <c:pt idx="313">
                  <c:v>22.938512637808724</c:v>
                </c:pt>
                <c:pt idx="314">
                  <c:v>21.684906528487112</c:v>
                </c:pt>
                <c:pt idx="315">
                  <c:v>22.400475786894418</c:v>
                </c:pt>
                <c:pt idx="316">
                  <c:v>25.388637348820556</c:v>
                </c:pt>
                <c:pt idx="317">
                  <c:v>25.465806459303295</c:v>
                </c:pt>
                <c:pt idx="318">
                  <c:v>23.290330316302722</c:v>
                </c:pt>
                <c:pt idx="319">
                  <c:v>53.271968788002766</c:v>
                </c:pt>
                <c:pt idx="320">
                  <c:v>6.3053484122933199</c:v>
                </c:pt>
                <c:pt idx="321">
                  <c:v>20.024053360378893</c:v>
                </c:pt>
                <c:pt idx="322">
                  <c:v>20.108087157454822</c:v>
                </c:pt>
                <c:pt idx="323">
                  <c:v>16.14347008203983</c:v>
                </c:pt>
                <c:pt idx="324">
                  <c:v>15.79658807555913</c:v>
                </c:pt>
                <c:pt idx="325">
                  <c:v>18.97180943557056</c:v>
                </c:pt>
                <c:pt idx="326">
                  <c:v>16.921879581079871</c:v>
                </c:pt>
                <c:pt idx="327">
                  <c:v>19.606759333844877</c:v>
                </c:pt>
                <c:pt idx="328">
                  <c:v>16.191400816492532</c:v>
                </c:pt>
                <c:pt idx="329">
                  <c:v>15.474695736957514</c:v>
                </c:pt>
                <c:pt idx="330">
                  <c:v>22.134743352340838</c:v>
                </c:pt>
                <c:pt idx="331">
                  <c:v>17.4007074077469</c:v>
                </c:pt>
                <c:pt idx="332">
                  <c:v>16.802917870176934</c:v>
                </c:pt>
                <c:pt idx="333">
                  <c:v>17.51179724029781</c:v>
                </c:pt>
                <c:pt idx="334">
                  <c:v>21.169394628543056</c:v>
                </c:pt>
                <c:pt idx="335">
                  <c:v>14.505583592570849</c:v>
                </c:pt>
                <c:pt idx="336">
                  <c:v>19.094876186352753</c:v>
                </c:pt>
                <c:pt idx="337">
                  <c:v>18.184219131096786</c:v>
                </c:pt>
                <c:pt idx="338">
                  <c:v>15.339817415621877</c:v>
                </c:pt>
                <c:pt idx="339">
                  <c:v>19.790333128712785</c:v>
                </c:pt>
                <c:pt idx="340">
                  <c:v>21.546767390753999</c:v>
                </c:pt>
                <c:pt idx="341">
                  <c:v>15.110786462723734</c:v>
                </c:pt>
                <c:pt idx="342">
                  <c:v>13.384497634829001</c:v>
                </c:pt>
                <c:pt idx="343">
                  <c:v>18.505421862187383</c:v>
                </c:pt>
                <c:pt idx="344">
                  <c:v>20.632024657412561</c:v>
                </c:pt>
                <c:pt idx="345">
                  <c:v>17.464143804882973</c:v>
                </c:pt>
                <c:pt idx="346">
                  <c:v>16.87405404749822</c:v>
                </c:pt>
                <c:pt idx="347">
                  <c:v>18.712649430632929</c:v>
                </c:pt>
                <c:pt idx="348">
                  <c:v>17.401527536380833</c:v>
                </c:pt>
                <c:pt idx="349">
                  <c:v>21.812772755280843</c:v>
                </c:pt>
                <c:pt idx="350">
                  <c:v>12.432617429250287</c:v>
                </c:pt>
                <c:pt idx="351">
                  <c:v>15.736988824202625</c:v>
                </c:pt>
                <c:pt idx="352">
                  <c:v>17.386548152683545</c:v>
                </c:pt>
                <c:pt idx="353">
                  <c:v>15.465698698688588</c:v>
                </c:pt>
                <c:pt idx="354">
                  <c:v>16.450281146150065</c:v>
                </c:pt>
                <c:pt idx="355">
                  <c:v>16.10680828640297</c:v>
                </c:pt>
                <c:pt idx="356">
                  <c:v>16.150387313151896</c:v>
                </c:pt>
                <c:pt idx="357">
                  <c:v>19.015647795467721</c:v>
                </c:pt>
                <c:pt idx="358">
                  <c:v>19.565249845398828</c:v>
                </c:pt>
                <c:pt idx="359">
                  <c:v>16.289840198748454</c:v>
                </c:pt>
                <c:pt idx="360">
                  <c:v>21.884912108248766</c:v>
                </c:pt>
                <c:pt idx="361">
                  <c:v>17.180659213311547</c:v>
                </c:pt>
                <c:pt idx="362">
                  <c:v>15.322025788799282</c:v>
                </c:pt>
                <c:pt idx="363">
                  <c:v>17.927210042865195</c:v>
                </c:pt>
                <c:pt idx="364">
                  <c:v>12.032607921332778</c:v>
                </c:pt>
                <c:pt idx="365">
                  <c:v>14.761431338937808</c:v>
                </c:pt>
                <c:pt idx="366">
                  <c:v>16.037879064037242</c:v>
                </c:pt>
                <c:pt idx="367">
                  <c:v>20.048083264330341</c:v>
                </c:pt>
                <c:pt idx="368">
                  <c:v>17.308533001757503</c:v>
                </c:pt>
                <c:pt idx="369">
                  <c:v>16.164095321099445</c:v>
                </c:pt>
                <c:pt idx="370">
                  <c:v>16.786641103686208</c:v>
                </c:pt>
                <c:pt idx="371">
                  <c:v>17.872096859955313</c:v>
                </c:pt>
                <c:pt idx="372">
                  <c:v>15.390900119535546</c:v>
                </c:pt>
                <c:pt idx="373">
                  <c:v>13.113774154402813</c:v>
                </c:pt>
                <c:pt idx="374">
                  <c:v>20.977788738351869</c:v>
                </c:pt>
                <c:pt idx="375">
                  <c:v>18.981073890385055</c:v>
                </c:pt>
                <c:pt idx="376">
                  <c:v>14.870124604768888</c:v>
                </c:pt>
                <c:pt idx="377">
                  <c:v>23.565477665721684</c:v>
                </c:pt>
                <c:pt idx="378">
                  <c:v>17.566008299307285</c:v>
                </c:pt>
                <c:pt idx="379">
                  <c:v>18.485568370746243</c:v>
                </c:pt>
                <c:pt idx="380">
                  <c:v>16.838949646911292</c:v>
                </c:pt>
                <c:pt idx="381">
                  <c:v>19.053328163454509</c:v>
                </c:pt>
                <c:pt idx="382">
                  <c:v>17.753450461037701</c:v>
                </c:pt>
                <c:pt idx="383">
                  <c:v>13.895765529824372</c:v>
                </c:pt>
                <c:pt idx="384">
                  <c:v>14.859067188444939</c:v>
                </c:pt>
                <c:pt idx="385">
                  <c:v>21.034742859538223</c:v>
                </c:pt>
                <c:pt idx="386">
                  <c:v>15.96299346419562</c:v>
                </c:pt>
                <c:pt idx="387">
                  <c:v>19.112872082737233</c:v>
                </c:pt>
                <c:pt idx="388">
                  <c:v>17.816144966069022</c:v>
                </c:pt>
                <c:pt idx="389">
                  <c:v>15.732578137552137</c:v>
                </c:pt>
                <c:pt idx="390">
                  <c:v>17.081266789084783</c:v>
                </c:pt>
                <c:pt idx="391">
                  <c:v>17.537224546292578</c:v>
                </c:pt>
                <c:pt idx="392">
                  <c:v>16.7812937630741</c:v>
                </c:pt>
                <c:pt idx="393">
                  <c:v>14.881376495363257</c:v>
                </c:pt>
                <c:pt idx="394">
                  <c:v>18.52807995125503</c:v>
                </c:pt>
                <c:pt idx="395">
                  <c:v>18.799060852883734</c:v>
                </c:pt>
                <c:pt idx="396">
                  <c:v>16.200543631464807</c:v>
                </c:pt>
                <c:pt idx="397">
                  <c:v>19.130825587533728</c:v>
                </c:pt>
                <c:pt idx="398">
                  <c:v>19.413126033545979</c:v>
                </c:pt>
                <c:pt idx="399">
                  <c:v>17.476744394546355</c:v>
                </c:pt>
                <c:pt idx="400">
                  <c:v>20.245182294970125</c:v>
                </c:pt>
                <c:pt idx="401">
                  <c:v>18.862326152228423</c:v>
                </c:pt>
                <c:pt idx="402">
                  <c:v>18.907494557765371</c:v>
                </c:pt>
                <c:pt idx="403">
                  <c:v>18.952662963302313</c:v>
                </c:pt>
                <c:pt idx="404">
                  <c:v>18.329338650598185</c:v>
                </c:pt>
                <c:pt idx="405">
                  <c:v>17.340396152044718</c:v>
                </c:pt>
                <c:pt idx="406">
                  <c:v>16.988716893152183</c:v>
                </c:pt>
                <c:pt idx="407">
                  <c:v>18.689312466881315</c:v>
                </c:pt>
                <c:pt idx="408">
                  <c:v>19.900328038248869</c:v>
                </c:pt>
                <c:pt idx="409">
                  <c:v>16.177054309429209</c:v>
                </c:pt>
                <c:pt idx="410">
                  <c:v>18.821610573064994</c:v>
                </c:pt>
                <c:pt idx="411">
                  <c:v>17.197660431100129</c:v>
                </c:pt>
                <c:pt idx="412">
                  <c:v>18.695402475289161</c:v>
                </c:pt>
                <c:pt idx="413">
                  <c:v>17.278023330310877</c:v>
                </c:pt>
                <c:pt idx="414">
                  <c:v>15.017740580126141</c:v>
                </c:pt>
                <c:pt idx="415">
                  <c:v>14.585866206750815</c:v>
                </c:pt>
                <c:pt idx="416">
                  <c:v>17.406603969048074</c:v>
                </c:pt>
                <c:pt idx="417">
                  <c:v>15.454591927942161</c:v>
                </c:pt>
                <c:pt idx="418">
                  <c:v>21.975588693707056</c:v>
                </c:pt>
                <c:pt idx="419">
                  <c:v>15.361049861197413</c:v>
                </c:pt>
                <c:pt idx="420">
                  <c:v>18.190201443206679</c:v>
                </c:pt>
                <c:pt idx="421">
                  <c:v>17.03003026050088</c:v>
                </c:pt>
                <c:pt idx="422">
                  <c:v>19.610020443891315</c:v>
                </c:pt>
                <c:pt idx="423">
                  <c:v>17.300483548247097</c:v>
                </c:pt>
                <c:pt idx="424">
                  <c:v>19.23578240697584</c:v>
                </c:pt>
                <c:pt idx="425">
                  <c:v>14.637229621245833</c:v>
                </c:pt>
                <c:pt idx="426">
                  <c:v>17.426190967307924</c:v>
                </c:pt>
                <c:pt idx="427">
                  <c:v>17.663382016379725</c:v>
                </c:pt>
                <c:pt idx="428">
                  <c:v>18.747321382305863</c:v>
                </c:pt>
                <c:pt idx="429">
                  <c:v>16.598447739768655</c:v>
                </c:pt>
                <c:pt idx="430">
                  <c:v>18.839879970818146</c:v>
                </c:pt>
                <c:pt idx="431">
                  <c:v>15.974253471350625</c:v>
                </c:pt>
                <c:pt idx="432">
                  <c:v>16.901591903835165</c:v>
                </c:pt>
                <c:pt idx="433">
                  <c:v>16.939167697307454</c:v>
                </c:pt>
                <c:pt idx="434">
                  <c:v>16.976743490779739</c:v>
                </c:pt>
                <c:pt idx="435">
                  <c:v>19.977014033735806</c:v>
                </c:pt>
                <c:pt idx="436">
                  <c:v>18.242378120839859</c:v>
                </c:pt>
                <c:pt idx="437">
                  <c:v>19.367346029688164</c:v>
                </c:pt>
                <c:pt idx="438">
                  <c:v>19.418424744491737</c:v>
                </c:pt>
                <c:pt idx="439">
                  <c:v>20.16223138239296</c:v>
                </c:pt>
                <c:pt idx="440">
                  <c:v>25.688188780669115</c:v>
                </c:pt>
                <c:pt idx="441">
                  <c:v>20.011489083106721</c:v>
                </c:pt>
                <c:pt idx="442">
                  <c:v>18.491503108393175</c:v>
                </c:pt>
                <c:pt idx="443">
                  <c:v>16.07002773910482</c:v>
                </c:pt>
                <c:pt idx="444">
                  <c:v>19.445718004716717</c:v>
                </c:pt>
                <c:pt idx="445">
                  <c:v>25.979717767267715</c:v>
                </c:pt>
                <c:pt idx="446">
                  <c:v>18.450010365287323</c:v>
                </c:pt>
                <c:pt idx="447">
                  <c:v>16.925201908460558</c:v>
                </c:pt>
                <c:pt idx="448">
                  <c:v>19.39622760199267</c:v>
                </c:pt>
                <c:pt idx="449">
                  <c:v>15.946776581864938</c:v>
                </c:pt>
                <c:pt idx="450">
                  <c:v>16.858826141247139</c:v>
                </c:pt>
                <c:pt idx="451">
                  <c:v>17.264077556875066</c:v>
                </c:pt>
                <c:pt idx="452">
                  <c:v>16.572466906647186</c:v>
                </c:pt>
                <c:pt idx="453">
                  <c:v>18.949571633894443</c:v>
                </c:pt>
                <c:pt idx="454">
                  <c:v>17.381720334093973</c:v>
                </c:pt>
                <c:pt idx="455">
                  <c:v>18.823460187495979</c:v>
                </c:pt>
                <c:pt idx="456">
                  <c:v>17.081883593393393</c:v>
                </c:pt>
                <c:pt idx="457">
                  <c:v>18.076661438295954</c:v>
                </c:pt>
                <c:pt idx="458">
                  <c:v>14.401081461889147</c:v>
                </c:pt>
                <c:pt idx="459">
                  <c:v>17.765468024203805</c:v>
                </c:pt>
                <c:pt idx="460">
                  <c:v>24.498373571890905</c:v>
                </c:pt>
                <c:pt idx="461">
                  <c:v>16.37666401218479</c:v>
                </c:pt>
                <c:pt idx="462">
                  <c:v>21.466590426744929</c:v>
                </c:pt>
                <c:pt idx="463">
                  <c:v>20.525130231902491</c:v>
                </c:pt>
                <c:pt idx="464">
                  <c:v>17.572534512608815</c:v>
                </c:pt>
                <c:pt idx="465">
                  <c:v>16.348325040066534</c:v>
                </c:pt>
                <c:pt idx="466">
                  <c:v>21.915710366525939</c:v>
                </c:pt>
                <c:pt idx="467">
                  <c:v>17.681635513307956</c:v>
                </c:pt>
                <c:pt idx="468">
                  <c:v>16.449615777613417</c:v>
                </c:pt>
                <c:pt idx="469">
                  <c:v>17.383746424705091</c:v>
                </c:pt>
                <c:pt idx="470">
                  <c:v>14.494631512397104</c:v>
                </c:pt>
                <c:pt idx="471">
                  <c:v>20.394318216160389</c:v>
                </c:pt>
                <c:pt idx="472">
                  <c:v>16.426619307660221</c:v>
                </c:pt>
                <c:pt idx="473">
                  <c:v>17.722274343103589</c:v>
                </c:pt>
                <c:pt idx="474">
                  <c:v>20.766781495301107</c:v>
                </c:pt>
                <c:pt idx="475">
                  <c:v>15.862535090828512</c:v>
                </c:pt>
                <c:pt idx="476">
                  <c:v>19.03869706552284</c:v>
                </c:pt>
                <c:pt idx="477">
                  <c:v>19.29086000767504</c:v>
                </c:pt>
                <c:pt idx="478">
                  <c:v>17.163214354722641</c:v>
                </c:pt>
                <c:pt idx="479">
                  <c:v>20.272218735949824</c:v>
                </c:pt>
                <c:pt idx="480">
                  <c:v>18.176226716477412</c:v>
                </c:pt>
                <c:pt idx="481">
                  <c:v>14.832266982853433</c:v>
                </c:pt>
                <c:pt idx="482">
                  <c:v>17.301126884692287</c:v>
                </c:pt>
                <c:pt idx="483">
                  <c:v>16.983080328693656</c:v>
                </c:pt>
                <c:pt idx="484">
                  <c:v>18.938199910033177</c:v>
                </c:pt>
                <c:pt idx="485">
                  <c:v>20.29163205071394</c:v>
                </c:pt>
                <c:pt idx="486">
                  <c:v>17.084371066240536</c:v>
                </c:pt>
                <c:pt idx="487">
                  <c:v>19.6948570758986</c:v>
                </c:pt>
                <c:pt idx="488">
                  <c:v>14.337586760812773</c:v>
                </c:pt>
                <c:pt idx="489">
                  <c:v>20.229856326451991</c:v>
                </c:pt>
                <c:pt idx="490">
                  <c:v>21.465178117711964</c:v>
                </c:pt>
                <c:pt idx="491">
                  <c:v>21.759532506322174</c:v>
                </c:pt>
                <c:pt idx="492">
                  <c:v>16.09846091261187</c:v>
                </c:pt>
                <c:pt idx="493">
                  <c:v>20.629156227399079</c:v>
                </c:pt>
                <c:pt idx="494">
                  <c:v>18.911076437939805</c:v>
                </c:pt>
                <c:pt idx="495">
                  <c:v>17.958569593960586</c:v>
                </c:pt>
                <c:pt idx="496">
                  <c:v>20.515902998782028</c:v>
                </c:pt>
                <c:pt idx="497">
                  <c:v>19.876153877525255</c:v>
                </c:pt>
                <c:pt idx="498">
                  <c:v>16.137024458284738</c:v>
                </c:pt>
                <c:pt idx="499">
                  <c:v>20.878281214952402</c:v>
                </c:pt>
                <c:pt idx="500">
                  <c:v>18.529849280715542</c:v>
                </c:pt>
                <c:pt idx="501">
                  <c:v>17.611082901484316</c:v>
                </c:pt>
                <c:pt idx="502">
                  <c:v>19.423082823114868</c:v>
                </c:pt>
                <c:pt idx="503">
                  <c:v>17.871034603296653</c:v>
                </c:pt>
                <c:pt idx="504">
                  <c:v>19.938276424585364</c:v>
                </c:pt>
                <c:pt idx="505">
                  <c:v>19.542014826624182</c:v>
                </c:pt>
                <c:pt idx="506">
                  <c:v>19.366942199663082</c:v>
                </c:pt>
                <c:pt idx="507">
                  <c:v>17.636227971080277</c:v>
                </c:pt>
                <c:pt idx="508">
                  <c:v>17.315593646136506</c:v>
                </c:pt>
                <c:pt idx="509">
                  <c:v>18.08256651345404</c:v>
                </c:pt>
                <c:pt idx="510">
                  <c:v>17.743154703758293</c:v>
                </c:pt>
                <c:pt idx="511">
                  <c:v>15.911174311401114</c:v>
                </c:pt>
                <c:pt idx="512">
                  <c:v>20.25741042223498</c:v>
                </c:pt>
                <c:pt idx="513">
                  <c:v>23.279916089276153</c:v>
                </c:pt>
                <c:pt idx="514">
                  <c:v>18.070267578363506</c:v>
                </c:pt>
                <c:pt idx="515">
                  <c:v>17.372631314862772</c:v>
                </c:pt>
                <c:pt idx="516">
                  <c:v>17.765747294471897</c:v>
                </c:pt>
                <c:pt idx="517">
                  <c:v>21.633692467533432</c:v>
                </c:pt>
                <c:pt idx="518">
                  <c:v>20.953463326902774</c:v>
                </c:pt>
                <c:pt idx="519">
                  <c:v>14.153155858940067</c:v>
                </c:pt>
                <c:pt idx="520">
                  <c:v>16.846480990581096</c:v>
                </c:pt>
                <c:pt idx="521">
                  <c:v>15.163718249954403</c:v>
                </c:pt>
                <c:pt idx="522">
                  <c:v>20.652528705039263</c:v>
                </c:pt>
                <c:pt idx="523">
                  <c:v>18.197593317639864</c:v>
                </c:pt>
                <c:pt idx="524">
                  <c:v>17.498178620210346</c:v>
                </c:pt>
                <c:pt idx="525">
                  <c:v>20.315072849434728</c:v>
                </c:pt>
                <c:pt idx="526">
                  <c:v>18.297837129525504</c:v>
                </c:pt>
                <c:pt idx="527">
                  <c:v>16.413632447550622</c:v>
                </c:pt>
                <c:pt idx="528">
                  <c:v>17.28023000732918</c:v>
                </c:pt>
                <c:pt idx="529">
                  <c:v>18.596979413607286</c:v>
                </c:pt>
                <c:pt idx="530">
                  <c:v>16.999671039979084</c:v>
                </c:pt>
                <c:pt idx="531">
                  <c:v>17.380806100496613</c:v>
                </c:pt>
                <c:pt idx="532">
                  <c:v>20.366905806023819</c:v>
                </c:pt>
                <c:pt idx="533">
                  <c:v>18.545105198843416</c:v>
                </c:pt>
                <c:pt idx="534">
                  <c:v>17.831721614437228</c:v>
                </c:pt>
                <c:pt idx="535">
                  <c:v>21.397405701162675</c:v>
                </c:pt>
                <c:pt idx="536">
                  <c:v>16.688788093537262</c:v>
                </c:pt>
                <c:pt idx="537">
                  <c:v>15.486253960489009</c:v>
                </c:pt>
                <c:pt idx="538">
                  <c:v>17.966421669798088</c:v>
                </c:pt>
                <c:pt idx="539">
                  <c:v>16.950266183750397</c:v>
                </c:pt>
                <c:pt idx="540">
                  <c:v>16.019509163003278</c:v>
                </c:pt>
                <c:pt idx="541">
                  <c:v>15.030044848437873</c:v>
                </c:pt>
                <c:pt idx="542">
                  <c:v>17.387847653070306</c:v>
                </c:pt>
                <c:pt idx="543">
                  <c:v>14.672986251635068</c:v>
                </c:pt>
                <c:pt idx="544">
                  <c:v>15.834679234465661</c:v>
                </c:pt>
                <c:pt idx="545">
                  <c:v>14.459581392285614</c:v>
                </c:pt>
                <c:pt idx="546">
                  <c:v>21.83534183220981</c:v>
                </c:pt>
                <c:pt idx="547">
                  <c:v>19.03295841668686</c:v>
                </c:pt>
                <c:pt idx="548">
                  <c:v>19.467759344484673</c:v>
                </c:pt>
                <c:pt idx="549">
                  <c:v>18.147331630168377</c:v>
                </c:pt>
                <c:pt idx="550">
                  <c:v>20.823744333443308</c:v>
                </c:pt>
                <c:pt idx="551">
                  <c:v>19.173299753326759</c:v>
                </c:pt>
                <c:pt idx="552">
                  <c:v>17.533352198182648</c:v>
                </c:pt>
                <c:pt idx="553">
                  <c:v>17.053552972697698</c:v>
                </c:pt>
                <c:pt idx="554">
                  <c:v>17.594358990799844</c:v>
                </c:pt>
                <c:pt idx="555">
                  <c:v>17.280970896856324</c:v>
                </c:pt>
                <c:pt idx="556">
                  <c:v>18.382269093540046</c:v>
                </c:pt>
                <c:pt idx="557">
                  <c:v>17.868447269278487</c:v>
                </c:pt>
                <c:pt idx="558">
                  <c:v>21.129227135400914</c:v>
                </c:pt>
                <c:pt idx="559">
                  <c:v>18.292276944826451</c:v>
                </c:pt>
                <c:pt idx="560">
                  <c:v>20.75086847994076</c:v>
                </c:pt>
                <c:pt idx="561">
                  <c:v>20.793580387618171</c:v>
                </c:pt>
                <c:pt idx="562">
                  <c:v>14.913195330922701</c:v>
                </c:pt>
                <c:pt idx="563">
                  <c:v>17.532199964931078</c:v>
                </c:pt>
                <c:pt idx="564">
                  <c:v>19.220636274123542</c:v>
                </c:pt>
                <c:pt idx="565">
                  <c:v>18.487143125338349</c:v>
                </c:pt>
                <c:pt idx="566">
                  <c:v>19.492054086674862</c:v>
                </c:pt>
                <c:pt idx="567">
                  <c:v>19.525125098019746</c:v>
                </c:pt>
                <c:pt idx="568">
                  <c:v>20.177414785012679</c:v>
                </c:pt>
                <c:pt idx="569">
                  <c:v>19.591267120709517</c:v>
                </c:pt>
                <c:pt idx="570">
                  <c:v>22.544537405390539</c:v>
                </c:pt>
                <c:pt idx="571">
                  <c:v>21.859498541988742</c:v>
                </c:pt>
                <c:pt idx="572">
                  <c:v>23.397293372697479</c:v>
                </c:pt>
                <c:pt idx="573">
                  <c:v>18.941039276694283</c:v>
                </c:pt>
                <c:pt idx="574">
                  <c:v>17.527786888172756</c:v>
                </c:pt>
                <c:pt idx="575">
                  <c:v>19.802921593316778</c:v>
                </c:pt>
                <c:pt idx="576">
                  <c:v>15.147865791515427</c:v>
                </c:pt>
                <c:pt idx="577">
                  <c:v>23.080002415185877</c:v>
                </c:pt>
                <c:pt idx="578">
                  <c:v>17.823598782510377</c:v>
                </c:pt>
                <c:pt idx="579">
                  <c:v>18.206736378411865</c:v>
                </c:pt>
                <c:pt idx="580">
                  <c:v>19.371150818561308</c:v>
                </c:pt>
                <c:pt idx="581">
                  <c:v>20.859270157909197</c:v>
                </c:pt>
                <c:pt idx="582">
                  <c:v>17.602845183866556</c:v>
                </c:pt>
                <c:pt idx="583">
                  <c:v>17.13172276341211</c:v>
                </c:pt>
                <c:pt idx="584">
                  <c:v>18.546064955628129</c:v>
                </c:pt>
                <c:pt idx="585">
                  <c:v>17.868018360567007</c:v>
                </c:pt>
                <c:pt idx="586">
                  <c:v>17.897348659911337</c:v>
                </c:pt>
                <c:pt idx="587">
                  <c:v>20.852952175515298</c:v>
                </c:pt>
                <c:pt idx="588">
                  <c:v>22.263877542672009</c:v>
                </c:pt>
                <c:pt idx="589">
                  <c:v>19.468061153987488</c:v>
                </c:pt>
                <c:pt idx="590">
                  <c:v>19.506159121020733</c:v>
                </c:pt>
                <c:pt idx="591">
                  <c:v>20.563347278140967</c:v>
                </c:pt>
                <c:pt idx="592">
                  <c:v>18.61750548051273</c:v>
                </c:pt>
                <c:pt idx="593">
                  <c:v>21.064484085672689</c:v>
                </c:pt>
                <c:pt idx="594">
                  <c:v>22.248182001167802</c:v>
                </c:pt>
                <c:pt idx="595">
                  <c:v>18.714157033948229</c:v>
                </c:pt>
                <c:pt idx="596">
                  <c:v>21.173661845753919</c:v>
                </c:pt>
                <c:pt idx="597">
                  <c:v>19.9356081934068</c:v>
                </c:pt>
                <c:pt idx="598">
                  <c:v>17.242027388770492</c:v>
                </c:pt>
                <c:pt idx="599">
                  <c:v>18.834971475742602</c:v>
                </c:pt>
                <c:pt idx="600">
                  <c:v>21.541937181258952</c:v>
                </c:pt>
                <c:pt idx="601">
                  <c:v>20.275629759121827</c:v>
                </c:pt>
                <c:pt idx="602">
                  <c:v>15.410434635247412</c:v>
                </c:pt>
                <c:pt idx="603">
                  <c:v>17.062580006821037</c:v>
                </c:pt>
                <c:pt idx="604">
                  <c:v>20.172936862375931</c:v>
                </c:pt>
                <c:pt idx="605">
                  <c:v>16.499793099800595</c:v>
                </c:pt>
                <c:pt idx="606">
                  <c:v>16.08035928539341</c:v>
                </c:pt>
                <c:pt idx="607">
                  <c:v>18.00841300430109</c:v>
                </c:pt>
                <c:pt idx="608">
                  <c:v>17.865536259044262</c:v>
                </c:pt>
                <c:pt idx="609">
                  <c:v>19.532061325383726</c:v>
                </c:pt>
                <c:pt idx="610">
                  <c:v>15.756704446476387</c:v>
                </c:pt>
                <c:pt idx="611">
                  <c:v>18.842428623185612</c:v>
                </c:pt>
                <c:pt idx="612">
                  <c:v>19.057519306813514</c:v>
                </c:pt>
                <c:pt idx="613">
                  <c:v>18.538177881755175</c:v>
                </c:pt>
                <c:pt idx="614">
                  <c:v>18.394877421294812</c:v>
                </c:pt>
                <c:pt idx="615">
                  <c:v>20.127790645132063</c:v>
                </c:pt>
                <c:pt idx="616">
                  <c:v>17.110881728413297</c:v>
                </c:pt>
                <c:pt idx="617">
                  <c:v>19.213042063240749</c:v>
                </c:pt>
                <c:pt idx="618">
                  <c:v>19.821653401816857</c:v>
                </c:pt>
                <c:pt idx="619">
                  <c:v>24.221356472236881</c:v>
                </c:pt>
                <c:pt idx="620">
                  <c:v>19.308748374888271</c:v>
                </c:pt>
                <c:pt idx="621">
                  <c:v>16.780249222333278</c:v>
                </c:pt>
                <c:pt idx="622">
                  <c:v>13.650395324820106</c:v>
                </c:pt>
                <c:pt idx="623">
                  <c:v>15.951324172540716</c:v>
                </c:pt>
                <c:pt idx="624">
                  <c:v>17.018358025794328</c:v>
                </c:pt>
                <c:pt idx="625">
                  <c:v>18.194225363330247</c:v>
                </c:pt>
                <c:pt idx="626">
                  <c:v>18.222182071018217</c:v>
                </c:pt>
                <c:pt idx="627">
                  <c:v>19.14681941197988</c:v>
                </c:pt>
                <c:pt idx="628">
                  <c:v>18.45258705554998</c:v>
                </c:pt>
                <c:pt idx="629">
                  <c:v>16.998241943439989</c:v>
                </c:pt>
                <c:pt idx="630">
                  <c:v>16.567188995055222</c:v>
                </c:pt>
                <c:pt idx="631">
                  <c:v>20.040731374749473</c:v>
                </c:pt>
                <c:pt idx="632">
                  <c:v>20.071234771058073</c:v>
                </c:pt>
                <c:pt idx="633">
                  <c:v>19.904179285622796</c:v>
                </c:pt>
                <c:pt idx="634">
                  <c:v>18.112035021287685</c:v>
                </c:pt>
                <c:pt idx="635">
                  <c:v>19.775316644169958</c:v>
                </c:pt>
                <c:pt idx="636">
                  <c:v>19.422524225816598</c:v>
                </c:pt>
                <c:pt idx="637">
                  <c:v>17.211044361663209</c:v>
                </c:pt>
                <c:pt idx="638">
                  <c:v>18.394080616160231</c:v>
                </c:pt>
                <c:pt idx="639">
                  <c:v>21.340337342170024</c:v>
                </c:pt>
                <c:pt idx="640">
                  <c:v>16.239365112680176</c:v>
                </c:pt>
                <c:pt idx="641">
                  <c:v>18.138843415980183</c:v>
                </c:pt>
                <c:pt idx="642">
                  <c:v>18.166021784898348</c:v>
                </c:pt>
                <c:pt idx="643">
                  <c:v>18.543625987023322</c:v>
                </c:pt>
                <c:pt idx="644">
                  <c:v>15.641936750506025</c:v>
                </c:pt>
                <c:pt idx="645">
                  <c:v>19.698229039653317</c:v>
                </c:pt>
                <c:pt idx="646">
                  <c:v>16.986419692186193</c:v>
                </c:pt>
                <c:pt idx="647">
                  <c:v>20.752044966527567</c:v>
                </c:pt>
                <c:pt idx="648">
                  <c:v>19.413298848748418</c:v>
                </c:pt>
                <c:pt idx="649">
                  <c:v>16.763823779799658</c:v>
                </c:pt>
                <c:pt idx="650">
                  <c:v>18.055261543171376</c:v>
                </c:pt>
                <c:pt idx="651">
                  <c:v>18.59487630631444</c:v>
                </c:pt>
                <c:pt idx="652">
                  <c:v>19.5283747162573</c:v>
                </c:pt>
                <c:pt idx="653">
                  <c:v>18.655231466942784</c:v>
                </c:pt>
                <c:pt idx="654">
                  <c:v>21.403849827193834</c:v>
                </c:pt>
                <c:pt idx="655">
                  <c:v>21.872723275262935</c:v>
                </c:pt>
                <c:pt idx="656">
                  <c:v>18.053115975549602</c:v>
                </c:pt>
                <c:pt idx="657">
                  <c:v>16.377112933895649</c:v>
                </c:pt>
                <c:pt idx="658">
                  <c:v>21.975351888871202</c:v>
                </c:pt>
                <c:pt idx="659">
                  <c:v>15.868127453146901</c:v>
                </c:pt>
                <c:pt idx="660">
                  <c:v>18.852757447181002</c:v>
                </c:pt>
                <c:pt idx="661">
                  <c:v>19.798803004903174</c:v>
                </c:pt>
                <c:pt idx="662">
                  <c:v>15.401825513270376</c:v>
                </c:pt>
                <c:pt idx="663">
                  <c:v>17.125989845477488</c:v>
                </c:pt>
                <c:pt idx="664">
                  <c:v>19.152884905354433</c:v>
                </c:pt>
                <c:pt idx="665">
                  <c:v>18.476764398345885</c:v>
                </c:pt>
                <c:pt idx="666">
                  <c:v>18.850916681635987</c:v>
                </c:pt>
                <c:pt idx="667">
                  <c:v>18.191676646224593</c:v>
                </c:pt>
                <c:pt idx="668">
                  <c:v>17.888138461118881</c:v>
                </c:pt>
                <c:pt idx="669">
                  <c:v>21.24866586856999</c:v>
                </c:pt>
                <c:pt idx="670">
                  <c:v>17.304592288825457</c:v>
                </c:pt>
                <c:pt idx="671">
                  <c:v>18.636828773728606</c:v>
                </c:pt>
                <c:pt idx="672">
                  <c:v>17.205204463538831</c:v>
                </c:pt>
                <c:pt idx="673">
                  <c:v>19.04660093784674</c:v>
                </c:pt>
                <c:pt idx="674">
                  <c:v>20.584004079852143</c:v>
                </c:pt>
                <c:pt idx="675">
                  <c:v>21.227097423271168</c:v>
                </c:pt>
                <c:pt idx="676">
                  <c:v>17.150758052677531</c:v>
                </c:pt>
                <c:pt idx="677">
                  <c:v>19.335598732207757</c:v>
                </c:pt>
                <c:pt idx="678">
                  <c:v>16.048111103460897</c:v>
                </c:pt>
                <c:pt idx="679">
                  <c:v>15.40545564965741</c:v>
                </c:pt>
                <c:pt idx="680">
                  <c:v>16.80402152413297</c:v>
                </c:pt>
                <c:pt idx="681">
                  <c:v>22.745066490933244</c:v>
                </c:pt>
                <c:pt idx="682">
                  <c:v>17.775502142202825</c:v>
                </c:pt>
                <c:pt idx="683">
                  <c:v>16.879971903903062</c:v>
                </c:pt>
                <c:pt idx="684">
                  <c:v>17.986512198595012</c:v>
                </c:pt>
                <c:pt idx="685">
                  <c:v>16.492492712888907</c:v>
                </c:pt>
                <c:pt idx="686">
                  <c:v>17.880623388326807</c:v>
                </c:pt>
                <c:pt idx="687">
                  <c:v>19.626400869780692</c:v>
                </c:pt>
                <c:pt idx="688">
                  <c:v>18.256686833685958</c:v>
                </c:pt>
                <c:pt idx="689">
                  <c:v>21.041556749623719</c:v>
                </c:pt>
                <c:pt idx="690">
                  <c:v>20.084098803036955</c:v>
                </c:pt>
                <c:pt idx="691">
                  <c:v>18.173398172014839</c:v>
                </c:pt>
                <c:pt idx="692">
                  <c:v>19.223731483465265</c:v>
                </c:pt>
                <c:pt idx="693">
                  <c:v>19.250408879362386</c:v>
                </c:pt>
                <c:pt idx="694">
                  <c:v>18.414687194334832</c:v>
                </c:pt>
                <c:pt idx="695">
                  <c:v>17.17427962551217</c:v>
                </c:pt>
                <c:pt idx="696">
                  <c:v>16.19739282068829</c:v>
                </c:pt>
                <c:pt idx="697">
                  <c:v>17.686871546793629</c:v>
                </c:pt>
                <c:pt idx="698">
                  <c:v>16.806987806684884</c:v>
                </c:pt>
                <c:pt idx="699">
                  <c:v>14.848038359749927</c:v>
                </c:pt>
                <c:pt idx="700">
                  <c:v>21.584976391979996</c:v>
                </c:pt>
                <c:pt idx="701">
                  <c:v>20.021452830257125</c:v>
                </c:pt>
                <c:pt idx="702">
                  <c:v>15.535941639155565</c:v>
                </c:pt>
                <c:pt idx="703">
                  <c:v>16.782249566919319</c:v>
                </c:pt>
                <c:pt idx="704">
                  <c:v>18.346160335447298</c:v>
                </c:pt>
                <c:pt idx="705">
                  <c:v>14.854007347561703</c:v>
                </c:pt>
                <c:pt idx="706">
                  <c:v>18.401223845321766</c:v>
                </c:pt>
                <c:pt idx="707">
                  <c:v>18.100130788878662</c:v>
                </c:pt>
                <c:pt idx="708">
                  <c:v>18.124716676937446</c:v>
                </c:pt>
                <c:pt idx="709">
                  <c:v>18.983645503159799</c:v>
                </c:pt>
                <c:pt idx="710">
                  <c:v>16.519195327059577</c:v>
                </c:pt>
                <c:pt idx="711">
                  <c:v>19.570317815954503</c:v>
                </c:pt>
                <c:pt idx="712">
                  <c:v>19.417375562209781</c:v>
                </c:pt>
                <c:pt idx="713">
                  <c:v>19.989962505168926</c:v>
                </c:pt>
                <c:pt idx="714">
                  <c:v>21.593985329515508</c:v>
                </c:pt>
                <c:pt idx="715">
                  <c:v>20.615106309349109</c:v>
                </c:pt>
                <c:pt idx="716">
                  <c:v>20.648338613985349</c:v>
                </c:pt>
                <c:pt idx="717">
                  <c:v>15.867488410114291</c:v>
                </c:pt>
                <c:pt idx="718">
                  <c:v>20.509780948068272</c:v>
                </c:pt>
                <c:pt idx="719">
                  <c:v>17.923840266541347</c:v>
                </c:pt>
                <c:pt idx="720">
                  <c:v>20.759112962772821</c:v>
                </c:pt>
                <c:pt idx="721">
                  <c:v>16.49761961899641</c:v>
                </c:pt>
                <c:pt idx="722">
                  <c:v>23.629095888523239</c:v>
                </c:pt>
                <c:pt idx="723">
                  <c:v>22.07984934641307</c:v>
                </c:pt>
                <c:pt idx="724">
                  <c:v>18.698683582735992</c:v>
                </c:pt>
                <c:pt idx="725">
                  <c:v>17.914795828270574</c:v>
                </c:pt>
                <c:pt idx="726">
                  <c:v>17.332487257637982</c:v>
                </c:pt>
                <c:pt idx="727">
                  <c:v>21.778107926055949</c:v>
                </c:pt>
                <c:pt idx="728">
                  <c:v>20.991739095226521</c:v>
                </c:pt>
                <c:pt idx="729">
                  <c:v>18.996910906690992</c:v>
                </c:pt>
                <c:pt idx="730">
                  <c:v>21.052664987059632</c:v>
                </c:pt>
                <c:pt idx="731">
                  <c:v>14.801600333724695</c:v>
                </c:pt>
                <c:pt idx="732">
                  <c:v>17.474631994406973</c:v>
                </c:pt>
                <c:pt idx="733">
                  <c:v>19.102032152814974</c:v>
                </c:pt>
                <c:pt idx="734">
                  <c:v>20.014510931535899</c:v>
                </c:pt>
                <c:pt idx="735">
                  <c:v>20.603878379519486</c:v>
                </c:pt>
                <c:pt idx="736">
                  <c:v>20.257552099064739</c:v>
                </c:pt>
                <c:pt idx="737">
                  <c:v>20.856680307796218</c:v>
                </c:pt>
                <c:pt idx="738">
                  <c:v>18.079342003002111</c:v>
                </c:pt>
                <c:pt idx="739">
                  <c:v>20.150699699978695</c:v>
                </c:pt>
                <c:pt idx="740">
                  <c:v>18.945885338100918</c:v>
                </c:pt>
                <c:pt idx="741">
                  <c:v>22.852590263517794</c:v>
                </c:pt>
                <c:pt idx="742">
                  <c:v>24.040619160182771</c:v>
                </c:pt>
                <c:pt idx="743">
                  <c:v>17.435390257859435</c:v>
                </c:pt>
                <c:pt idx="744">
                  <c:v>19.044228890336068</c:v>
                </c:pt>
                <c:pt idx="745">
                  <c:v>21.484684947330784</c:v>
                </c:pt>
                <c:pt idx="746">
                  <c:v>22.564175146580098</c:v>
                </c:pt>
                <c:pt idx="747">
                  <c:v>21.139335344545085</c:v>
                </c:pt>
                <c:pt idx="748">
                  <c:v>22.622270345206722</c:v>
                </c:pt>
                <c:pt idx="749">
                  <c:v>20.423077236864291</c:v>
                </c:pt>
                <c:pt idx="750">
                  <c:v>22.686175063696009</c:v>
                </c:pt>
                <c:pt idx="751">
                  <c:v>19.398209819182206</c:v>
                </c:pt>
                <c:pt idx="752">
                  <c:v>18.106592532518249</c:v>
                </c:pt>
                <c:pt idx="753">
                  <c:v>21.711772362345105</c:v>
                </c:pt>
                <c:pt idx="754">
                  <c:v>17.542706076490489</c:v>
                </c:pt>
                <c:pt idx="755">
                  <c:v>16.848059612193069</c:v>
                </c:pt>
                <c:pt idx="756">
                  <c:v>20.616884330417506</c:v>
                </c:pt>
                <c:pt idx="757">
                  <c:v>18.070722826018862</c:v>
                </c:pt>
                <c:pt idx="758">
                  <c:v>21.44916875021211</c:v>
                </c:pt>
                <c:pt idx="759">
                  <c:v>17.962064297386405</c:v>
                </c:pt>
                <c:pt idx="760">
                  <c:v>19.986697211412654</c:v>
                </c:pt>
                <c:pt idx="761">
                  <c:v>17.859104498872565</c:v>
                </c:pt>
                <c:pt idx="762">
                  <c:v>17.730424205207072</c:v>
                </c:pt>
                <c:pt idx="763">
                  <c:v>17.30989245839865</c:v>
                </c:pt>
                <c:pt idx="764">
                  <c:v>22.888590047516661</c:v>
                </c:pt>
                <c:pt idx="765">
                  <c:v>18.421087626314225</c:v>
                </c:pt>
                <c:pt idx="766">
                  <c:v>18.766375821960544</c:v>
                </c:pt>
                <c:pt idx="767">
                  <c:v>15.049220148142876</c:v>
                </c:pt>
                <c:pt idx="768">
                  <c:v>14.836251727727152</c:v>
                </c:pt>
                <c:pt idx="769">
                  <c:v>20.973070340190979</c:v>
                </c:pt>
                <c:pt idx="770">
                  <c:v>16.625886804335067</c:v>
                </c:pt>
                <c:pt idx="771">
                  <c:v>18.093499610922379</c:v>
                </c:pt>
                <c:pt idx="772">
                  <c:v>17.662209176544103</c:v>
                </c:pt>
                <c:pt idx="773">
                  <c:v>18.772190123482329</c:v>
                </c:pt>
                <c:pt idx="774">
                  <c:v>24.585737424730713</c:v>
                </c:pt>
                <c:pt idx="775">
                  <c:v>16.463818296672422</c:v>
                </c:pt>
                <c:pt idx="776">
                  <c:v>20.405927908543624</c:v>
                </c:pt>
                <c:pt idx="777">
                  <c:v>15.364538751642458</c:v>
                </c:pt>
                <c:pt idx="778">
                  <c:v>18.730957792260259</c:v>
                </c:pt>
                <c:pt idx="779">
                  <c:v>15.649895605899117</c:v>
                </c:pt>
                <c:pt idx="780">
                  <c:v>20.698047245002421</c:v>
                </c:pt>
                <c:pt idx="781">
                  <c:v>16.456783072257736</c:v>
                </c:pt>
                <c:pt idx="782">
                  <c:v>22.128627973166118</c:v>
                </c:pt>
                <c:pt idx="783">
                  <c:v>19.180478397771108</c:v>
                </c:pt>
                <c:pt idx="784">
                  <c:v>22.397251425900134</c:v>
                </c:pt>
                <c:pt idx="785">
                  <c:v>23.515753525440065</c:v>
                </c:pt>
                <c:pt idx="786">
                  <c:v>24.718634791128515</c:v>
                </c:pt>
                <c:pt idx="787">
                  <c:v>21.859458198100803</c:v>
                </c:pt>
                <c:pt idx="788">
                  <c:v>18.490168262083611</c:v>
                </c:pt>
                <c:pt idx="789">
                  <c:v>17.036453727165988</c:v>
                </c:pt>
                <c:pt idx="790">
                  <c:v>21.743035434095322</c:v>
                </c:pt>
                <c:pt idx="791">
                  <c:v>18.097282256533621</c:v>
                </c:pt>
                <c:pt idx="792">
                  <c:v>20.094508511278622</c:v>
                </c:pt>
                <c:pt idx="793">
                  <c:v>17.550725862673961</c:v>
                </c:pt>
                <c:pt idx="794">
                  <c:v>18.634411407960421</c:v>
                </c:pt>
                <c:pt idx="795">
                  <c:v>18.499174637094047</c:v>
                </c:pt>
                <c:pt idx="796">
                  <c:v>19.165701010154692</c:v>
                </c:pt>
                <c:pt idx="797">
                  <c:v>22.764869222454593</c:v>
                </c:pt>
                <c:pt idx="798">
                  <c:v>19.21657521650404</c:v>
                </c:pt>
                <c:pt idx="799">
                  <c:v>19.747098740224054</c:v>
                </c:pt>
                <c:pt idx="800">
                  <c:v>18.615381097728122</c:v>
                </c:pt>
                <c:pt idx="801">
                  <c:v>20.144907260029147</c:v>
                </c:pt>
                <c:pt idx="802">
                  <c:v>16.762497165933098</c:v>
                </c:pt>
                <c:pt idx="803">
                  <c:v>19.166612893366871</c:v>
                </c:pt>
                <c:pt idx="804">
                  <c:v>20.954168394047038</c:v>
                </c:pt>
                <c:pt idx="805">
                  <c:v>20.425924125823116</c:v>
                </c:pt>
                <c:pt idx="806">
                  <c:v>19.574579959774315</c:v>
                </c:pt>
                <c:pt idx="807">
                  <c:v>15.836920376282587</c:v>
                </c:pt>
                <c:pt idx="808">
                  <c:v>19.9702029807987</c:v>
                </c:pt>
                <c:pt idx="809">
                  <c:v>20.169707508060956</c:v>
                </c:pt>
                <c:pt idx="810">
                  <c:v>16.662382115871445</c:v>
                </c:pt>
                <c:pt idx="811">
                  <c:v>19.867512216729544</c:v>
                </c:pt>
                <c:pt idx="812">
                  <c:v>22.345687036207373</c:v>
                </c:pt>
                <c:pt idx="813">
                  <c:v>22.585083366502488</c:v>
                </c:pt>
                <c:pt idx="814">
                  <c:v>22.198769256176167</c:v>
                </c:pt>
                <c:pt idx="815">
                  <c:v>14.816016085419806</c:v>
                </c:pt>
                <c:pt idx="816">
                  <c:v>24.442114258886566</c:v>
                </c:pt>
                <c:pt idx="817">
                  <c:v>19.339565052159394</c:v>
                </c:pt>
                <c:pt idx="818">
                  <c:v>24.271465501683021</c:v>
                </c:pt>
                <c:pt idx="819">
                  <c:v>23.395854992660009</c:v>
                </c:pt>
                <c:pt idx="820">
                  <c:v>24.328454150430805</c:v>
                </c:pt>
                <c:pt idx="821">
                  <c:v>18.01784731880208</c:v>
                </c:pt>
                <c:pt idx="822">
                  <c:v>17.895549903042113</c:v>
                </c:pt>
                <c:pt idx="823">
                  <c:v>17.204143797849898</c:v>
                </c:pt>
                <c:pt idx="824">
                  <c:v>19.012600904297159</c:v>
                </c:pt>
                <c:pt idx="825">
                  <c:v>21.693925833464075</c:v>
                </c:pt>
                <c:pt idx="826">
                  <c:v>19.218760797174294</c:v>
                </c:pt>
                <c:pt idx="827">
                  <c:v>19.739777154532145</c:v>
                </c:pt>
                <c:pt idx="828">
                  <c:v>21.579890097165976</c:v>
                </c:pt>
                <c:pt idx="829">
                  <c:v>19.454794300134775</c:v>
                </c:pt>
                <c:pt idx="830">
                  <c:v>19.312619861532585</c:v>
                </c:pt>
                <c:pt idx="831">
                  <c:v>20.00743787884392</c:v>
                </c:pt>
                <c:pt idx="832">
                  <c:v>20.563565322752549</c:v>
                </c:pt>
                <c:pt idx="833">
                  <c:v>18.74337829294171</c:v>
                </c:pt>
                <c:pt idx="834">
                  <c:v>20.432197547380312</c:v>
                </c:pt>
                <c:pt idx="835">
                  <c:v>19.428826322166664</c:v>
                </c:pt>
                <c:pt idx="836">
                  <c:v>17.614343317871533</c:v>
                </c:pt>
                <c:pt idx="837">
                  <c:v>21.234968126034673</c:v>
                </c:pt>
                <c:pt idx="838">
                  <c:v>16.066432318120093</c:v>
                </c:pt>
                <c:pt idx="839">
                  <c:v>16.721806771055654</c:v>
                </c:pt>
                <c:pt idx="840">
                  <c:v>21.317822029670797</c:v>
                </c:pt>
                <c:pt idx="841">
                  <c:v>16.125351162284637</c:v>
                </c:pt>
                <c:pt idx="842">
                  <c:v>16.915469017816005</c:v>
                </c:pt>
                <c:pt idx="843">
                  <c:v>21.390928415232082</c:v>
                </c:pt>
                <c:pt idx="844">
                  <c:v>24.802896152366664</c:v>
                </c:pt>
                <c:pt idx="845">
                  <c:v>21.065181226961098</c:v>
                </c:pt>
                <c:pt idx="846">
                  <c:v>23.497450306184025</c:v>
                </c:pt>
                <c:pt idx="847">
                  <c:v>22.274787642741927</c:v>
                </c:pt>
                <c:pt idx="848">
                  <c:v>19.566581117126333</c:v>
                </c:pt>
                <c:pt idx="849">
                  <c:v>18.787650354327663</c:v>
                </c:pt>
                <c:pt idx="850">
                  <c:v>17.624393854941143</c:v>
                </c:pt>
                <c:pt idx="851">
                  <c:v>23.856555468183821</c:v>
                </c:pt>
                <c:pt idx="852">
                  <c:v>16.849714190923592</c:v>
                </c:pt>
                <c:pt idx="853">
                  <c:v>20.189705782002786</c:v>
                </c:pt>
                <c:pt idx="854">
                  <c:v>17.154693260312492</c:v>
                </c:pt>
                <c:pt idx="855">
                  <c:v>22.892496920770597</c:v>
                </c:pt>
                <c:pt idx="856">
                  <c:v>22.507132366453067</c:v>
                </c:pt>
                <c:pt idx="857">
                  <c:v>22.741858361783009</c:v>
                </c:pt>
                <c:pt idx="858">
                  <c:v>20.135441644740975</c:v>
                </c:pt>
                <c:pt idx="859">
                  <c:v>21.989618279778696</c:v>
                </c:pt>
                <c:pt idx="860">
                  <c:v>18.566748621353973</c:v>
                </c:pt>
                <c:pt idx="861">
                  <c:v>20.728926623434685</c:v>
                </c:pt>
                <c:pt idx="862">
                  <c:v>18.019182582205449</c:v>
                </c:pt>
                <c:pt idx="863">
                  <c:v>18.332573880284809</c:v>
                </c:pt>
                <c:pt idx="864">
                  <c:v>15.824759178660068</c:v>
                </c:pt>
                <c:pt idx="865">
                  <c:v>19.956583186958071</c:v>
                </c:pt>
                <c:pt idx="866">
                  <c:v>21.403766398959196</c:v>
                </c:pt>
                <c:pt idx="867">
                  <c:v>18.568305478068531</c:v>
                </c:pt>
                <c:pt idx="868">
                  <c:v>22.62109101115589</c:v>
                </c:pt>
                <c:pt idx="869">
                  <c:v>21.474969879993662</c:v>
                </c:pt>
                <c:pt idx="870">
                  <c:v>19.741644722191815</c:v>
                </c:pt>
                <c:pt idx="871">
                  <c:v>23.754464034157365</c:v>
                </c:pt>
                <c:pt idx="872">
                  <c:v>17.796545246634402</c:v>
                </c:pt>
                <c:pt idx="873">
                  <c:v>20.487034312815698</c:v>
                </c:pt>
                <c:pt idx="874">
                  <c:v>18.869489887683848</c:v>
                </c:pt>
                <c:pt idx="875">
                  <c:v>21.066546356480362</c:v>
                </c:pt>
                <c:pt idx="876">
                  <c:v>15.92643162045716</c:v>
                </c:pt>
                <c:pt idx="877">
                  <c:v>19.408237899968345</c:v>
                </c:pt>
                <c:pt idx="878">
                  <c:v>16.83237729225921</c:v>
                </c:pt>
                <c:pt idx="879">
                  <c:v>19.612495748001908</c:v>
                </c:pt>
                <c:pt idx="880">
                  <c:v>18.545248410498015</c:v>
                </c:pt>
                <c:pt idx="881">
                  <c:v>19.337357428953005</c:v>
                </c:pt>
                <c:pt idx="882">
                  <c:v>18.585722544960039</c:v>
                </c:pt>
                <c:pt idx="883">
                  <c:v>21.260793326177879</c:v>
                </c:pt>
                <c:pt idx="884">
                  <c:v>16.562124659474247</c:v>
                </c:pt>
                <c:pt idx="885">
                  <c:v>25.047584794976537</c:v>
                </c:pt>
                <c:pt idx="886">
                  <c:v>21.152053894043391</c:v>
                </c:pt>
                <c:pt idx="887">
                  <c:v>18.690955294561292</c:v>
                </c:pt>
                <c:pt idx="888">
                  <c:v>22.333310854463964</c:v>
                </c:pt>
                <c:pt idx="889">
                  <c:v>17.177841232528507</c:v>
                </c:pt>
                <c:pt idx="890">
                  <c:v>18.60536811184047</c:v>
                </c:pt>
                <c:pt idx="891">
                  <c:v>17.759263189314829</c:v>
                </c:pt>
                <c:pt idx="892">
                  <c:v>21.664525579883687</c:v>
                </c:pt>
                <c:pt idx="893">
                  <c:v>24.129718105359544</c:v>
                </c:pt>
                <c:pt idx="894">
                  <c:v>21.900379407072311</c:v>
                </c:pt>
                <c:pt idx="895">
                  <c:v>23.326905092274057</c:v>
                </c:pt>
                <c:pt idx="896">
                  <c:v>18.580293182666765</c:v>
                </c:pt>
                <c:pt idx="897">
                  <c:v>19.367146763842541</c:v>
                </c:pt>
                <c:pt idx="898">
                  <c:v>24.264665980330367</c:v>
                </c:pt>
                <c:pt idx="899">
                  <c:v>18.790056703369316</c:v>
                </c:pt>
                <c:pt idx="900">
                  <c:v>19.120062586916227</c:v>
                </c:pt>
                <c:pt idx="901">
                  <c:v>17.543124796408691</c:v>
                </c:pt>
                <c:pt idx="902">
                  <c:v>23.719365707554669</c:v>
                </c:pt>
                <c:pt idx="903">
                  <c:v>21.741785822571725</c:v>
                </c:pt>
                <c:pt idx="904">
                  <c:v>21.2127576405084</c:v>
                </c:pt>
                <c:pt idx="905">
                  <c:v>23.377075362656409</c:v>
                </c:pt>
                <c:pt idx="906">
                  <c:v>21.262341221903551</c:v>
                </c:pt>
                <c:pt idx="907">
                  <c:v>18.363940298436159</c:v>
                </c:pt>
                <c:pt idx="908">
                  <c:v>22.051725326466446</c:v>
                </c:pt>
                <c:pt idx="909">
                  <c:v>17.69645417535833</c:v>
                </c:pt>
                <c:pt idx="910">
                  <c:v>18.72097853094591</c:v>
                </c:pt>
                <c:pt idx="911">
                  <c:v>20.498003975887141</c:v>
                </c:pt>
                <c:pt idx="912">
                  <c:v>21.221087503484547</c:v>
                </c:pt>
                <c:pt idx="913">
                  <c:v>19.55143020320331</c:v>
                </c:pt>
                <c:pt idx="914">
                  <c:v>24.476610390012869</c:v>
                </c:pt>
                <c:pt idx="915">
                  <c:v>25.655221275491588</c:v>
                </c:pt>
                <c:pt idx="916">
                  <c:v>19.777713686673469</c:v>
                </c:pt>
                <c:pt idx="917">
                  <c:v>21.519274325496621</c:v>
                </c:pt>
                <c:pt idx="918">
                  <c:v>20.482543089969646</c:v>
                </c:pt>
                <c:pt idx="919">
                  <c:v>16.708611116835673</c:v>
                </c:pt>
                <c:pt idx="920">
                  <c:v>18.482001960615573</c:v>
                </c:pt>
                <c:pt idx="921">
                  <c:v>19.564810094806514</c:v>
                </c:pt>
                <c:pt idx="922">
                  <c:v>19.427584541770074</c:v>
                </c:pt>
                <c:pt idx="923">
                  <c:v>15.148222796570495</c:v>
                </c:pt>
                <c:pt idx="924">
                  <c:v>16.799399808379608</c:v>
                </c:pt>
                <c:pt idx="925">
                  <c:v>19.336092539193725</c:v>
                </c:pt>
                <c:pt idx="926">
                  <c:v>27.474227561308719</c:v>
                </c:pt>
                <c:pt idx="927">
                  <c:v>19.851715161089661</c:v>
                </c:pt>
                <c:pt idx="928">
                  <c:v>18.640198637105183</c:v>
                </c:pt>
                <c:pt idx="929">
                  <c:v>18.960768581050793</c:v>
                </c:pt>
                <c:pt idx="930">
                  <c:v>17.294095910153025</c:v>
                </c:pt>
                <c:pt idx="931">
                  <c:v>20.433436114701372</c:v>
                </c:pt>
                <c:pt idx="932">
                  <c:v>18.574680964551749</c:v>
                </c:pt>
                <c:pt idx="933">
                  <c:v>21.8934049851146</c:v>
                </c:pt>
                <c:pt idx="934">
                  <c:v>23.696216439931277</c:v>
                </c:pt>
                <c:pt idx="935">
                  <c:v>19.388824697368019</c:v>
                </c:pt>
                <c:pt idx="936">
                  <c:v>17.80722837551529</c:v>
                </c:pt>
                <c:pt idx="937">
                  <c:v>20.56833810679348</c:v>
                </c:pt>
                <c:pt idx="938">
                  <c:v>21.645114875661385</c:v>
                </c:pt>
                <c:pt idx="939">
                  <c:v>23.411609688250241</c:v>
                </c:pt>
                <c:pt idx="940">
                  <c:v>19.337372083252276</c:v>
                </c:pt>
                <c:pt idx="941">
                  <c:v>22.271868639052393</c:v>
                </c:pt>
                <c:pt idx="942">
                  <c:v>17.783973832861268</c:v>
                </c:pt>
                <c:pt idx="943">
                  <c:v>21.393318750825525</c:v>
                </c:pt>
                <c:pt idx="944">
                  <c:v>20.054440378722418</c:v>
                </c:pt>
                <c:pt idx="945">
                  <c:v>19.59593621837524</c:v>
                </c:pt>
                <c:pt idx="946">
                  <c:v>17.458037368906062</c:v>
                </c:pt>
                <c:pt idx="947">
                  <c:v>19.793799048634771</c:v>
                </c:pt>
                <c:pt idx="948">
                  <c:v>17.493485160518055</c:v>
                </c:pt>
                <c:pt idx="949">
                  <c:v>20.491021875834264</c:v>
                </c:pt>
                <c:pt idx="950">
                  <c:v>20.018506904915579</c:v>
                </c:pt>
                <c:pt idx="951">
                  <c:v>19.719406548206461</c:v>
                </c:pt>
                <c:pt idx="952">
                  <c:v>19.898188252542379</c:v>
                </c:pt>
                <c:pt idx="953">
                  <c:v>19.297304481329988</c:v>
                </c:pt>
                <c:pt idx="954">
                  <c:v>17.740556461323852</c:v>
                </c:pt>
                <c:pt idx="955">
                  <c:v>16.485834137559316</c:v>
                </c:pt>
                <c:pt idx="956">
                  <c:v>22.62647279374643</c:v>
                </c:pt>
                <c:pt idx="957">
                  <c:v>21.35259043193739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87-3F4B-BC29-1F5D03D4C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505967"/>
        <c:axId val="288673039"/>
      </c:scatterChart>
      <c:valAx>
        <c:axId val="284505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673039"/>
        <c:crosses val="autoZero"/>
        <c:crossBetween val="midCat"/>
      </c:valAx>
      <c:valAx>
        <c:axId val="288673039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5059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20</xdr:col>
      <xdr:colOff>0</xdr:colOff>
      <xdr:row>27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9C35B6C-17E6-4446-9033-B3882A8FD1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0</xdr:colOff>
      <xdr:row>1</xdr:row>
      <xdr:rowOff>0</xdr:rowOff>
    </xdr:from>
    <xdr:to>
      <xdr:col>52</xdr:col>
      <xdr:colOff>762000</xdr:colOff>
      <xdr:row>25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D7A8775-75C3-1143-9E2A-DA8CB9008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825499</xdr:colOff>
      <xdr:row>27</xdr:row>
      <xdr:rowOff>0</xdr:rowOff>
    </xdr:from>
    <xdr:to>
      <xdr:col>52</xdr:col>
      <xdr:colOff>719666</xdr:colOff>
      <xdr:row>51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FAFC741-DD78-B048-A701-77DEA50A7B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825499</xdr:colOff>
      <xdr:row>53</xdr:row>
      <xdr:rowOff>0</xdr:rowOff>
    </xdr:from>
    <xdr:to>
      <xdr:col>52</xdr:col>
      <xdr:colOff>804332</xdr:colOff>
      <xdr:row>77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0DF95E6-3E13-014F-9166-CD21590AAB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68"/>
  <sheetViews>
    <sheetView workbookViewId="0">
      <selection activeCell="L31" sqref="L31"/>
    </sheetView>
  </sheetViews>
  <sheetFormatPr baseColWidth="10" defaultRowHeight="16" x14ac:dyDescent="0.2"/>
  <sheetData>
    <row r="1" spans="1:8" x14ac:dyDescent="0.2">
      <c r="A1" t="s">
        <v>0</v>
      </c>
      <c r="G1" t="s">
        <v>66</v>
      </c>
      <c r="H1" t="s">
        <v>67</v>
      </c>
    </row>
    <row r="3" spans="1:8" x14ac:dyDescent="0.2">
      <c r="A3" t="s">
        <v>1</v>
      </c>
      <c r="G3">
        <v>0</v>
      </c>
      <c r="H3">
        <v>0</v>
      </c>
    </row>
    <row r="4" spans="1:8" x14ac:dyDescent="0.2">
      <c r="G4">
        <v>2.5999999999999999E-3</v>
      </c>
      <c r="H4">
        <v>0.01</v>
      </c>
    </row>
    <row r="5" spans="1:8" x14ac:dyDescent="0.2">
      <c r="A5" t="e">
        <f>+ Sinus</f>
        <v>#NAME?</v>
      </c>
      <c r="G5">
        <v>3.8E-3</v>
      </c>
      <c r="H5">
        <v>2.8400000000000002E-2</v>
      </c>
    </row>
    <row r="6" spans="1:8" x14ac:dyDescent="0.2">
      <c r="A6" t="s">
        <v>2</v>
      </c>
      <c r="B6">
        <v>50</v>
      </c>
      <c r="C6" t="s">
        <v>3</v>
      </c>
      <c r="G6">
        <v>7.1000000000000004E-3</v>
      </c>
      <c r="H6">
        <v>0.13139999999999999</v>
      </c>
    </row>
    <row r="7" spans="1:8" x14ac:dyDescent="0.2">
      <c r="A7" t="s">
        <v>4</v>
      </c>
      <c r="B7">
        <v>25</v>
      </c>
      <c r="C7" t="s">
        <v>5</v>
      </c>
      <c r="G7">
        <v>1.0999999999999999E-2</v>
      </c>
      <c r="H7">
        <v>0.22900000000000001</v>
      </c>
    </row>
    <row r="8" spans="1:8" x14ac:dyDescent="0.2">
      <c r="A8" t="s">
        <v>6</v>
      </c>
      <c r="B8">
        <v>25</v>
      </c>
      <c r="C8" t="s">
        <v>5</v>
      </c>
      <c r="G8">
        <v>1.4200000000000001E-2</v>
      </c>
      <c r="H8">
        <v>0.33479999999999999</v>
      </c>
    </row>
    <row r="9" spans="1:8" x14ac:dyDescent="0.2">
      <c r="A9" t="s">
        <v>7</v>
      </c>
      <c r="B9" t="s">
        <v>8</v>
      </c>
      <c r="G9">
        <v>1.6899999999999998E-2</v>
      </c>
      <c r="H9">
        <v>0.44719999999999999</v>
      </c>
    </row>
    <row r="10" spans="1:8" x14ac:dyDescent="0.2">
      <c r="A10" t="s">
        <v>9</v>
      </c>
      <c r="B10" t="s">
        <v>10</v>
      </c>
      <c r="G10">
        <v>1.8200000000000001E-2</v>
      </c>
      <c r="H10">
        <v>0.56499999999999995</v>
      </c>
    </row>
    <row r="11" spans="1:8" x14ac:dyDescent="0.2">
      <c r="A11" t="s">
        <v>11</v>
      </c>
      <c r="B11">
        <v>2</v>
      </c>
      <c r="C11" t="s">
        <v>3</v>
      </c>
      <c r="G11">
        <v>2.06E-2</v>
      </c>
      <c r="H11">
        <v>0.66800000000000004</v>
      </c>
    </row>
    <row r="12" spans="1:8" x14ac:dyDescent="0.2">
      <c r="G12">
        <v>2.3699999999999999E-2</v>
      </c>
      <c r="H12">
        <v>0.77439999999999998</v>
      </c>
    </row>
    <row r="13" spans="1:8" x14ac:dyDescent="0.2">
      <c r="A13" t="s">
        <v>12</v>
      </c>
      <c r="G13">
        <v>2.6499999999999999E-2</v>
      </c>
      <c r="H13">
        <v>0.88090000000000002</v>
      </c>
    </row>
    <row r="14" spans="1:8" x14ac:dyDescent="0.2">
      <c r="A14" t="s">
        <v>13</v>
      </c>
      <c r="G14">
        <v>2.7400000000000001E-2</v>
      </c>
      <c r="H14">
        <v>0.98160000000000003</v>
      </c>
    </row>
    <row r="15" spans="1:8" x14ac:dyDescent="0.2">
      <c r="A15" t="s">
        <v>14</v>
      </c>
      <c r="G15">
        <v>2.9000000000000001E-2</v>
      </c>
      <c r="H15">
        <v>1.079</v>
      </c>
    </row>
    <row r="16" spans="1:8" x14ac:dyDescent="0.2">
      <c r="A16" t="s">
        <v>15</v>
      </c>
      <c r="G16">
        <v>3.0800000000000001E-2</v>
      </c>
      <c r="H16">
        <v>1.1759999999999999</v>
      </c>
    </row>
    <row r="17" spans="1:8" x14ac:dyDescent="0.2">
      <c r="A17" t="s">
        <v>16</v>
      </c>
      <c r="G17">
        <v>3.32E-2</v>
      </c>
      <c r="H17">
        <v>1.2677</v>
      </c>
    </row>
    <row r="18" spans="1:8" x14ac:dyDescent="0.2">
      <c r="A18" t="s">
        <v>17</v>
      </c>
      <c r="G18">
        <v>3.4099999999999998E-2</v>
      </c>
      <c r="H18">
        <v>1.3602000000000001</v>
      </c>
    </row>
    <row r="19" spans="1:8" x14ac:dyDescent="0.2">
      <c r="A19" t="s">
        <v>18</v>
      </c>
      <c r="G19">
        <v>3.61E-2</v>
      </c>
      <c r="H19">
        <v>1.4478</v>
      </c>
    </row>
    <row r="20" spans="1:8" x14ac:dyDescent="0.2">
      <c r="G20">
        <v>3.73E-2</v>
      </c>
      <c r="H20">
        <v>1.5390999999999999</v>
      </c>
    </row>
    <row r="21" spans="1:8" x14ac:dyDescent="0.2">
      <c r="A21" t="s">
        <v>19</v>
      </c>
      <c r="G21">
        <v>3.9600000000000003E-2</v>
      </c>
      <c r="H21">
        <v>1.6232</v>
      </c>
    </row>
    <row r="22" spans="1:8" x14ac:dyDescent="0.2">
      <c r="A22" t="s">
        <v>20</v>
      </c>
      <c r="G22">
        <v>4.1500000000000002E-2</v>
      </c>
      <c r="H22">
        <v>1.6987000000000001</v>
      </c>
    </row>
    <row r="23" spans="1:8" x14ac:dyDescent="0.2">
      <c r="A23" t="s">
        <v>21</v>
      </c>
      <c r="G23">
        <v>4.2599999999999999E-2</v>
      </c>
      <c r="H23">
        <v>1.7877000000000001</v>
      </c>
    </row>
    <row r="24" spans="1:8" x14ac:dyDescent="0.2">
      <c r="G24">
        <v>4.3299999999999998E-2</v>
      </c>
      <c r="H24">
        <v>1.8707</v>
      </c>
    </row>
    <row r="25" spans="1:8" x14ac:dyDescent="0.2">
      <c r="A25" t="s">
        <v>22</v>
      </c>
      <c r="G25">
        <v>4.4499999999999998E-2</v>
      </c>
      <c r="H25">
        <v>1.952</v>
      </c>
    </row>
    <row r="26" spans="1:8" x14ac:dyDescent="0.2">
      <c r="A26" t="s">
        <v>23</v>
      </c>
      <c r="G26">
        <v>4.7399999999999998E-2</v>
      </c>
      <c r="H26">
        <v>2.0369000000000002</v>
      </c>
    </row>
    <row r="27" spans="1:8" x14ac:dyDescent="0.2">
      <c r="G27">
        <v>4.8099999999999997E-2</v>
      </c>
      <c r="H27">
        <v>2.1193</v>
      </c>
    </row>
    <row r="28" spans="1:8" x14ac:dyDescent="0.2">
      <c r="A28" t="s">
        <v>24</v>
      </c>
      <c r="B28" t="s">
        <v>25</v>
      </c>
      <c r="G28">
        <v>4.9000000000000002E-2</v>
      </c>
      <c r="H28">
        <v>2.2077</v>
      </c>
    </row>
    <row r="29" spans="1:8" x14ac:dyDescent="0.2">
      <c r="G29">
        <v>5.0599999999999999E-2</v>
      </c>
      <c r="H29">
        <v>2.2801999999999998</v>
      </c>
    </row>
    <row r="30" spans="1:8" x14ac:dyDescent="0.2">
      <c r="A30" t="s">
        <v>26</v>
      </c>
      <c r="G30">
        <v>5.1799999999999999E-2</v>
      </c>
      <c r="H30">
        <v>2.3702999999999999</v>
      </c>
    </row>
    <row r="31" spans="1:8" x14ac:dyDescent="0.2">
      <c r="G31">
        <v>5.28E-2</v>
      </c>
      <c r="H31">
        <v>2.4596</v>
      </c>
    </row>
    <row r="32" spans="1:8" x14ac:dyDescent="0.2">
      <c r="A32" t="s">
        <v>27</v>
      </c>
      <c r="G32">
        <v>5.5E-2</v>
      </c>
      <c r="H32">
        <v>2.5442999999999998</v>
      </c>
    </row>
    <row r="33" spans="1:8" x14ac:dyDescent="0.2">
      <c r="G33">
        <v>5.5100000000000003E-2</v>
      </c>
      <c r="H33">
        <v>2.6353</v>
      </c>
    </row>
    <row r="34" spans="1:8" x14ac:dyDescent="0.2">
      <c r="A34" t="s">
        <v>28</v>
      </c>
      <c r="G34">
        <v>5.6000000000000001E-2</v>
      </c>
      <c r="H34">
        <v>2.7303000000000002</v>
      </c>
    </row>
    <row r="35" spans="1:8" x14ac:dyDescent="0.2">
      <c r="G35">
        <v>5.6399999999999999E-2</v>
      </c>
      <c r="H35">
        <v>2.8336999999999999</v>
      </c>
    </row>
    <row r="36" spans="1:8" x14ac:dyDescent="0.2">
      <c r="A36" t="s">
        <v>29</v>
      </c>
      <c r="B36">
        <v>9.3666999999999998</v>
      </c>
      <c r="C36" t="s">
        <v>30</v>
      </c>
      <c r="G36">
        <v>5.8999999999999997E-2</v>
      </c>
      <c r="H36">
        <v>2.9293999999999998</v>
      </c>
    </row>
    <row r="37" spans="1:8" x14ac:dyDescent="0.2">
      <c r="A37" t="s">
        <v>31</v>
      </c>
      <c r="B37">
        <v>95.6</v>
      </c>
      <c r="C37" t="s">
        <v>30</v>
      </c>
      <c r="G37">
        <v>6.1100000000000002E-2</v>
      </c>
      <c r="H37">
        <v>3.0270999999999999</v>
      </c>
    </row>
    <row r="38" spans="1:8" x14ac:dyDescent="0.2">
      <c r="A38" t="s">
        <v>32</v>
      </c>
      <c r="B38">
        <v>101.97</v>
      </c>
      <c r="C38" t="s">
        <v>30</v>
      </c>
      <c r="G38">
        <v>6.0699999999999997E-2</v>
      </c>
      <c r="H38">
        <v>3.141</v>
      </c>
    </row>
    <row r="39" spans="1:8" x14ac:dyDescent="0.2">
      <c r="G39">
        <v>6.3100000000000003E-2</v>
      </c>
      <c r="H39">
        <v>3.2456999999999998</v>
      </c>
    </row>
    <row r="40" spans="1:8" x14ac:dyDescent="0.2">
      <c r="A40" t="s">
        <v>33</v>
      </c>
      <c r="G40">
        <v>6.3700000000000007E-2</v>
      </c>
      <c r="H40">
        <v>3.3664000000000001</v>
      </c>
    </row>
    <row r="41" spans="1:8" x14ac:dyDescent="0.2">
      <c r="G41">
        <v>6.5000000000000002E-2</v>
      </c>
      <c r="H41">
        <v>3.4821</v>
      </c>
    </row>
    <row r="42" spans="1:8" x14ac:dyDescent="0.2">
      <c r="A42" t="s">
        <v>34</v>
      </c>
      <c r="G42">
        <v>6.6600000000000006E-2</v>
      </c>
      <c r="H42">
        <v>3.5952999999999999</v>
      </c>
    </row>
    <row r="43" spans="1:8" x14ac:dyDescent="0.2">
      <c r="A43" t="s">
        <v>35</v>
      </c>
      <c r="B43">
        <v>0.25</v>
      </c>
      <c r="G43">
        <v>6.7100000000000007E-2</v>
      </c>
      <c r="H43">
        <v>3.7250000000000001</v>
      </c>
    </row>
    <row r="44" spans="1:8" x14ac:dyDescent="0.2">
      <c r="G44">
        <v>6.83E-2</v>
      </c>
      <c r="H44">
        <v>3.8462999999999998</v>
      </c>
    </row>
    <row r="45" spans="1:8" x14ac:dyDescent="0.2">
      <c r="A45" t="s">
        <v>36</v>
      </c>
      <c r="G45">
        <v>7.0800000000000002E-2</v>
      </c>
      <c r="H45">
        <v>3.9773000000000001</v>
      </c>
    </row>
    <row r="46" spans="1:8" x14ac:dyDescent="0.2">
      <c r="G46">
        <v>7.17E-2</v>
      </c>
      <c r="H46">
        <v>4.1086</v>
      </c>
    </row>
    <row r="47" spans="1:8" x14ac:dyDescent="0.2">
      <c r="A47" t="s">
        <v>37</v>
      </c>
      <c r="B47">
        <v>954.81</v>
      </c>
      <c r="C47" t="s">
        <v>38</v>
      </c>
      <c r="G47">
        <v>7.3200000000000001E-2</v>
      </c>
      <c r="H47">
        <v>4.2347000000000001</v>
      </c>
    </row>
    <row r="48" spans="1:8" x14ac:dyDescent="0.2">
      <c r="A48" t="s">
        <v>39</v>
      </c>
      <c r="B48">
        <v>2.5099999999999998</v>
      </c>
      <c r="C48" t="s">
        <v>40</v>
      </c>
      <c r="G48">
        <v>7.4399999999999994E-2</v>
      </c>
      <c r="H48">
        <v>4.3734999999999999</v>
      </c>
    </row>
    <row r="49" spans="1:8" x14ac:dyDescent="0.2">
      <c r="A49" t="s">
        <v>41</v>
      </c>
      <c r="B49" s="1">
        <v>0.18459999999999999</v>
      </c>
      <c r="G49">
        <v>7.6100000000000001E-2</v>
      </c>
      <c r="H49">
        <v>4.5125999999999999</v>
      </c>
    </row>
    <row r="50" spans="1:8" x14ac:dyDescent="0.2">
      <c r="A50" t="s">
        <v>42</v>
      </c>
      <c r="B50">
        <v>49.99</v>
      </c>
      <c r="C50" t="s">
        <v>3</v>
      </c>
      <c r="G50">
        <v>7.8E-2</v>
      </c>
      <c r="H50">
        <v>4.6421000000000001</v>
      </c>
    </row>
    <row r="51" spans="1:8" x14ac:dyDescent="0.2">
      <c r="A51" t="s">
        <v>43</v>
      </c>
      <c r="B51">
        <v>0.73</v>
      </c>
      <c r="C51" t="s">
        <v>44</v>
      </c>
      <c r="G51">
        <v>7.9000000000000001E-2</v>
      </c>
      <c r="H51">
        <v>4.7765000000000004</v>
      </c>
    </row>
    <row r="52" spans="1:8" x14ac:dyDescent="0.2">
      <c r="A52" t="s">
        <v>45</v>
      </c>
      <c r="B52">
        <v>244.10120000000001</v>
      </c>
      <c r="C52" t="s">
        <v>46</v>
      </c>
      <c r="G52">
        <v>0.08</v>
      </c>
      <c r="H52">
        <v>4.9203999999999999</v>
      </c>
    </row>
    <row r="53" spans="1:8" x14ac:dyDescent="0.2">
      <c r="A53" t="s">
        <v>47</v>
      </c>
      <c r="B53">
        <v>8.0000000000000004E-4</v>
      </c>
      <c r="C53" t="s">
        <v>48</v>
      </c>
      <c r="G53">
        <v>8.3099999999999993E-2</v>
      </c>
      <c r="H53">
        <v>5.0552000000000001</v>
      </c>
    </row>
    <row r="54" spans="1:8" x14ac:dyDescent="0.2">
      <c r="A54" t="s">
        <v>49</v>
      </c>
      <c r="B54">
        <v>0.57999999999999996</v>
      </c>
      <c r="C54" t="s">
        <v>44</v>
      </c>
      <c r="G54">
        <v>8.3699999999999997E-2</v>
      </c>
      <c r="H54">
        <v>5.1948999999999996</v>
      </c>
    </row>
    <row r="55" spans="1:8" x14ac:dyDescent="0.2">
      <c r="A55" t="s">
        <v>50</v>
      </c>
      <c r="B55">
        <v>0.52</v>
      </c>
      <c r="C55" t="s">
        <v>44</v>
      </c>
      <c r="G55">
        <v>8.4699999999999998E-2</v>
      </c>
      <c r="H55">
        <v>5.3342000000000001</v>
      </c>
    </row>
    <row r="56" spans="1:8" x14ac:dyDescent="0.2">
      <c r="A56" t="s">
        <v>51</v>
      </c>
      <c r="B56">
        <v>0.26</v>
      </c>
      <c r="C56" t="s">
        <v>44</v>
      </c>
      <c r="G56">
        <v>8.6499999999999994E-2</v>
      </c>
      <c r="H56">
        <v>5.4661</v>
      </c>
    </row>
    <row r="57" spans="1:8" x14ac:dyDescent="0.2">
      <c r="A57" t="s">
        <v>52</v>
      </c>
      <c r="B57">
        <v>2.2982</v>
      </c>
      <c r="G57">
        <v>8.7400000000000005E-2</v>
      </c>
      <c r="H57">
        <v>5.6018999999999997</v>
      </c>
    </row>
    <row r="58" spans="1:8" x14ac:dyDescent="0.2">
      <c r="A58" t="s">
        <v>53</v>
      </c>
      <c r="B58">
        <v>0.73</v>
      </c>
      <c r="G58">
        <v>0.09</v>
      </c>
      <c r="H58">
        <v>5.7308000000000003</v>
      </c>
    </row>
    <row r="59" spans="1:8" x14ac:dyDescent="0.2">
      <c r="A59" t="s">
        <v>54</v>
      </c>
      <c r="B59">
        <v>1</v>
      </c>
      <c r="G59">
        <v>9.0800000000000006E-2</v>
      </c>
      <c r="H59">
        <v>5.8579999999999997</v>
      </c>
    </row>
    <row r="60" spans="1:8" x14ac:dyDescent="0.2">
      <c r="A60" t="s">
        <v>55</v>
      </c>
      <c r="B60">
        <v>5.34</v>
      </c>
      <c r="C60" t="s">
        <v>56</v>
      </c>
      <c r="G60">
        <v>9.3299999999999994E-2</v>
      </c>
      <c r="H60">
        <v>5.9847000000000001</v>
      </c>
    </row>
    <row r="61" spans="1:8" x14ac:dyDescent="0.2">
      <c r="A61" t="s">
        <v>57</v>
      </c>
      <c r="B61" t="s">
        <v>58</v>
      </c>
      <c r="G61">
        <v>9.3899999999999997E-2</v>
      </c>
      <c r="H61">
        <v>6.0986000000000002</v>
      </c>
    </row>
    <row r="62" spans="1:8" x14ac:dyDescent="0.2">
      <c r="A62" t="s">
        <v>59</v>
      </c>
      <c r="B62" t="s">
        <v>60</v>
      </c>
      <c r="G62">
        <v>9.5899999999999999E-2</v>
      </c>
      <c r="H62">
        <v>6.2133000000000003</v>
      </c>
    </row>
    <row r="63" spans="1:8" x14ac:dyDescent="0.2">
      <c r="A63" t="s">
        <v>61</v>
      </c>
      <c r="B63" t="s">
        <v>62</v>
      </c>
      <c r="G63">
        <v>9.69E-2</v>
      </c>
      <c r="H63">
        <v>6.3261000000000003</v>
      </c>
    </row>
    <row r="64" spans="1:8" x14ac:dyDescent="0.2">
      <c r="A64" t="s">
        <v>63</v>
      </c>
      <c r="B64">
        <v>93.644999999999996</v>
      </c>
      <c r="C64" t="s">
        <v>30</v>
      </c>
      <c r="G64">
        <v>9.8299999999999998E-2</v>
      </c>
      <c r="H64">
        <v>6.4348999999999998</v>
      </c>
    </row>
    <row r="65" spans="1:8" x14ac:dyDescent="0.2">
      <c r="G65">
        <v>9.9599999999999994E-2</v>
      </c>
      <c r="H65">
        <v>6.5476999999999999</v>
      </c>
    </row>
    <row r="66" spans="1:8" x14ac:dyDescent="0.2">
      <c r="A66" t="s">
        <v>64</v>
      </c>
      <c r="G66">
        <v>0.10050000000000001</v>
      </c>
      <c r="H66">
        <v>6.6439000000000004</v>
      </c>
    </row>
    <row r="67" spans="1:8" x14ac:dyDescent="0.2">
      <c r="A67" t="s">
        <v>65</v>
      </c>
      <c r="B67" t="s">
        <v>66</v>
      </c>
      <c r="C67" t="s">
        <v>67</v>
      </c>
      <c r="D67" t="s">
        <v>68</v>
      </c>
      <c r="E67" t="s">
        <v>69</v>
      </c>
      <c r="G67">
        <v>0.1022</v>
      </c>
      <c r="H67">
        <v>6.7389000000000001</v>
      </c>
    </row>
    <row r="68" spans="1:8" x14ac:dyDescent="0.2">
      <c r="G68">
        <v>0.105</v>
      </c>
      <c r="H68">
        <v>6.8277000000000001</v>
      </c>
    </row>
    <row r="69" spans="1:8" x14ac:dyDescent="0.2">
      <c r="A69">
        <v>0</v>
      </c>
      <c r="B69">
        <v>0</v>
      </c>
      <c r="C69">
        <v>0</v>
      </c>
      <c r="D69">
        <v>0</v>
      </c>
      <c r="E69">
        <v>0</v>
      </c>
      <c r="G69">
        <v>0.105</v>
      </c>
      <c r="H69">
        <v>6.9203999999999999</v>
      </c>
    </row>
    <row r="70" spans="1:8" x14ac:dyDescent="0.2">
      <c r="A70">
        <v>0.2505</v>
      </c>
      <c r="B70">
        <v>2.5999999999999999E-3</v>
      </c>
      <c r="C70">
        <v>0.01</v>
      </c>
      <c r="D70">
        <v>0</v>
      </c>
      <c r="E70">
        <v>0</v>
      </c>
      <c r="G70">
        <v>0.10589999999999999</v>
      </c>
      <c r="H70">
        <v>7.0075000000000003</v>
      </c>
    </row>
    <row r="71" spans="1:8" x14ac:dyDescent="0.2">
      <c r="A71">
        <v>0.501</v>
      </c>
      <c r="B71">
        <v>3.8E-3</v>
      </c>
      <c r="C71">
        <v>2.8400000000000002E-2</v>
      </c>
      <c r="D71">
        <v>0</v>
      </c>
      <c r="E71">
        <v>0</v>
      </c>
      <c r="G71">
        <v>0.10829999999999999</v>
      </c>
      <c r="H71">
        <v>7.0831999999999997</v>
      </c>
    </row>
    <row r="72" spans="1:8" x14ac:dyDescent="0.2">
      <c r="A72">
        <v>0.75149999999999995</v>
      </c>
      <c r="B72">
        <v>7.1000000000000004E-3</v>
      </c>
      <c r="C72">
        <v>0.13139999999999999</v>
      </c>
      <c r="D72">
        <v>0</v>
      </c>
      <c r="E72">
        <v>1</v>
      </c>
      <c r="G72">
        <v>0.1075</v>
      </c>
      <c r="H72">
        <v>7.1603000000000003</v>
      </c>
    </row>
    <row r="73" spans="1:8" x14ac:dyDescent="0.2">
      <c r="A73">
        <v>1.0019</v>
      </c>
      <c r="B73">
        <v>1.0999999999999999E-2</v>
      </c>
      <c r="C73">
        <v>0.22900000000000001</v>
      </c>
      <c r="D73">
        <v>0</v>
      </c>
      <c r="E73">
        <v>1</v>
      </c>
      <c r="G73">
        <v>0.10920000000000001</v>
      </c>
      <c r="H73">
        <v>7.2385999999999999</v>
      </c>
    </row>
    <row r="74" spans="1:8" x14ac:dyDescent="0.2">
      <c r="A74">
        <v>1.2524</v>
      </c>
      <c r="B74">
        <v>1.4200000000000001E-2</v>
      </c>
      <c r="C74">
        <v>0.33479999999999999</v>
      </c>
      <c r="D74">
        <v>0</v>
      </c>
      <c r="E74">
        <v>1</v>
      </c>
      <c r="G74">
        <v>0.11070000000000001</v>
      </c>
      <c r="H74">
        <v>7.3049999999999997</v>
      </c>
    </row>
    <row r="75" spans="1:8" x14ac:dyDescent="0.2">
      <c r="A75">
        <v>1.5028999999999999</v>
      </c>
      <c r="B75">
        <v>1.6899999999999998E-2</v>
      </c>
      <c r="C75">
        <v>0.44719999999999999</v>
      </c>
      <c r="D75">
        <v>0</v>
      </c>
      <c r="E75">
        <v>1</v>
      </c>
      <c r="G75">
        <v>0.1124</v>
      </c>
      <c r="H75">
        <v>7.3688000000000002</v>
      </c>
    </row>
    <row r="76" spans="1:8" x14ac:dyDescent="0.2">
      <c r="A76">
        <v>1.7534000000000001</v>
      </c>
      <c r="B76">
        <v>1.8200000000000001E-2</v>
      </c>
      <c r="C76">
        <v>0.56499999999999995</v>
      </c>
      <c r="D76">
        <v>0</v>
      </c>
      <c r="E76">
        <v>1</v>
      </c>
      <c r="G76">
        <v>0.1129</v>
      </c>
      <c r="H76">
        <v>7.4394999999999998</v>
      </c>
    </row>
    <row r="77" spans="1:8" x14ac:dyDescent="0.2">
      <c r="A77">
        <v>2.0038999999999998</v>
      </c>
      <c r="B77">
        <v>2.06E-2</v>
      </c>
      <c r="C77">
        <v>0.66800000000000004</v>
      </c>
      <c r="D77">
        <v>0</v>
      </c>
      <c r="E77">
        <v>1</v>
      </c>
      <c r="G77">
        <v>0.1153</v>
      </c>
      <c r="H77">
        <v>7.4934000000000003</v>
      </c>
    </row>
    <row r="78" spans="1:8" x14ac:dyDescent="0.2">
      <c r="A78">
        <v>2.2544</v>
      </c>
      <c r="B78">
        <v>2.3699999999999999E-2</v>
      </c>
      <c r="C78">
        <v>0.77439999999999998</v>
      </c>
      <c r="D78">
        <v>0</v>
      </c>
      <c r="E78">
        <v>1</v>
      </c>
      <c r="G78">
        <v>0.1143</v>
      </c>
      <c r="H78">
        <v>7.5631000000000004</v>
      </c>
    </row>
    <row r="79" spans="1:8" x14ac:dyDescent="0.2">
      <c r="A79">
        <v>2.5047999999999999</v>
      </c>
      <c r="B79">
        <v>2.6499999999999999E-2</v>
      </c>
      <c r="C79">
        <v>0.88090000000000002</v>
      </c>
      <c r="D79">
        <v>0</v>
      </c>
      <c r="E79">
        <v>1</v>
      </c>
      <c r="G79">
        <v>0.1157</v>
      </c>
      <c r="H79">
        <v>7.6258999999999997</v>
      </c>
    </row>
    <row r="80" spans="1:8" x14ac:dyDescent="0.2">
      <c r="A80">
        <v>2.7553000000000001</v>
      </c>
      <c r="B80">
        <v>2.7400000000000001E-2</v>
      </c>
      <c r="C80">
        <v>0.98160000000000003</v>
      </c>
      <c r="D80">
        <v>0</v>
      </c>
      <c r="E80">
        <v>1</v>
      </c>
      <c r="G80">
        <v>0.11749999999999999</v>
      </c>
      <c r="H80">
        <v>7.6867000000000001</v>
      </c>
    </row>
    <row r="81" spans="1:8" x14ac:dyDescent="0.2">
      <c r="A81">
        <v>3.0057999999999998</v>
      </c>
      <c r="B81">
        <v>2.9000000000000001E-2</v>
      </c>
      <c r="C81">
        <v>1.079</v>
      </c>
      <c r="D81">
        <v>0</v>
      </c>
      <c r="E81">
        <v>1</v>
      </c>
      <c r="G81">
        <v>0.11940000000000001</v>
      </c>
      <c r="H81">
        <v>7.7412000000000001</v>
      </c>
    </row>
    <row r="82" spans="1:8" x14ac:dyDescent="0.2">
      <c r="A82">
        <v>3.2563</v>
      </c>
      <c r="B82">
        <v>3.0800000000000001E-2</v>
      </c>
      <c r="C82">
        <v>1.1759999999999999</v>
      </c>
      <c r="D82">
        <v>0</v>
      </c>
      <c r="E82">
        <v>1</v>
      </c>
      <c r="G82">
        <v>0.11899999999999999</v>
      </c>
      <c r="H82">
        <v>7.8132999999999999</v>
      </c>
    </row>
    <row r="83" spans="1:8" x14ac:dyDescent="0.2">
      <c r="A83">
        <v>3.5068000000000001</v>
      </c>
      <c r="B83">
        <v>3.32E-2</v>
      </c>
      <c r="C83">
        <v>1.2677</v>
      </c>
      <c r="D83">
        <v>0</v>
      </c>
      <c r="E83">
        <v>1</v>
      </c>
      <c r="G83">
        <v>0.1187</v>
      </c>
      <c r="H83">
        <v>7.8795000000000002</v>
      </c>
    </row>
    <row r="84" spans="1:8" x14ac:dyDescent="0.2">
      <c r="A84">
        <v>3.7572999999999999</v>
      </c>
      <c r="B84">
        <v>3.4099999999999998E-2</v>
      </c>
      <c r="C84">
        <v>1.3602000000000001</v>
      </c>
      <c r="D84">
        <v>0</v>
      </c>
      <c r="E84">
        <v>1</v>
      </c>
      <c r="G84">
        <v>0.12089999999999999</v>
      </c>
      <c r="H84">
        <v>7.9438000000000004</v>
      </c>
    </row>
    <row r="85" spans="1:8" x14ac:dyDescent="0.2">
      <c r="A85">
        <v>4.0076999999999998</v>
      </c>
      <c r="B85">
        <v>3.61E-2</v>
      </c>
      <c r="C85">
        <v>1.4478</v>
      </c>
      <c r="D85">
        <v>0</v>
      </c>
      <c r="E85">
        <v>1</v>
      </c>
      <c r="G85">
        <v>0.1206</v>
      </c>
      <c r="H85">
        <v>8.0175000000000001</v>
      </c>
    </row>
    <row r="86" spans="1:8" x14ac:dyDescent="0.2">
      <c r="A86">
        <v>4.2582000000000004</v>
      </c>
      <c r="B86">
        <v>3.73E-2</v>
      </c>
      <c r="C86">
        <v>1.5390999999999999</v>
      </c>
      <c r="D86">
        <v>0</v>
      </c>
      <c r="E86">
        <v>1</v>
      </c>
      <c r="G86">
        <v>0.1234</v>
      </c>
      <c r="H86">
        <v>8.0792000000000002</v>
      </c>
    </row>
    <row r="87" spans="1:8" x14ac:dyDescent="0.2">
      <c r="A87">
        <v>4.5087000000000002</v>
      </c>
      <c r="B87">
        <v>3.9600000000000003E-2</v>
      </c>
      <c r="C87">
        <v>1.6232</v>
      </c>
      <c r="D87">
        <v>0</v>
      </c>
      <c r="E87">
        <v>1</v>
      </c>
      <c r="G87">
        <v>0.1232</v>
      </c>
      <c r="H87">
        <v>8.1609999999999996</v>
      </c>
    </row>
    <row r="88" spans="1:8" x14ac:dyDescent="0.2">
      <c r="A88">
        <v>4.7591999999999999</v>
      </c>
      <c r="B88">
        <v>4.1500000000000002E-2</v>
      </c>
      <c r="C88">
        <v>1.6987000000000001</v>
      </c>
      <c r="D88">
        <v>0</v>
      </c>
      <c r="E88">
        <v>1</v>
      </c>
      <c r="G88">
        <v>0.1239</v>
      </c>
      <c r="H88">
        <v>8.2432999999999996</v>
      </c>
    </row>
    <row r="89" spans="1:8" x14ac:dyDescent="0.2">
      <c r="A89">
        <v>5.0096999999999996</v>
      </c>
      <c r="B89">
        <v>4.2599999999999999E-2</v>
      </c>
      <c r="C89">
        <v>1.7877000000000001</v>
      </c>
      <c r="D89">
        <v>0</v>
      </c>
      <c r="E89">
        <v>1</v>
      </c>
      <c r="G89">
        <v>0.1246</v>
      </c>
      <c r="H89">
        <v>8.3323999999999998</v>
      </c>
    </row>
    <row r="90" spans="1:8" x14ac:dyDescent="0.2">
      <c r="A90">
        <v>5.2602000000000002</v>
      </c>
      <c r="B90">
        <v>4.3299999999999998E-2</v>
      </c>
      <c r="C90">
        <v>1.8707</v>
      </c>
      <c r="D90">
        <v>0</v>
      </c>
      <c r="E90">
        <v>1</v>
      </c>
      <c r="G90">
        <v>0.12529999999999999</v>
      </c>
      <c r="H90">
        <v>8.4206000000000003</v>
      </c>
    </row>
    <row r="91" spans="1:8" x14ac:dyDescent="0.2">
      <c r="A91">
        <v>5.5106000000000002</v>
      </c>
      <c r="B91">
        <v>4.4499999999999998E-2</v>
      </c>
      <c r="C91">
        <v>1.952</v>
      </c>
      <c r="D91">
        <v>0</v>
      </c>
      <c r="E91">
        <v>1</v>
      </c>
      <c r="G91">
        <v>0.1268</v>
      </c>
      <c r="H91">
        <v>8.5138999999999996</v>
      </c>
    </row>
    <row r="92" spans="1:8" x14ac:dyDescent="0.2">
      <c r="A92">
        <v>5.7610999999999999</v>
      </c>
      <c r="B92">
        <v>4.7399999999999998E-2</v>
      </c>
      <c r="C92">
        <v>2.0369000000000002</v>
      </c>
      <c r="D92">
        <v>0</v>
      </c>
      <c r="E92">
        <v>1</v>
      </c>
      <c r="G92">
        <v>0.1275</v>
      </c>
      <c r="H92">
        <v>8.6096000000000004</v>
      </c>
    </row>
    <row r="93" spans="1:8" x14ac:dyDescent="0.2">
      <c r="A93">
        <v>6.0115999999999996</v>
      </c>
      <c r="B93">
        <v>4.8099999999999997E-2</v>
      </c>
      <c r="C93">
        <v>2.1193</v>
      </c>
      <c r="D93">
        <v>0</v>
      </c>
      <c r="E93">
        <v>1</v>
      </c>
      <c r="G93">
        <v>0.129</v>
      </c>
      <c r="H93">
        <v>8.7072000000000003</v>
      </c>
    </row>
    <row r="94" spans="1:8" x14ac:dyDescent="0.2">
      <c r="A94">
        <v>6.2621000000000002</v>
      </c>
      <c r="B94">
        <v>4.9000000000000002E-2</v>
      </c>
      <c r="C94">
        <v>2.2077</v>
      </c>
      <c r="D94">
        <v>0</v>
      </c>
      <c r="E94">
        <v>1</v>
      </c>
      <c r="G94">
        <v>0.1288</v>
      </c>
      <c r="H94">
        <v>8.8233999999999995</v>
      </c>
    </row>
    <row r="95" spans="1:8" x14ac:dyDescent="0.2">
      <c r="A95">
        <v>6.5125999999999999</v>
      </c>
      <c r="B95">
        <v>5.0599999999999999E-2</v>
      </c>
      <c r="C95">
        <v>2.2801999999999998</v>
      </c>
      <c r="D95">
        <v>0</v>
      </c>
      <c r="E95">
        <v>1</v>
      </c>
      <c r="G95">
        <v>0.13009999999999999</v>
      </c>
      <c r="H95">
        <v>8.9387000000000008</v>
      </c>
    </row>
    <row r="96" spans="1:8" x14ac:dyDescent="0.2">
      <c r="A96">
        <v>6.7630999999999997</v>
      </c>
      <c r="B96">
        <v>5.1799999999999999E-2</v>
      </c>
      <c r="C96">
        <v>2.3702999999999999</v>
      </c>
      <c r="D96">
        <v>0</v>
      </c>
      <c r="E96">
        <v>1</v>
      </c>
      <c r="G96">
        <v>0.13139999999999999</v>
      </c>
      <c r="H96">
        <v>9.0532000000000004</v>
      </c>
    </row>
    <row r="97" spans="1:8" x14ac:dyDescent="0.2">
      <c r="A97">
        <v>7.0134999999999996</v>
      </c>
      <c r="B97">
        <v>5.28E-2</v>
      </c>
      <c r="C97">
        <v>2.4596</v>
      </c>
      <c r="D97">
        <v>0</v>
      </c>
      <c r="E97">
        <v>1</v>
      </c>
      <c r="G97">
        <v>0.13220000000000001</v>
      </c>
      <c r="H97">
        <v>9.1820000000000004</v>
      </c>
    </row>
    <row r="98" spans="1:8" x14ac:dyDescent="0.2">
      <c r="A98">
        <v>7.2640000000000002</v>
      </c>
      <c r="B98">
        <v>5.5E-2</v>
      </c>
      <c r="C98">
        <v>2.5442999999999998</v>
      </c>
      <c r="D98">
        <v>0</v>
      </c>
      <c r="E98">
        <v>1</v>
      </c>
      <c r="G98">
        <v>0.1336</v>
      </c>
      <c r="H98">
        <v>9.3078000000000003</v>
      </c>
    </row>
    <row r="99" spans="1:8" x14ac:dyDescent="0.2">
      <c r="A99">
        <v>7.5145</v>
      </c>
      <c r="B99">
        <v>5.5100000000000003E-2</v>
      </c>
      <c r="C99">
        <v>2.6353</v>
      </c>
      <c r="D99">
        <v>0</v>
      </c>
      <c r="E99">
        <v>1</v>
      </c>
      <c r="G99">
        <v>0.1333</v>
      </c>
      <c r="H99">
        <v>9.4430999999999994</v>
      </c>
    </row>
    <row r="100" spans="1:8" x14ac:dyDescent="0.2">
      <c r="A100">
        <v>7.7649999999999997</v>
      </c>
      <c r="B100">
        <v>5.6000000000000001E-2</v>
      </c>
      <c r="C100">
        <v>2.7303000000000002</v>
      </c>
      <c r="D100">
        <v>0</v>
      </c>
      <c r="E100">
        <v>1</v>
      </c>
      <c r="G100">
        <v>0.1348</v>
      </c>
      <c r="H100">
        <v>9.5838999999999999</v>
      </c>
    </row>
    <row r="101" spans="1:8" x14ac:dyDescent="0.2">
      <c r="A101">
        <v>8.0154999999999994</v>
      </c>
      <c r="B101">
        <v>5.6399999999999999E-2</v>
      </c>
      <c r="C101">
        <v>2.8336999999999999</v>
      </c>
      <c r="D101">
        <v>0</v>
      </c>
      <c r="E101">
        <v>1</v>
      </c>
      <c r="G101">
        <v>0.13650000000000001</v>
      </c>
      <c r="H101">
        <v>9.7155000000000005</v>
      </c>
    </row>
    <row r="102" spans="1:8" x14ac:dyDescent="0.2">
      <c r="A102">
        <v>8.266</v>
      </c>
      <c r="B102">
        <v>5.8999999999999997E-2</v>
      </c>
      <c r="C102">
        <v>2.9293999999999998</v>
      </c>
      <c r="D102">
        <v>0</v>
      </c>
      <c r="E102">
        <v>1</v>
      </c>
      <c r="G102">
        <v>0.13819999999999999</v>
      </c>
      <c r="H102">
        <v>9.8626000000000005</v>
      </c>
    </row>
    <row r="103" spans="1:8" x14ac:dyDescent="0.2">
      <c r="A103">
        <v>8.5164000000000009</v>
      </c>
      <c r="B103">
        <v>6.1100000000000002E-2</v>
      </c>
      <c r="C103">
        <v>3.0270999999999999</v>
      </c>
      <c r="D103">
        <v>0</v>
      </c>
      <c r="E103">
        <v>1</v>
      </c>
      <c r="G103">
        <v>0.1394</v>
      </c>
      <c r="H103">
        <v>10.014799999999999</v>
      </c>
    </row>
    <row r="104" spans="1:8" x14ac:dyDescent="0.2">
      <c r="A104">
        <v>8.7668999999999997</v>
      </c>
      <c r="B104">
        <v>6.0699999999999997E-2</v>
      </c>
      <c r="C104">
        <v>3.141</v>
      </c>
      <c r="D104">
        <v>0</v>
      </c>
      <c r="E104">
        <v>1</v>
      </c>
      <c r="G104">
        <v>0.14050000000000001</v>
      </c>
      <c r="H104">
        <v>10.162800000000001</v>
      </c>
    </row>
    <row r="105" spans="1:8" x14ac:dyDescent="0.2">
      <c r="A105">
        <v>9.0174000000000003</v>
      </c>
      <c r="B105">
        <v>6.3100000000000003E-2</v>
      </c>
      <c r="C105">
        <v>3.2456999999999998</v>
      </c>
      <c r="D105">
        <v>0</v>
      </c>
      <c r="E105">
        <v>1</v>
      </c>
      <c r="G105">
        <v>0.14149999999999999</v>
      </c>
      <c r="H105">
        <v>10.3163</v>
      </c>
    </row>
    <row r="106" spans="1:8" x14ac:dyDescent="0.2">
      <c r="A106">
        <v>9.2678999999999991</v>
      </c>
      <c r="B106">
        <v>6.3700000000000007E-2</v>
      </c>
      <c r="C106">
        <v>3.3664000000000001</v>
      </c>
      <c r="D106">
        <v>0</v>
      </c>
      <c r="E106">
        <v>1</v>
      </c>
      <c r="G106">
        <v>0.1431</v>
      </c>
      <c r="H106">
        <v>10.468400000000001</v>
      </c>
    </row>
    <row r="107" spans="1:8" x14ac:dyDescent="0.2">
      <c r="A107">
        <v>9.5183999999999997</v>
      </c>
      <c r="B107">
        <v>6.5000000000000002E-2</v>
      </c>
      <c r="C107">
        <v>3.4821</v>
      </c>
      <c r="D107">
        <v>0</v>
      </c>
      <c r="E107">
        <v>1</v>
      </c>
      <c r="G107">
        <v>0.14380000000000001</v>
      </c>
      <c r="H107">
        <v>10.6218</v>
      </c>
    </row>
    <row r="108" spans="1:8" x14ac:dyDescent="0.2">
      <c r="A108">
        <v>9.7689000000000004</v>
      </c>
      <c r="B108">
        <v>6.6600000000000006E-2</v>
      </c>
      <c r="C108">
        <v>3.5952999999999999</v>
      </c>
      <c r="D108">
        <v>0</v>
      </c>
      <c r="E108">
        <v>1</v>
      </c>
      <c r="G108">
        <v>0.1457</v>
      </c>
      <c r="H108">
        <v>10.7759</v>
      </c>
    </row>
    <row r="109" spans="1:8" x14ac:dyDescent="0.2">
      <c r="A109">
        <v>10.019399999999999</v>
      </c>
      <c r="B109">
        <v>6.7100000000000007E-2</v>
      </c>
      <c r="C109">
        <v>3.7250000000000001</v>
      </c>
      <c r="D109">
        <v>0</v>
      </c>
      <c r="E109">
        <v>1</v>
      </c>
      <c r="G109">
        <v>0.14760000000000001</v>
      </c>
      <c r="H109">
        <v>10.9274</v>
      </c>
    </row>
    <row r="110" spans="1:8" x14ac:dyDescent="0.2">
      <c r="A110">
        <v>10.2698</v>
      </c>
      <c r="B110">
        <v>6.83E-2</v>
      </c>
      <c r="C110">
        <v>3.8462999999999998</v>
      </c>
      <c r="D110">
        <v>0</v>
      </c>
      <c r="E110">
        <v>1</v>
      </c>
      <c r="G110">
        <v>0.14910000000000001</v>
      </c>
      <c r="H110">
        <v>11.0861</v>
      </c>
    </row>
    <row r="111" spans="1:8" x14ac:dyDescent="0.2">
      <c r="A111">
        <v>10.520300000000001</v>
      </c>
      <c r="B111">
        <v>7.0800000000000002E-2</v>
      </c>
      <c r="C111">
        <v>3.9773000000000001</v>
      </c>
      <c r="D111">
        <v>0</v>
      </c>
      <c r="E111">
        <v>1</v>
      </c>
      <c r="G111">
        <v>0.14960000000000001</v>
      </c>
      <c r="H111">
        <v>11.2349</v>
      </c>
    </row>
    <row r="112" spans="1:8" x14ac:dyDescent="0.2">
      <c r="A112">
        <v>10.770799999999999</v>
      </c>
      <c r="B112">
        <v>7.17E-2</v>
      </c>
      <c r="C112">
        <v>4.1086</v>
      </c>
      <c r="D112">
        <v>0</v>
      </c>
      <c r="E112">
        <v>1</v>
      </c>
      <c r="G112">
        <v>0.15060000000000001</v>
      </c>
      <c r="H112">
        <v>11.3797</v>
      </c>
    </row>
    <row r="113" spans="1:8" x14ac:dyDescent="0.2">
      <c r="A113">
        <v>11.0213</v>
      </c>
      <c r="B113">
        <v>7.3200000000000001E-2</v>
      </c>
      <c r="C113">
        <v>4.2347000000000001</v>
      </c>
      <c r="D113">
        <v>0</v>
      </c>
      <c r="E113">
        <v>1</v>
      </c>
      <c r="G113">
        <v>0.15190000000000001</v>
      </c>
      <c r="H113">
        <v>11.5252</v>
      </c>
    </row>
    <row r="114" spans="1:8" x14ac:dyDescent="0.2">
      <c r="A114">
        <v>11.271800000000001</v>
      </c>
      <c r="B114">
        <v>7.4399999999999994E-2</v>
      </c>
      <c r="C114">
        <v>4.3734999999999999</v>
      </c>
      <c r="D114">
        <v>0</v>
      </c>
      <c r="E114">
        <v>1</v>
      </c>
      <c r="G114">
        <v>0.15440000000000001</v>
      </c>
      <c r="H114">
        <v>11.6676</v>
      </c>
    </row>
    <row r="115" spans="1:8" x14ac:dyDescent="0.2">
      <c r="A115">
        <v>11.5223</v>
      </c>
      <c r="B115">
        <v>7.6100000000000001E-2</v>
      </c>
      <c r="C115">
        <v>4.5125999999999999</v>
      </c>
      <c r="D115">
        <v>0</v>
      </c>
      <c r="E115">
        <v>1</v>
      </c>
      <c r="G115">
        <v>0.15479999999999999</v>
      </c>
      <c r="H115">
        <v>11.8078</v>
      </c>
    </row>
    <row r="116" spans="1:8" x14ac:dyDescent="0.2">
      <c r="A116">
        <v>11.7727</v>
      </c>
      <c r="B116">
        <v>7.8E-2</v>
      </c>
      <c r="C116">
        <v>4.6421000000000001</v>
      </c>
      <c r="D116">
        <v>0</v>
      </c>
      <c r="E116">
        <v>1</v>
      </c>
      <c r="G116">
        <v>0.1555</v>
      </c>
      <c r="H116">
        <v>11.941599999999999</v>
      </c>
    </row>
    <row r="117" spans="1:8" x14ac:dyDescent="0.2">
      <c r="A117">
        <v>12.023199999999999</v>
      </c>
      <c r="B117">
        <v>7.9000000000000001E-2</v>
      </c>
      <c r="C117">
        <v>4.7765000000000004</v>
      </c>
      <c r="D117">
        <v>0</v>
      </c>
      <c r="E117">
        <v>1</v>
      </c>
      <c r="G117">
        <v>0.15690000000000001</v>
      </c>
      <c r="H117">
        <v>12.068300000000001</v>
      </c>
    </row>
    <row r="118" spans="1:8" x14ac:dyDescent="0.2">
      <c r="A118">
        <v>12.2737</v>
      </c>
      <c r="B118">
        <v>0.08</v>
      </c>
      <c r="C118">
        <v>4.9203999999999999</v>
      </c>
      <c r="D118">
        <v>0</v>
      </c>
      <c r="E118">
        <v>1</v>
      </c>
      <c r="G118">
        <v>0.15920000000000001</v>
      </c>
      <c r="H118">
        <v>12.1822</v>
      </c>
    </row>
    <row r="119" spans="1:8" x14ac:dyDescent="0.2">
      <c r="A119">
        <v>12.5242</v>
      </c>
      <c r="B119">
        <v>8.3099999999999993E-2</v>
      </c>
      <c r="C119">
        <v>5.0552000000000001</v>
      </c>
      <c r="D119">
        <v>0</v>
      </c>
      <c r="E119">
        <v>1</v>
      </c>
      <c r="G119">
        <v>0.15959999999999999</v>
      </c>
      <c r="H119">
        <v>12.305999999999999</v>
      </c>
    </row>
    <row r="120" spans="1:8" x14ac:dyDescent="0.2">
      <c r="A120">
        <v>12.774699999999999</v>
      </c>
      <c r="B120">
        <v>8.3699999999999997E-2</v>
      </c>
      <c r="C120">
        <v>5.1948999999999996</v>
      </c>
      <c r="D120">
        <v>0</v>
      </c>
      <c r="E120">
        <v>1</v>
      </c>
      <c r="G120">
        <v>0.16270000000000001</v>
      </c>
      <c r="H120">
        <v>12.411</v>
      </c>
    </row>
    <row r="121" spans="1:8" x14ac:dyDescent="0.2">
      <c r="A121">
        <v>13.0252</v>
      </c>
      <c r="B121">
        <v>8.4699999999999998E-2</v>
      </c>
      <c r="C121">
        <v>5.3342000000000001</v>
      </c>
      <c r="D121">
        <v>0</v>
      </c>
      <c r="E121">
        <v>1</v>
      </c>
      <c r="G121">
        <v>0.1633</v>
      </c>
      <c r="H121">
        <v>12.5175</v>
      </c>
    </row>
    <row r="122" spans="1:8" x14ac:dyDescent="0.2">
      <c r="A122">
        <v>13.275600000000001</v>
      </c>
      <c r="B122">
        <v>8.6499999999999994E-2</v>
      </c>
      <c r="C122">
        <v>5.4661</v>
      </c>
      <c r="D122">
        <v>0</v>
      </c>
      <c r="E122">
        <v>1</v>
      </c>
      <c r="G122">
        <v>0.1638</v>
      </c>
      <c r="H122">
        <v>12.6242</v>
      </c>
    </row>
    <row r="123" spans="1:8" x14ac:dyDescent="0.2">
      <c r="A123">
        <v>13.5261</v>
      </c>
      <c r="B123">
        <v>8.7400000000000005E-2</v>
      </c>
      <c r="C123">
        <v>5.6018999999999997</v>
      </c>
      <c r="D123">
        <v>0</v>
      </c>
      <c r="E123">
        <v>1</v>
      </c>
      <c r="G123">
        <v>0.1661</v>
      </c>
      <c r="H123">
        <v>12.712</v>
      </c>
    </row>
    <row r="124" spans="1:8" x14ac:dyDescent="0.2">
      <c r="A124">
        <v>13.7766</v>
      </c>
      <c r="B124">
        <v>0.09</v>
      </c>
      <c r="C124">
        <v>5.7308000000000003</v>
      </c>
      <c r="D124">
        <v>0</v>
      </c>
      <c r="E124">
        <v>1</v>
      </c>
      <c r="G124">
        <v>0.16769999999999999</v>
      </c>
      <c r="H124">
        <v>12.807</v>
      </c>
    </row>
    <row r="125" spans="1:8" x14ac:dyDescent="0.2">
      <c r="A125">
        <v>14.027100000000001</v>
      </c>
      <c r="B125">
        <v>9.0800000000000006E-2</v>
      </c>
      <c r="C125">
        <v>5.8579999999999997</v>
      </c>
      <c r="D125">
        <v>0</v>
      </c>
      <c r="E125">
        <v>1</v>
      </c>
      <c r="G125">
        <v>0.16789999999999999</v>
      </c>
      <c r="H125">
        <v>12.8909</v>
      </c>
    </row>
    <row r="126" spans="1:8" x14ac:dyDescent="0.2">
      <c r="A126">
        <v>14.2776</v>
      </c>
      <c r="B126">
        <v>9.3299999999999994E-2</v>
      </c>
      <c r="C126">
        <v>5.9847000000000001</v>
      </c>
      <c r="D126">
        <v>0</v>
      </c>
      <c r="E126">
        <v>1</v>
      </c>
      <c r="G126">
        <v>0.1701</v>
      </c>
      <c r="H126">
        <v>12.9579</v>
      </c>
    </row>
    <row r="127" spans="1:8" x14ac:dyDescent="0.2">
      <c r="A127">
        <v>14.5281</v>
      </c>
      <c r="B127">
        <v>9.3899999999999997E-2</v>
      </c>
      <c r="C127">
        <v>6.0986000000000002</v>
      </c>
      <c r="D127">
        <v>0</v>
      </c>
      <c r="E127">
        <v>1</v>
      </c>
      <c r="G127">
        <v>0.17130000000000001</v>
      </c>
      <c r="H127">
        <v>13.039</v>
      </c>
    </row>
    <row r="128" spans="1:8" x14ac:dyDescent="0.2">
      <c r="A128">
        <v>14.778499999999999</v>
      </c>
      <c r="B128">
        <v>9.5899999999999999E-2</v>
      </c>
      <c r="C128">
        <v>6.2133000000000003</v>
      </c>
      <c r="D128">
        <v>0</v>
      </c>
      <c r="E128">
        <v>1</v>
      </c>
      <c r="G128">
        <v>0.17299999999999999</v>
      </c>
      <c r="H128">
        <v>13.099600000000001</v>
      </c>
    </row>
    <row r="129" spans="1:8" x14ac:dyDescent="0.2">
      <c r="A129">
        <v>15.029</v>
      </c>
      <c r="B129">
        <v>9.69E-2</v>
      </c>
      <c r="C129">
        <v>6.3261000000000003</v>
      </c>
      <c r="D129">
        <v>0</v>
      </c>
      <c r="E129">
        <v>1</v>
      </c>
      <c r="G129">
        <v>0.17460000000000001</v>
      </c>
      <c r="H129">
        <v>13.169600000000001</v>
      </c>
    </row>
    <row r="130" spans="1:8" x14ac:dyDescent="0.2">
      <c r="A130">
        <v>15.279500000000001</v>
      </c>
      <c r="B130">
        <v>9.8299999999999998E-2</v>
      </c>
      <c r="C130">
        <v>6.4348999999999998</v>
      </c>
      <c r="D130">
        <v>0</v>
      </c>
      <c r="E130">
        <v>1</v>
      </c>
      <c r="G130">
        <v>0.1757</v>
      </c>
      <c r="H130">
        <v>13.2272</v>
      </c>
    </row>
    <row r="131" spans="1:8" x14ac:dyDescent="0.2">
      <c r="A131">
        <v>15.53</v>
      </c>
      <c r="B131">
        <v>9.9599999999999994E-2</v>
      </c>
      <c r="C131">
        <v>6.5476999999999999</v>
      </c>
      <c r="D131">
        <v>0</v>
      </c>
      <c r="E131">
        <v>1</v>
      </c>
      <c r="G131">
        <v>0.17660000000000001</v>
      </c>
      <c r="H131">
        <v>13.278700000000001</v>
      </c>
    </row>
    <row r="132" spans="1:8" x14ac:dyDescent="0.2">
      <c r="A132">
        <v>15.7805</v>
      </c>
      <c r="B132">
        <v>0.10050000000000001</v>
      </c>
      <c r="C132">
        <v>6.6439000000000004</v>
      </c>
      <c r="D132">
        <v>0</v>
      </c>
      <c r="E132">
        <v>1</v>
      </c>
      <c r="G132">
        <v>0.17849999999999999</v>
      </c>
      <c r="H132">
        <v>13.332700000000001</v>
      </c>
    </row>
    <row r="133" spans="1:8" x14ac:dyDescent="0.2">
      <c r="A133">
        <v>16.030999999999999</v>
      </c>
      <c r="B133">
        <v>0.1022</v>
      </c>
      <c r="C133">
        <v>6.7389000000000001</v>
      </c>
      <c r="D133">
        <v>0</v>
      </c>
      <c r="E133">
        <v>1</v>
      </c>
      <c r="G133">
        <v>0.1779</v>
      </c>
      <c r="H133">
        <v>13.3841</v>
      </c>
    </row>
    <row r="134" spans="1:8" x14ac:dyDescent="0.2">
      <c r="A134">
        <v>16.281400000000001</v>
      </c>
      <c r="B134">
        <v>0.105</v>
      </c>
      <c r="C134">
        <v>6.8277000000000001</v>
      </c>
      <c r="D134">
        <v>0</v>
      </c>
      <c r="E134">
        <v>1</v>
      </c>
      <c r="G134">
        <v>0.1797</v>
      </c>
      <c r="H134">
        <v>13.4276</v>
      </c>
    </row>
    <row r="135" spans="1:8" x14ac:dyDescent="0.2">
      <c r="A135">
        <v>16.5319</v>
      </c>
      <c r="B135">
        <v>0.105</v>
      </c>
      <c r="C135">
        <v>6.9203999999999999</v>
      </c>
      <c r="D135">
        <v>0</v>
      </c>
      <c r="E135">
        <v>1</v>
      </c>
      <c r="G135">
        <v>0.18079999999999999</v>
      </c>
      <c r="H135">
        <v>13.485300000000001</v>
      </c>
    </row>
    <row r="136" spans="1:8" x14ac:dyDescent="0.2">
      <c r="A136">
        <v>16.782399999999999</v>
      </c>
      <c r="B136">
        <v>0.10589999999999999</v>
      </c>
      <c r="C136">
        <v>7.0075000000000003</v>
      </c>
      <c r="D136">
        <v>0</v>
      </c>
      <c r="E136">
        <v>1</v>
      </c>
      <c r="G136">
        <v>0.18099999999999999</v>
      </c>
      <c r="H136">
        <v>13.532999999999999</v>
      </c>
    </row>
    <row r="137" spans="1:8" x14ac:dyDescent="0.2">
      <c r="A137">
        <v>17.032900000000001</v>
      </c>
      <c r="B137">
        <v>0.10829999999999999</v>
      </c>
      <c r="C137">
        <v>7.0831999999999997</v>
      </c>
      <c r="D137">
        <v>0</v>
      </c>
      <c r="E137">
        <v>1</v>
      </c>
      <c r="G137">
        <v>0.18190000000000001</v>
      </c>
      <c r="H137">
        <v>13.5815</v>
      </c>
    </row>
    <row r="138" spans="1:8" x14ac:dyDescent="0.2">
      <c r="A138">
        <v>17.2834</v>
      </c>
      <c r="B138">
        <v>0.1075</v>
      </c>
      <c r="C138">
        <v>7.1603000000000003</v>
      </c>
      <c r="D138">
        <v>0</v>
      </c>
      <c r="E138">
        <v>1</v>
      </c>
      <c r="G138">
        <v>0.1827</v>
      </c>
      <c r="H138">
        <v>13.6305</v>
      </c>
    </row>
    <row r="139" spans="1:8" x14ac:dyDescent="0.2">
      <c r="A139">
        <v>17.533899999999999</v>
      </c>
      <c r="B139">
        <v>0.10920000000000001</v>
      </c>
      <c r="C139">
        <v>7.2385999999999999</v>
      </c>
      <c r="D139">
        <v>0</v>
      </c>
      <c r="E139">
        <v>1</v>
      </c>
      <c r="G139">
        <v>0.18340000000000001</v>
      </c>
      <c r="H139">
        <v>13.682399999999999</v>
      </c>
    </row>
    <row r="140" spans="1:8" x14ac:dyDescent="0.2">
      <c r="A140">
        <v>17.784300000000002</v>
      </c>
      <c r="B140">
        <v>0.11070000000000001</v>
      </c>
      <c r="C140">
        <v>7.3049999999999997</v>
      </c>
      <c r="D140">
        <v>0</v>
      </c>
      <c r="E140">
        <v>1</v>
      </c>
      <c r="G140">
        <v>0.185</v>
      </c>
      <c r="H140">
        <v>13.734299999999999</v>
      </c>
    </row>
    <row r="141" spans="1:8" x14ac:dyDescent="0.2">
      <c r="A141">
        <v>18.034800000000001</v>
      </c>
      <c r="B141">
        <v>0.1124</v>
      </c>
      <c r="C141">
        <v>7.3688000000000002</v>
      </c>
      <c r="D141">
        <v>0</v>
      </c>
      <c r="E141">
        <v>1</v>
      </c>
      <c r="G141">
        <v>0.185</v>
      </c>
      <c r="H141">
        <v>13.7951</v>
      </c>
    </row>
    <row r="142" spans="1:8" x14ac:dyDescent="0.2">
      <c r="A142">
        <v>18.285299999999999</v>
      </c>
      <c r="B142">
        <v>0.1129</v>
      </c>
      <c r="C142">
        <v>7.4394999999999998</v>
      </c>
      <c r="D142">
        <v>0</v>
      </c>
      <c r="E142">
        <v>1</v>
      </c>
      <c r="G142">
        <v>0.1857</v>
      </c>
      <c r="H142">
        <v>13.853400000000001</v>
      </c>
    </row>
    <row r="143" spans="1:8" x14ac:dyDescent="0.2">
      <c r="A143">
        <v>18.535799999999998</v>
      </c>
      <c r="B143">
        <v>0.1153</v>
      </c>
      <c r="C143">
        <v>7.4934000000000003</v>
      </c>
      <c r="D143">
        <v>0</v>
      </c>
      <c r="E143">
        <v>1</v>
      </c>
      <c r="G143">
        <v>0.18629999999999999</v>
      </c>
      <c r="H143">
        <v>13.919700000000001</v>
      </c>
    </row>
    <row r="144" spans="1:8" x14ac:dyDescent="0.2">
      <c r="A144">
        <v>18.786300000000001</v>
      </c>
      <c r="B144">
        <v>0.1143</v>
      </c>
      <c r="C144">
        <v>7.5631000000000004</v>
      </c>
      <c r="D144">
        <v>0</v>
      </c>
      <c r="E144">
        <v>1</v>
      </c>
      <c r="G144">
        <v>0.18740000000000001</v>
      </c>
      <c r="H144">
        <v>13.9937</v>
      </c>
    </row>
    <row r="145" spans="1:8" x14ac:dyDescent="0.2">
      <c r="A145">
        <v>19.036799999999999</v>
      </c>
      <c r="B145">
        <v>0.1157</v>
      </c>
      <c r="C145">
        <v>7.6258999999999997</v>
      </c>
      <c r="D145">
        <v>0</v>
      </c>
      <c r="E145">
        <v>1</v>
      </c>
      <c r="G145">
        <v>0.188</v>
      </c>
      <c r="H145">
        <v>14.061299999999999</v>
      </c>
    </row>
    <row r="146" spans="1:8" x14ac:dyDescent="0.2">
      <c r="A146">
        <v>19.287199999999999</v>
      </c>
      <c r="B146">
        <v>0.11749999999999999</v>
      </c>
      <c r="C146">
        <v>7.6867000000000001</v>
      </c>
      <c r="D146">
        <v>0</v>
      </c>
      <c r="E146">
        <v>1</v>
      </c>
      <c r="G146">
        <v>0.18890000000000001</v>
      </c>
      <c r="H146">
        <v>14.148400000000001</v>
      </c>
    </row>
    <row r="147" spans="1:8" x14ac:dyDescent="0.2">
      <c r="A147">
        <v>19.537700000000001</v>
      </c>
      <c r="B147">
        <v>0.11940000000000001</v>
      </c>
      <c r="C147">
        <v>7.7412000000000001</v>
      </c>
      <c r="D147">
        <v>0</v>
      </c>
      <c r="E147">
        <v>1</v>
      </c>
      <c r="G147">
        <v>0.19089999999999999</v>
      </c>
      <c r="H147">
        <v>14.238899999999999</v>
      </c>
    </row>
    <row r="148" spans="1:8" x14ac:dyDescent="0.2">
      <c r="A148">
        <v>19.7882</v>
      </c>
      <c r="B148">
        <v>0.11899999999999999</v>
      </c>
      <c r="C148">
        <v>7.8132999999999999</v>
      </c>
      <c r="D148">
        <v>0</v>
      </c>
      <c r="E148">
        <v>1</v>
      </c>
      <c r="G148">
        <v>0.19170000000000001</v>
      </c>
      <c r="H148">
        <v>14.3362</v>
      </c>
    </row>
    <row r="149" spans="1:8" x14ac:dyDescent="0.2">
      <c r="A149">
        <v>20.038699999999999</v>
      </c>
      <c r="B149">
        <v>0.1187</v>
      </c>
      <c r="C149">
        <v>7.8795000000000002</v>
      </c>
      <c r="D149">
        <v>0</v>
      </c>
      <c r="E149">
        <v>1</v>
      </c>
      <c r="G149">
        <v>0.1915</v>
      </c>
      <c r="H149">
        <v>14.441599999999999</v>
      </c>
    </row>
    <row r="150" spans="1:8" x14ac:dyDescent="0.2">
      <c r="A150">
        <v>20.289200000000001</v>
      </c>
      <c r="B150">
        <v>0.12089999999999999</v>
      </c>
      <c r="C150">
        <v>7.9438000000000004</v>
      </c>
      <c r="D150">
        <v>0</v>
      </c>
      <c r="E150">
        <v>1</v>
      </c>
      <c r="G150">
        <v>0.19239999999999999</v>
      </c>
      <c r="H150">
        <v>14.546799999999999</v>
      </c>
    </row>
    <row r="151" spans="1:8" x14ac:dyDescent="0.2">
      <c r="A151">
        <v>20.5397</v>
      </c>
      <c r="B151">
        <v>0.1206</v>
      </c>
      <c r="C151">
        <v>8.0175000000000001</v>
      </c>
      <c r="D151">
        <v>0</v>
      </c>
      <c r="E151">
        <v>1</v>
      </c>
      <c r="G151">
        <v>0.19309999999999999</v>
      </c>
      <c r="H151">
        <v>14.6676</v>
      </c>
    </row>
    <row r="152" spans="1:8" x14ac:dyDescent="0.2">
      <c r="A152">
        <v>20.790199999999999</v>
      </c>
      <c r="B152">
        <v>0.1234</v>
      </c>
      <c r="C152">
        <v>8.0792000000000002</v>
      </c>
      <c r="D152">
        <v>0</v>
      </c>
      <c r="E152">
        <v>1</v>
      </c>
      <c r="G152">
        <v>0.19370000000000001</v>
      </c>
      <c r="H152">
        <v>14.786300000000001</v>
      </c>
    </row>
    <row r="153" spans="1:8" x14ac:dyDescent="0.2">
      <c r="A153">
        <v>21.040600000000001</v>
      </c>
      <c r="B153">
        <v>0.1232</v>
      </c>
      <c r="C153">
        <v>8.1609999999999996</v>
      </c>
      <c r="D153">
        <v>0</v>
      </c>
      <c r="E153">
        <v>1</v>
      </c>
      <c r="G153">
        <v>0.1943</v>
      </c>
      <c r="H153">
        <v>14.9153</v>
      </c>
    </row>
    <row r="154" spans="1:8" x14ac:dyDescent="0.2">
      <c r="A154">
        <v>21.2911</v>
      </c>
      <c r="B154">
        <v>0.1239</v>
      </c>
      <c r="C154">
        <v>8.2432999999999996</v>
      </c>
      <c r="D154">
        <v>0</v>
      </c>
      <c r="E154">
        <v>1</v>
      </c>
      <c r="G154">
        <v>0.1961</v>
      </c>
      <c r="H154">
        <v>15.054399999999999</v>
      </c>
    </row>
    <row r="155" spans="1:8" x14ac:dyDescent="0.2">
      <c r="A155">
        <v>21.541599999999999</v>
      </c>
      <c r="B155">
        <v>0.1246</v>
      </c>
      <c r="C155">
        <v>8.3323999999999998</v>
      </c>
      <c r="D155">
        <v>0</v>
      </c>
      <c r="E155">
        <v>1</v>
      </c>
      <c r="G155">
        <v>0.1976</v>
      </c>
      <c r="H155">
        <v>15.1891</v>
      </c>
    </row>
    <row r="156" spans="1:8" x14ac:dyDescent="0.2">
      <c r="A156">
        <v>21.792100000000001</v>
      </c>
      <c r="B156">
        <v>0.12529999999999999</v>
      </c>
      <c r="C156">
        <v>8.4206000000000003</v>
      </c>
      <c r="D156">
        <v>0</v>
      </c>
      <c r="E156">
        <v>1</v>
      </c>
      <c r="G156">
        <v>0.1978</v>
      </c>
      <c r="H156">
        <v>15.3291</v>
      </c>
    </row>
    <row r="157" spans="1:8" x14ac:dyDescent="0.2">
      <c r="A157">
        <v>22.0426</v>
      </c>
      <c r="B157">
        <v>0.1268</v>
      </c>
      <c r="C157">
        <v>8.5138999999999996</v>
      </c>
      <c r="D157">
        <v>0</v>
      </c>
      <c r="E157">
        <v>1</v>
      </c>
      <c r="G157">
        <v>0.19980000000000001</v>
      </c>
      <c r="H157">
        <v>15.4678</v>
      </c>
    </row>
    <row r="158" spans="1:8" x14ac:dyDescent="0.2">
      <c r="A158">
        <v>22.293099999999999</v>
      </c>
      <c r="B158">
        <v>0.1275</v>
      </c>
      <c r="C158">
        <v>8.6096000000000004</v>
      </c>
      <c r="D158">
        <v>0</v>
      </c>
      <c r="E158">
        <v>1</v>
      </c>
      <c r="G158">
        <v>0.20069999999999999</v>
      </c>
      <c r="H158">
        <v>15.6244</v>
      </c>
    </row>
    <row r="159" spans="1:8" x14ac:dyDescent="0.2">
      <c r="A159">
        <v>22.543500000000002</v>
      </c>
      <c r="B159">
        <v>0.129</v>
      </c>
      <c r="C159">
        <v>8.7072000000000003</v>
      </c>
      <c r="D159">
        <v>0</v>
      </c>
      <c r="E159">
        <v>1</v>
      </c>
      <c r="G159">
        <v>0.20300000000000001</v>
      </c>
      <c r="H159">
        <v>15.781700000000001</v>
      </c>
    </row>
    <row r="160" spans="1:8" x14ac:dyDescent="0.2">
      <c r="A160">
        <v>22.794</v>
      </c>
      <c r="B160">
        <v>0.1288</v>
      </c>
      <c r="C160">
        <v>8.8233999999999995</v>
      </c>
      <c r="D160">
        <v>0</v>
      </c>
      <c r="E160">
        <v>1</v>
      </c>
      <c r="G160">
        <v>0.2039</v>
      </c>
      <c r="H160">
        <v>15.944900000000001</v>
      </c>
    </row>
    <row r="161" spans="1:8" x14ac:dyDescent="0.2">
      <c r="A161">
        <v>23.044499999999999</v>
      </c>
      <c r="B161">
        <v>0.13009999999999999</v>
      </c>
      <c r="C161">
        <v>8.9387000000000008</v>
      </c>
      <c r="D161">
        <v>0</v>
      </c>
      <c r="E161">
        <v>1</v>
      </c>
      <c r="G161">
        <v>0.20449999999999999</v>
      </c>
      <c r="H161">
        <v>16.111599999999999</v>
      </c>
    </row>
    <row r="162" spans="1:8" x14ac:dyDescent="0.2">
      <c r="A162">
        <v>23.295000000000002</v>
      </c>
      <c r="B162">
        <v>0.13139999999999999</v>
      </c>
      <c r="C162">
        <v>9.0532000000000004</v>
      </c>
      <c r="D162">
        <v>0</v>
      </c>
      <c r="E162">
        <v>1</v>
      </c>
      <c r="G162">
        <v>0.2041</v>
      </c>
      <c r="H162">
        <v>16.282</v>
      </c>
    </row>
    <row r="163" spans="1:8" x14ac:dyDescent="0.2">
      <c r="A163">
        <v>23.545500000000001</v>
      </c>
      <c r="B163">
        <v>0.13220000000000001</v>
      </c>
      <c r="C163">
        <v>9.1820000000000004</v>
      </c>
      <c r="D163">
        <v>0</v>
      </c>
      <c r="E163">
        <v>1</v>
      </c>
      <c r="G163">
        <v>0.2059</v>
      </c>
      <c r="H163">
        <v>16.445699999999999</v>
      </c>
    </row>
    <row r="164" spans="1:8" x14ac:dyDescent="0.2">
      <c r="A164">
        <v>23.795999999999999</v>
      </c>
      <c r="B164">
        <v>0.1336</v>
      </c>
      <c r="C164">
        <v>9.3078000000000003</v>
      </c>
      <c r="D164">
        <v>0</v>
      </c>
      <c r="E164">
        <v>1</v>
      </c>
      <c r="G164">
        <v>0.20760000000000001</v>
      </c>
      <c r="H164">
        <v>16.610399999999998</v>
      </c>
    </row>
    <row r="165" spans="1:8" x14ac:dyDescent="0.2">
      <c r="A165">
        <v>24.046399999999998</v>
      </c>
      <c r="B165">
        <v>0.1333</v>
      </c>
      <c r="C165">
        <v>9.4430999999999994</v>
      </c>
      <c r="D165">
        <v>0</v>
      </c>
      <c r="E165">
        <v>1</v>
      </c>
      <c r="G165">
        <v>0.25440000000000002</v>
      </c>
      <c r="H165">
        <v>16.692499999999999</v>
      </c>
    </row>
    <row r="166" spans="1:8" x14ac:dyDescent="0.2">
      <c r="A166">
        <v>24.296900000000001</v>
      </c>
      <c r="B166">
        <v>0.1348</v>
      </c>
      <c r="C166">
        <v>9.5838999999999999</v>
      </c>
      <c r="D166">
        <v>0</v>
      </c>
      <c r="E166">
        <v>1</v>
      </c>
      <c r="G166">
        <v>0.25790000000000002</v>
      </c>
      <c r="H166">
        <v>16.915099999999999</v>
      </c>
    </row>
    <row r="167" spans="1:8" x14ac:dyDescent="0.2">
      <c r="A167">
        <v>24.5474</v>
      </c>
      <c r="B167">
        <v>0.13650000000000001</v>
      </c>
      <c r="C167">
        <v>9.7155000000000005</v>
      </c>
      <c r="D167">
        <v>0</v>
      </c>
      <c r="E167">
        <v>1</v>
      </c>
      <c r="G167">
        <v>0.25869999999999999</v>
      </c>
      <c r="H167">
        <v>17.0883</v>
      </c>
    </row>
    <row r="168" spans="1:8" x14ac:dyDescent="0.2">
      <c r="A168">
        <v>24.797899999999998</v>
      </c>
      <c r="B168">
        <v>0.13819999999999999</v>
      </c>
      <c r="C168">
        <v>9.8626000000000005</v>
      </c>
      <c r="D168">
        <v>0</v>
      </c>
      <c r="E168">
        <v>1</v>
      </c>
      <c r="G168">
        <v>0.26140000000000002</v>
      </c>
      <c r="H168">
        <v>17.254100000000001</v>
      </c>
    </row>
    <row r="169" spans="1:8" x14ac:dyDescent="0.2">
      <c r="A169">
        <v>25.048400000000001</v>
      </c>
      <c r="B169">
        <v>0.1394</v>
      </c>
      <c r="C169">
        <v>10.014799999999999</v>
      </c>
      <c r="D169">
        <v>0</v>
      </c>
      <c r="E169">
        <v>1</v>
      </c>
      <c r="G169">
        <v>0.2616</v>
      </c>
      <c r="H169">
        <v>17.418600000000001</v>
      </c>
    </row>
    <row r="170" spans="1:8" x14ac:dyDescent="0.2">
      <c r="A170">
        <v>25.2989</v>
      </c>
      <c r="B170">
        <v>0.14050000000000001</v>
      </c>
      <c r="C170">
        <v>10.162800000000001</v>
      </c>
      <c r="D170">
        <v>0</v>
      </c>
      <c r="E170">
        <v>1</v>
      </c>
      <c r="G170">
        <v>0.26200000000000001</v>
      </c>
      <c r="H170">
        <v>17.572600000000001</v>
      </c>
    </row>
    <row r="171" spans="1:8" x14ac:dyDescent="0.2">
      <c r="A171">
        <v>25.549299999999999</v>
      </c>
      <c r="B171">
        <v>0.14149999999999999</v>
      </c>
      <c r="C171">
        <v>10.3163</v>
      </c>
      <c r="D171">
        <v>0</v>
      </c>
      <c r="E171">
        <v>1</v>
      </c>
      <c r="G171">
        <v>0.26369999999999999</v>
      </c>
      <c r="H171">
        <v>17.7241</v>
      </c>
    </row>
    <row r="172" spans="1:8" x14ac:dyDescent="0.2">
      <c r="A172">
        <v>25.799800000000001</v>
      </c>
      <c r="B172">
        <v>0.1431</v>
      </c>
      <c r="C172">
        <v>10.468400000000001</v>
      </c>
      <c r="D172">
        <v>0</v>
      </c>
      <c r="E172">
        <v>1</v>
      </c>
      <c r="G172">
        <v>0.2651</v>
      </c>
      <c r="H172">
        <v>17.8613</v>
      </c>
    </row>
    <row r="173" spans="1:8" x14ac:dyDescent="0.2">
      <c r="A173">
        <v>26.0503</v>
      </c>
      <c r="B173">
        <v>0.14380000000000001</v>
      </c>
      <c r="C173">
        <v>10.6218</v>
      </c>
      <c r="D173">
        <v>0</v>
      </c>
      <c r="E173">
        <v>1</v>
      </c>
      <c r="G173">
        <v>0.26529999999999998</v>
      </c>
      <c r="H173">
        <v>18.001200000000001</v>
      </c>
    </row>
    <row r="174" spans="1:8" x14ac:dyDescent="0.2">
      <c r="A174">
        <v>26.300799999999999</v>
      </c>
      <c r="B174">
        <v>0.1457</v>
      </c>
      <c r="C174">
        <v>10.7759</v>
      </c>
      <c r="D174">
        <v>0</v>
      </c>
      <c r="E174">
        <v>1</v>
      </c>
      <c r="G174">
        <v>0.2671</v>
      </c>
      <c r="H174">
        <v>18.128499999999999</v>
      </c>
    </row>
    <row r="175" spans="1:8" x14ac:dyDescent="0.2">
      <c r="A175">
        <v>26.551300000000001</v>
      </c>
      <c r="B175">
        <v>0.14760000000000001</v>
      </c>
      <c r="C175">
        <v>10.9274</v>
      </c>
      <c r="D175">
        <v>0</v>
      </c>
      <c r="E175">
        <v>1</v>
      </c>
      <c r="G175">
        <v>0.26900000000000002</v>
      </c>
      <c r="H175">
        <v>18.2456</v>
      </c>
    </row>
    <row r="176" spans="1:8" x14ac:dyDescent="0.2">
      <c r="A176">
        <v>26.8018</v>
      </c>
      <c r="B176">
        <v>0.14910000000000001</v>
      </c>
      <c r="C176">
        <v>11.0861</v>
      </c>
      <c r="D176">
        <v>0</v>
      </c>
      <c r="E176">
        <v>1</v>
      </c>
      <c r="G176">
        <v>0.27100000000000002</v>
      </c>
      <c r="H176">
        <v>18.366099999999999</v>
      </c>
    </row>
    <row r="177" spans="1:8" x14ac:dyDescent="0.2">
      <c r="A177">
        <v>27.052199999999999</v>
      </c>
      <c r="B177">
        <v>0.14960000000000001</v>
      </c>
      <c r="C177">
        <v>11.2349</v>
      </c>
      <c r="D177">
        <v>0</v>
      </c>
      <c r="E177">
        <v>1</v>
      </c>
      <c r="G177">
        <v>0.27279999999999999</v>
      </c>
      <c r="H177">
        <v>18.4679</v>
      </c>
    </row>
    <row r="178" spans="1:8" x14ac:dyDescent="0.2">
      <c r="A178">
        <v>27.302700000000002</v>
      </c>
      <c r="B178">
        <v>0.15060000000000001</v>
      </c>
      <c r="C178">
        <v>11.3797</v>
      </c>
      <c r="D178">
        <v>0</v>
      </c>
      <c r="E178">
        <v>1</v>
      </c>
      <c r="G178">
        <v>0.27400000000000002</v>
      </c>
      <c r="H178">
        <v>18.565799999999999</v>
      </c>
    </row>
    <row r="179" spans="1:8" x14ac:dyDescent="0.2">
      <c r="A179">
        <v>27.5532</v>
      </c>
      <c r="B179">
        <v>0.15190000000000001</v>
      </c>
      <c r="C179">
        <v>11.5252</v>
      </c>
      <c r="D179">
        <v>0</v>
      </c>
      <c r="E179">
        <v>1</v>
      </c>
      <c r="G179">
        <v>0.27529999999999999</v>
      </c>
      <c r="H179">
        <v>18.6708</v>
      </c>
    </row>
    <row r="180" spans="1:8" x14ac:dyDescent="0.2">
      <c r="A180">
        <v>27.803699999999999</v>
      </c>
      <c r="B180">
        <v>0.15440000000000001</v>
      </c>
      <c r="C180">
        <v>11.6676</v>
      </c>
      <c r="D180">
        <v>0</v>
      </c>
      <c r="E180">
        <v>1</v>
      </c>
      <c r="G180">
        <v>0.2772</v>
      </c>
      <c r="H180">
        <v>18.749300000000002</v>
      </c>
    </row>
    <row r="181" spans="1:8" x14ac:dyDescent="0.2">
      <c r="A181">
        <v>28.054200000000002</v>
      </c>
      <c r="B181">
        <v>0.15479999999999999</v>
      </c>
      <c r="C181">
        <v>11.8078</v>
      </c>
      <c r="D181">
        <v>0</v>
      </c>
      <c r="E181">
        <v>1</v>
      </c>
      <c r="G181">
        <v>0.27860000000000001</v>
      </c>
      <c r="H181">
        <v>18.833100000000002</v>
      </c>
    </row>
    <row r="182" spans="1:8" x14ac:dyDescent="0.2">
      <c r="A182">
        <v>28.3047</v>
      </c>
      <c r="B182">
        <v>0.1555</v>
      </c>
      <c r="C182">
        <v>11.941599999999999</v>
      </c>
      <c r="D182">
        <v>0</v>
      </c>
      <c r="E182">
        <v>1</v>
      </c>
      <c r="G182">
        <v>0.27979999999999999</v>
      </c>
      <c r="H182">
        <v>18.905200000000001</v>
      </c>
    </row>
    <row r="183" spans="1:8" x14ac:dyDescent="0.2">
      <c r="A183">
        <v>28.555099999999999</v>
      </c>
      <c r="B183">
        <v>0.15690000000000001</v>
      </c>
      <c r="C183">
        <v>12.068300000000001</v>
      </c>
      <c r="D183">
        <v>0</v>
      </c>
      <c r="E183">
        <v>1</v>
      </c>
      <c r="G183">
        <v>0.28120000000000001</v>
      </c>
      <c r="H183">
        <v>18.972200000000001</v>
      </c>
    </row>
    <row r="184" spans="1:8" x14ac:dyDescent="0.2">
      <c r="A184">
        <v>28.805599999999998</v>
      </c>
      <c r="B184">
        <v>0.15920000000000001</v>
      </c>
      <c r="C184">
        <v>12.1822</v>
      </c>
      <c r="D184">
        <v>0</v>
      </c>
      <c r="E184">
        <v>1</v>
      </c>
      <c r="G184">
        <v>0.28320000000000001</v>
      </c>
      <c r="H184">
        <v>19.038699999999999</v>
      </c>
    </row>
    <row r="185" spans="1:8" x14ac:dyDescent="0.2">
      <c r="A185">
        <v>29.056100000000001</v>
      </c>
      <c r="B185">
        <v>0.15959999999999999</v>
      </c>
      <c r="C185">
        <v>12.305999999999999</v>
      </c>
      <c r="D185">
        <v>0</v>
      </c>
      <c r="E185">
        <v>1</v>
      </c>
      <c r="G185">
        <v>0.2853</v>
      </c>
      <c r="H185">
        <v>19.091699999999999</v>
      </c>
    </row>
    <row r="186" spans="1:8" x14ac:dyDescent="0.2">
      <c r="A186">
        <v>29.3066</v>
      </c>
      <c r="B186">
        <v>0.16270000000000001</v>
      </c>
      <c r="C186">
        <v>12.411</v>
      </c>
      <c r="D186">
        <v>0</v>
      </c>
      <c r="E186">
        <v>1</v>
      </c>
      <c r="G186">
        <v>0.2853</v>
      </c>
      <c r="H186">
        <v>19.143000000000001</v>
      </c>
    </row>
    <row r="187" spans="1:8" x14ac:dyDescent="0.2">
      <c r="A187">
        <v>29.557099999999998</v>
      </c>
      <c r="B187">
        <v>0.1633</v>
      </c>
      <c r="C187">
        <v>12.5175</v>
      </c>
      <c r="D187">
        <v>0</v>
      </c>
      <c r="E187">
        <v>1</v>
      </c>
      <c r="G187">
        <v>0.2858</v>
      </c>
      <c r="H187">
        <v>19.190899999999999</v>
      </c>
    </row>
    <row r="188" spans="1:8" x14ac:dyDescent="0.2">
      <c r="A188">
        <v>29.807600000000001</v>
      </c>
      <c r="B188">
        <v>0.1638</v>
      </c>
      <c r="C188">
        <v>12.6242</v>
      </c>
      <c r="D188">
        <v>0</v>
      </c>
      <c r="E188">
        <v>1</v>
      </c>
      <c r="G188">
        <v>0.28670000000000001</v>
      </c>
      <c r="H188">
        <v>19.233599999999999</v>
      </c>
    </row>
    <row r="189" spans="1:8" x14ac:dyDescent="0.2">
      <c r="A189">
        <v>30.0581</v>
      </c>
      <c r="B189">
        <v>0.1661</v>
      </c>
      <c r="C189">
        <v>12.712</v>
      </c>
      <c r="D189">
        <v>0</v>
      </c>
      <c r="E189">
        <v>1</v>
      </c>
      <c r="G189">
        <v>0.2883</v>
      </c>
      <c r="H189">
        <v>19.2776</v>
      </c>
    </row>
    <row r="190" spans="1:8" x14ac:dyDescent="0.2">
      <c r="A190">
        <v>30.308499999999999</v>
      </c>
      <c r="B190">
        <v>0.16769999999999999</v>
      </c>
      <c r="C190">
        <v>12.807</v>
      </c>
      <c r="D190">
        <v>0</v>
      </c>
      <c r="E190">
        <v>1</v>
      </c>
      <c r="G190">
        <v>0.28949999999999998</v>
      </c>
      <c r="H190">
        <v>19.311699999999998</v>
      </c>
    </row>
    <row r="191" spans="1:8" x14ac:dyDescent="0.2">
      <c r="A191">
        <v>30.559000000000001</v>
      </c>
      <c r="B191">
        <v>0.16789999999999999</v>
      </c>
      <c r="C191">
        <v>12.8909</v>
      </c>
      <c r="D191">
        <v>0</v>
      </c>
      <c r="E191">
        <v>1</v>
      </c>
      <c r="G191">
        <v>0.29239999999999999</v>
      </c>
      <c r="H191">
        <v>19.347899999999999</v>
      </c>
    </row>
    <row r="192" spans="1:8" x14ac:dyDescent="0.2">
      <c r="A192">
        <v>30.8095</v>
      </c>
      <c r="B192">
        <v>0.1701</v>
      </c>
      <c r="C192">
        <v>12.9579</v>
      </c>
      <c r="D192">
        <v>0</v>
      </c>
      <c r="E192">
        <v>1</v>
      </c>
      <c r="G192">
        <v>0.29360000000000003</v>
      </c>
      <c r="H192">
        <v>19.390699999999999</v>
      </c>
    </row>
    <row r="193" spans="1:8" x14ac:dyDescent="0.2">
      <c r="A193">
        <v>31.06</v>
      </c>
      <c r="B193">
        <v>0.17130000000000001</v>
      </c>
      <c r="C193">
        <v>13.039</v>
      </c>
      <c r="D193">
        <v>0</v>
      </c>
      <c r="E193">
        <v>1</v>
      </c>
      <c r="G193">
        <v>0.2954</v>
      </c>
      <c r="H193">
        <v>19.426500000000001</v>
      </c>
    </row>
    <row r="194" spans="1:8" x14ac:dyDescent="0.2">
      <c r="A194">
        <v>31.310500000000001</v>
      </c>
      <c r="B194">
        <v>0.17299999999999999</v>
      </c>
      <c r="C194">
        <v>13.099600000000001</v>
      </c>
      <c r="D194">
        <v>0</v>
      </c>
      <c r="E194">
        <v>1</v>
      </c>
      <c r="G194">
        <v>0.29599999999999999</v>
      </c>
      <c r="H194">
        <v>19.465199999999999</v>
      </c>
    </row>
    <row r="195" spans="1:8" x14ac:dyDescent="0.2">
      <c r="A195">
        <v>31.561</v>
      </c>
      <c r="B195">
        <v>0.17460000000000001</v>
      </c>
      <c r="C195">
        <v>13.169600000000001</v>
      </c>
      <c r="D195">
        <v>0</v>
      </c>
      <c r="E195">
        <v>1</v>
      </c>
      <c r="G195">
        <v>0.29709999999999998</v>
      </c>
      <c r="H195">
        <v>19.505500000000001</v>
      </c>
    </row>
    <row r="196" spans="1:8" x14ac:dyDescent="0.2">
      <c r="A196">
        <v>31.811399999999999</v>
      </c>
      <c r="B196">
        <v>0.1757</v>
      </c>
      <c r="C196">
        <v>13.2272</v>
      </c>
      <c r="D196">
        <v>0</v>
      </c>
      <c r="E196">
        <v>1</v>
      </c>
      <c r="G196">
        <v>0.2979</v>
      </c>
      <c r="H196">
        <v>19.550899999999999</v>
      </c>
    </row>
    <row r="197" spans="1:8" x14ac:dyDescent="0.2">
      <c r="A197">
        <v>32.061900000000001</v>
      </c>
      <c r="B197">
        <v>0.17660000000000001</v>
      </c>
      <c r="C197">
        <v>13.278700000000001</v>
      </c>
      <c r="D197">
        <v>0</v>
      </c>
      <c r="E197">
        <v>1</v>
      </c>
      <c r="G197">
        <v>0.3</v>
      </c>
      <c r="H197">
        <v>19.5959</v>
      </c>
    </row>
    <row r="198" spans="1:8" x14ac:dyDescent="0.2">
      <c r="A198">
        <v>32.312399999999997</v>
      </c>
      <c r="B198">
        <v>0.17849999999999999</v>
      </c>
      <c r="C198">
        <v>13.332700000000001</v>
      </c>
      <c r="D198">
        <v>0</v>
      </c>
      <c r="E198">
        <v>1</v>
      </c>
      <c r="G198">
        <v>0.30070000000000002</v>
      </c>
      <c r="H198">
        <v>19.6479</v>
      </c>
    </row>
    <row r="199" spans="1:8" x14ac:dyDescent="0.2">
      <c r="A199">
        <v>32.562899999999999</v>
      </c>
      <c r="B199">
        <v>0.1779</v>
      </c>
      <c r="C199">
        <v>13.3841</v>
      </c>
      <c r="D199">
        <v>0</v>
      </c>
      <c r="E199">
        <v>1</v>
      </c>
      <c r="G199">
        <v>0.30099999999999999</v>
      </c>
      <c r="H199">
        <v>19.708600000000001</v>
      </c>
    </row>
    <row r="200" spans="1:8" x14ac:dyDescent="0.2">
      <c r="A200">
        <v>32.813400000000001</v>
      </c>
      <c r="B200">
        <v>0.1797</v>
      </c>
      <c r="C200">
        <v>13.4276</v>
      </c>
      <c r="D200">
        <v>0</v>
      </c>
      <c r="E200">
        <v>1</v>
      </c>
      <c r="G200">
        <v>0.30159999999999998</v>
      </c>
      <c r="H200">
        <v>19.763999999999999</v>
      </c>
    </row>
    <row r="201" spans="1:8" x14ac:dyDescent="0.2">
      <c r="A201">
        <v>33.063899999999997</v>
      </c>
      <c r="B201">
        <v>0.18079999999999999</v>
      </c>
      <c r="C201">
        <v>13.485300000000001</v>
      </c>
      <c r="D201">
        <v>0</v>
      </c>
      <c r="E201">
        <v>1</v>
      </c>
      <c r="G201">
        <v>0.30199999999999999</v>
      </c>
      <c r="H201">
        <v>19.843599999999999</v>
      </c>
    </row>
    <row r="202" spans="1:8" x14ac:dyDescent="0.2">
      <c r="A202">
        <v>33.314300000000003</v>
      </c>
      <c r="B202">
        <v>0.18099999999999999</v>
      </c>
      <c r="C202">
        <v>13.532999999999999</v>
      </c>
      <c r="D202">
        <v>0</v>
      </c>
      <c r="E202">
        <v>1</v>
      </c>
      <c r="G202">
        <v>0.30409999999999998</v>
      </c>
      <c r="H202">
        <v>19.907299999999999</v>
      </c>
    </row>
    <row r="203" spans="1:8" x14ac:dyDescent="0.2">
      <c r="A203">
        <v>33.564799999999998</v>
      </c>
      <c r="B203">
        <v>0.18190000000000001</v>
      </c>
      <c r="C203">
        <v>13.5815</v>
      </c>
      <c r="D203">
        <v>0</v>
      </c>
      <c r="E203">
        <v>1</v>
      </c>
      <c r="G203">
        <v>0.3049</v>
      </c>
      <c r="H203">
        <v>19.994199999999999</v>
      </c>
    </row>
    <row r="204" spans="1:8" x14ac:dyDescent="0.2">
      <c r="A204">
        <v>33.815300000000001</v>
      </c>
      <c r="B204">
        <v>0.1827</v>
      </c>
      <c r="C204">
        <v>13.6305</v>
      </c>
      <c r="D204">
        <v>0</v>
      </c>
      <c r="E204">
        <v>1</v>
      </c>
      <c r="G204">
        <v>0.30640000000000001</v>
      </c>
      <c r="H204">
        <v>20.086500000000001</v>
      </c>
    </row>
    <row r="205" spans="1:8" x14ac:dyDescent="0.2">
      <c r="A205">
        <v>34.065800000000003</v>
      </c>
      <c r="B205">
        <v>0.18340000000000001</v>
      </c>
      <c r="C205">
        <v>13.682399999999999</v>
      </c>
      <c r="D205">
        <v>0</v>
      </c>
      <c r="E205">
        <v>1</v>
      </c>
      <c r="G205">
        <v>0.30630000000000002</v>
      </c>
      <c r="H205">
        <v>20.182099999999998</v>
      </c>
    </row>
    <row r="206" spans="1:8" x14ac:dyDescent="0.2">
      <c r="A206">
        <v>34.316299999999998</v>
      </c>
      <c r="B206">
        <v>0.185</v>
      </c>
      <c r="C206">
        <v>13.734299999999999</v>
      </c>
      <c r="D206">
        <v>0</v>
      </c>
      <c r="E206">
        <v>1</v>
      </c>
      <c r="G206">
        <v>0.308</v>
      </c>
      <c r="H206">
        <v>20.291799999999999</v>
      </c>
    </row>
    <row r="207" spans="1:8" x14ac:dyDescent="0.2">
      <c r="A207">
        <v>34.566800000000001</v>
      </c>
      <c r="B207">
        <v>0.185</v>
      </c>
      <c r="C207">
        <v>13.7951</v>
      </c>
      <c r="D207">
        <v>0</v>
      </c>
      <c r="E207">
        <v>1</v>
      </c>
      <c r="G207">
        <v>0.309</v>
      </c>
      <c r="H207">
        <v>20.398800000000001</v>
      </c>
    </row>
    <row r="208" spans="1:8" x14ac:dyDescent="0.2">
      <c r="A208">
        <v>34.8172</v>
      </c>
      <c r="B208">
        <v>0.1857</v>
      </c>
      <c r="C208">
        <v>13.853400000000001</v>
      </c>
      <c r="D208">
        <v>0</v>
      </c>
      <c r="E208">
        <v>1</v>
      </c>
      <c r="G208">
        <v>0.31019999999999998</v>
      </c>
      <c r="H208">
        <v>20.527899999999999</v>
      </c>
    </row>
    <row r="209" spans="1:8" x14ac:dyDescent="0.2">
      <c r="A209">
        <v>35.067700000000002</v>
      </c>
      <c r="B209">
        <v>0.18629999999999999</v>
      </c>
      <c r="C209">
        <v>13.919700000000001</v>
      </c>
      <c r="D209">
        <v>0</v>
      </c>
      <c r="E209">
        <v>1</v>
      </c>
      <c r="G209">
        <v>0.31259999999999999</v>
      </c>
      <c r="H209">
        <v>20.651</v>
      </c>
    </row>
    <row r="210" spans="1:8" x14ac:dyDescent="0.2">
      <c r="A210">
        <v>35.318199999999997</v>
      </c>
      <c r="B210">
        <v>0.18740000000000001</v>
      </c>
      <c r="C210">
        <v>13.9937</v>
      </c>
      <c r="D210">
        <v>0</v>
      </c>
      <c r="E210">
        <v>1</v>
      </c>
      <c r="G210">
        <v>0.31409999999999999</v>
      </c>
      <c r="H210">
        <v>20.785900000000002</v>
      </c>
    </row>
    <row r="211" spans="1:8" x14ac:dyDescent="0.2">
      <c r="A211">
        <v>35.5687</v>
      </c>
      <c r="B211">
        <v>0.188</v>
      </c>
      <c r="C211">
        <v>14.061299999999999</v>
      </c>
      <c r="D211">
        <v>0</v>
      </c>
      <c r="E211">
        <v>1</v>
      </c>
      <c r="G211">
        <v>0.316</v>
      </c>
      <c r="H211">
        <v>20.9328</v>
      </c>
    </row>
    <row r="212" spans="1:8" x14ac:dyDescent="0.2">
      <c r="A212">
        <v>35.819200000000002</v>
      </c>
      <c r="B212">
        <v>0.18890000000000001</v>
      </c>
      <c r="C212">
        <v>14.148400000000001</v>
      </c>
      <c r="D212">
        <v>0</v>
      </c>
      <c r="E212">
        <v>1</v>
      </c>
      <c r="G212">
        <v>0.31640000000000001</v>
      </c>
      <c r="H212">
        <v>21.0806</v>
      </c>
    </row>
    <row r="213" spans="1:8" x14ac:dyDescent="0.2">
      <c r="A213">
        <v>36.069699999999997</v>
      </c>
      <c r="B213">
        <v>0.19089999999999999</v>
      </c>
      <c r="C213">
        <v>14.238899999999999</v>
      </c>
      <c r="D213">
        <v>0</v>
      </c>
      <c r="E213">
        <v>1</v>
      </c>
      <c r="G213">
        <v>0.31759999999999999</v>
      </c>
      <c r="H213">
        <v>21.231300000000001</v>
      </c>
    </row>
    <row r="214" spans="1:8" x14ac:dyDescent="0.2">
      <c r="A214">
        <v>36.320099999999996</v>
      </c>
      <c r="B214">
        <v>0.19170000000000001</v>
      </c>
      <c r="C214">
        <v>14.3362</v>
      </c>
      <c r="D214">
        <v>0</v>
      </c>
      <c r="E214">
        <v>1</v>
      </c>
      <c r="G214">
        <v>0.31969999999999998</v>
      </c>
      <c r="H214">
        <v>21.395399999999999</v>
      </c>
    </row>
    <row r="215" spans="1:8" x14ac:dyDescent="0.2">
      <c r="A215">
        <v>36.570599999999999</v>
      </c>
      <c r="B215">
        <v>0.1915</v>
      </c>
      <c r="C215">
        <v>14.441599999999999</v>
      </c>
      <c r="D215">
        <v>0</v>
      </c>
      <c r="E215">
        <v>1</v>
      </c>
      <c r="G215">
        <v>0.32</v>
      </c>
      <c r="H215">
        <v>21.5549</v>
      </c>
    </row>
    <row r="216" spans="1:8" x14ac:dyDescent="0.2">
      <c r="A216">
        <v>36.821100000000001</v>
      </c>
      <c r="B216">
        <v>0.19239999999999999</v>
      </c>
      <c r="C216">
        <v>14.546799999999999</v>
      </c>
      <c r="D216">
        <v>0</v>
      </c>
      <c r="E216">
        <v>1</v>
      </c>
      <c r="G216">
        <v>0.3216</v>
      </c>
      <c r="H216">
        <v>21.7302</v>
      </c>
    </row>
    <row r="217" spans="1:8" x14ac:dyDescent="0.2">
      <c r="A217">
        <v>37.071599999999997</v>
      </c>
      <c r="B217">
        <v>0.19309999999999999</v>
      </c>
      <c r="C217">
        <v>14.6676</v>
      </c>
      <c r="D217">
        <v>0</v>
      </c>
      <c r="E217">
        <v>1</v>
      </c>
      <c r="G217">
        <v>0.32390000000000002</v>
      </c>
      <c r="H217">
        <v>21.899699999999999</v>
      </c>
    </row>
    <row r="218" spans="1:8" x14ac:dyDescent="0.2">
      <c r="A218">
        <v>37.322099999999999</v>
      </c>
      <c r="B218">
        <v>0.19370000000000001</v>
      </c>
      <c r="C218">
        <v>14.786300000000001</v>
      </c>
      <c r="D218">
        <v>0</v>
      </c>
      <c r="E218">
        <v>1</v>
      </c>
      <c r="G218">
        <v>0.32529999999999998</v>
      </c>
      <c r="H218">
        <v>22.079599999999999</v>
      </c>
    </row>
    <row r="219" spans="1:8" x14ac:dyDescent="0.2">
      <c r="A219">
        <v>37.572600000000001</v>
      </c>
      <c r="B219">
        <v>0.1943</v>
      </c>
      <c r="C219">
        <v>14.9153</v>
      </c>
      <c r="D219">
        <v>0</v>
      </c>
      <c r="E219">
        <v>1</v>
      </c>
      <c r="G219">
        <v>0.32769999999999999</v>
      </c>
      <c r="H219">
        <v>22.248699999999999</v>
      </c>
    </row>
    <row r="220" spans="1:8" x14ac:dyDescent="0.2">
      <c r="A220">
        <v>37.823</v>
      </c>
      <c r="B220">
        <v>0.1961</v>
      </c>
      <c r="C220">
        <v>15.054399999999999</v>
      </c>
      <c r="D220">
        <v>0</v>
      </c>
      <c r="E220">
        <v>1</v>
      </c>
      <c r="G220">
        <v>0.32929999999999998</v>
      </c>
      <c r="H220">
        <v>22.429200000000002</v>
      </c>
    </row>
    <row r="221" spans="1:8" x14ac:dyDescent="0.2">
      <c r="A221">
        <v>38.073500000000003</v>
      </c>
      <c r="B221">
        <v>0.1976</v>
      </c>
      <c r="C221">
        <v>15.1891</v>
      </c>
      <c r="D221">
        <v>0</v>
      </c>
      <c r="E221">
        <v>1</v>
      </c>
      <c r="G221">
        <v>0.33169999999999999</v>
      </c>
      <c r="H221">
        <v>22.599499999999999</v>
      </c>
    </row>
    <row r="222" spans="1:8" x14ac:dyDescent="0.2">
      <c r="A222">
        <v>38.323999999999998</v>
      </c>
      <c r="B222">
        <v>0.1978</v>
      </c>
      <c r="C222">
        <v>15.3291</v>
      </c>
      <c r="D222">
        <v>0</v>
      </c>
      <c r="E222">
        <v>1</v>
      </c>
      <c r="G222">
        <v>0.33310000000000001</v>
      </c>
      <c r="H222">
        <v>22.779299999999999</v>
      </c>
    </row>
    <row r="223" spans="1:8" x14ac:dyDescent="0.2">
      <c r="A223">
        <v>38.5745</v>
      </c>
      <c r="B223">
        <v>0.19980000000000001</v>
      </c>
      <c r="C223">
        <v>15.4678</v>
      </c>
      <c r="D223">
        <v>0</v>
      </c>
      <c r="E223">
        <v>1</v>
      </c>
      <c r="G223">
        <v>0.33460000000000001</v>
      </c>
      <c r="H223">
        <v>22.950700000000001</v>
      </c>
    </row>
    <row r="224" spans="1:8" x14ac:dyDescent="0.2">
      <c r="A224">
        <v>38.825000000000003</v>
      </c>
      <c r="B224">
        <v>0.20069999999999999</v>
      </c>
      <c r="C224">
        <v>15.6244</v>
      </c>
      <c r="D224">
        <v>0</v>
      </c>
      <c r="E224">
        <v>1</v>
      </c>
      <c r="G224">
        <v>0.3372</v>
      </c>
      <c r="H224">
        <v>23.12</v>
      </c>
    </row>
    <row r="225" spans="1:8" x14ac:dyDescent="0.2">
      <c r="A225">
        <v>39.075499999999998</v>
      </c>
      <c r="B225">
        <v>0.20300000000000001</v>
      </c>
      <c r="C225">
        <v>15.781700000000001</v>
      </c>
      <c r="D225">
        <v>0</v>
      </c>
      <c r="E225">
        <v>1</v>
      </c>
      <c r="G225">
        <v>0.33839999999999998</v>
      </c>
      <c r="H225">
        <v>23.290099999999999</v>
      </c>
    </row>
    <row r="226" spans="1:8" x14ac:dyDescent="0.2">
      <c r="A226">
        <v>39.326000000000001</v>
      </c>
      <c r="B226">
        <v>0.2039</v>
      </c>
      <c r="C226">
        <v>15.944900000000001</v>
      </c>
      <c r="D226">
        <v>0</v>
      </c>
      <c r="E226">
        <v>1</v>
      </c>
      <c r="G226">
        <v>0.34239999999999998</v>
      </c>
      <c r="H226">
        <v>23.448499999999999</v>
      </c>
    </row>
    <row r="227" spans="1:8" x14ac:dyDescent="0.2">
      <c r="A227">
        <v>39.5764</v>
      </c>
      <c r="B227">
        <v>0.20449999999999999</v>
      </c>
      <c r="C227">
        <v>16.111599999999999</v>
      </c>
      <c r="D227">
        <v>0</v>
      </c>
      <c r="E227">
        <v>1</v>
      </c>
      <c r="G227">
        <v>0.34499999999999997</v>
      </c>
      <c r="H227">
        <v>23.603400000000001</v>
      </c>
    </row>
    <row r="228" spans="1:8" x14ac:dyDescent="0.2">
      <c r="A228">
        <v>39.826900000000002</v>
      </c>
      <c r="B228">
        <v>0.2041</v>
      </c>
      <c r="C228">
        <v>16.282</v>
      </c>
      <c r="D228">
        <v>0</v>
      </c>
      <c r="E228">
        <v>1</v>
      </c>
      <c r="G228">
        <v>0.34660000000000002</v>
      </c>
      <c r="H228">
        <v>23.760999999999999</v>
      </c>
    </row>
    <row r="229" spans="1:8" x14ac:dyDescent="0.2">
      <c r="A229">
        <v>40.077399999999997</v>
      </c>
      <c r="B229">
        <v>0.2059</v>
      </c>
      <c r="C229">
        <v>16.445699999999999</v>
      </c>
      <c r="D229">
        <v>0</v>
      </c>
      <c r="E229">
        <v>1</v>
      </c>
      <c r="G229">
        <v>0.3478</v>
      </c>
      <c r="H229">
        <v>23.9008</v>
      </c>
    </row>
    <row r="230" spans="1:8" x14ac:dyDescent="0.2">
      <c r="A230">
        <v>40.3279</v>
      </c>
      <c r="B230">
        <v>0.20760000000000001</v>
      </c>
      <c r="C230">
        <v>16.610399999999998</v>
      </c>
      <c r="D230">
        <v>0</v>
      </c>
      <c r="E230">
        <v>1</v>
      </c>
      <c r="G230">
        <v>0.35010000000000002</v>
      </c>
      <c r="H230">
        <v>24.036899999999999</v>
      </c>
    </row>
    <row r="231" spans="1:8" x14ac:dyDescent="0.2">
      <c r="A231">
        <v>40.578400000000002</v>
      </c>
      <c r="B231">
        <v>0.25440000000000002</v>
      </c>
      <c r="C231">
        <v>16.692499999999999</v>
      </c>
      <c r="D231">
        <v>0</v>
      </c>
      <c r="E231">
        <v>1</v>
      </c>
      <c r="G231">
        <v>0.35199999999999998</v>
      </c>
      <c r="H231">
        <v>24.167899999999999</v>
      </c>
    </row>
    <row r="232" spans="1:8" x14ac:dyDescent="0.2">
      <c r="A232">
        <v>40.828800000000001</v>
      </c>
      <c r="B232">
        <v>0.25790000000000002</v>
      </c>
      <c r="C232">
        <v>16.915099999999999</v>
      </c>
      <c r="D232">
        <v>0</v>
      </c>
      <c r="E232">
        <v>1</v>
      </c>
      <c r="G232">
        <v>0.35349999999999998</v>
      </c>
      <c r="H232">
        <v>24.284400000000002</v>
      </c>
    </row>
    <row r="233" spans="1:8" x14ac:dyDescent="0.2">
      <c r="A233">
        <v>41.079300000000003</v>
      </c>
      <c r="B233">
        <v>0.25869999999999999</v>
      </c>
      <c r="C233">
        <v>17.0883</v>
      </c>
      <c r="D233">
        <v>0</v>
      </c>
      <c r="E233">
        <v>1</v>
      </c>
      <c r="G233">
        <v>0.35589999999999999</v>
      </c>
      <c r="H233">
        <v>24.398599999999998</v>
      </c>
    </row>
    <row r="234" spans="1:8" x14ac:dyDescent="0.2">
      <c r="A234">
        <v>41.329799999999999</v>
      </c>
      <c r="B234">
        <v>0.26140000000000002</v>
      </c>
      <c r="C234">
        <v>17.254100000000001</v>
      </c>
      <c r="D234">
        <v>0</v>
      </c>
      <c r="E234">
        <v>1</v>
      </c>
      <c r="G234">
        <v>0.35680000000000001</v>
      </c>
      <c r="H234">
        <v>24.501100000000001</v>
      </c>
    </row>
    <row r="235" spans="1:8" x14ac:dyDescent="0.2">
      <c r="A235">
        <v>41.580300000000001</v>
      </c>
      <c r="B235">
        <v>0.2616</v>
      </c>
      <c r="C235">
        <v>17.418600000000001</v>
      </c>
      <c r="D235">
        <v>0</v>
      </c>
      <c r="E235">
        <v>1</v>
      </c>
      <c r="G235">
        <v>0.35880000000000001</v>
      </c>
      <c r="H235">
        <v>24.6051</v>
      </c>
    </row>
    <row r="236" spans="1:8" x14ac:dyDescent="0.2">
      <c r="A236">
        <v>41.830800000000004</v>
      </c>
      <c r="B236">
        <v>0.26200000000000001</v>
      </c>
      <c r="C236">
        <v>17.572600000000001</v>
      </c>
      <c r="D236">
        <v>0</v>
      </c>
      <c r="E236">
        <v>1</v>
      </c>
      <c r="G236">
        <v>0.35980000000000001</v>
      </c>
      <c r="H236">
        <v>24.685600000000001</v>
      </c>
    </row>
    <row r="237" spans="1:8" x14ac:dyDescent="0.2">
      <c r="A237">
        <v>42.081299999999999</v>
      </c>
      <c r="B237">
        <v>0.26369999999999999</v>
      </c>
      <c r="C237">
        <v>17.7241</v>
      </c>
      <c r="D237">
        <v>0</v>
      </c>
      <c r="E237">
        <v>1</v>
      </c>
      <c r="G237">
        <v>0.36230000000000001</v>
      </c>
      <c r="H237">
        <v>24.770399999999999</v>
      </c>
    </row>
    <row r="238" spans="1:8" x14ac:dyDescent="0.2">
      <c r="A238">
        <v>42.331800000000001</v>
      </c>
      <c r="B238">
        <v>0.2651</v>
      </c>
      <c r="C238">
        <v>17.8613</v>
      </c>
      <c r="D238">
        <v>0</v>
      </c>
      <c r="E238">
        <v>1</v>
      </c>
      <c r="G238">
        <v>0.36320000000000002</v>
      </c>
      <c r="H238">
        <v>24.843900000000001</v>
      </c>
    </row>
    <row r="239" spans="1:8" x14ac:dyDescent="0.2">
      <c r="A239">
        <v>42.5822</v>
      </c>
      <c r="B239">
        <v>0.26529999999999998</v>
      </c>
      <c r="C239">
        <v>18.001200000000001</v>
      </c>
      <c r="D239">
        <v>0</v>
      </c>
      <c r="E239">
        <v>1</v>
      </c>
      <c r="G239">
        <v>0.3654</v>
      </c>
      <c r="H239">
        <v>24.9086</v>
      </c>
    </row>
    <row r="240" spans="1:8" x14ac:dyDescent="0.2">
      <c r="A240">
        <v>42.832700000000003</v>
      </c>
      <c r="B240">
        <v>0.2671</v>
      </c>
      <c r="C240">
        <v>18.128499999999999</v>
      </c>
      <c r="D240">
        <v>0</v>
      </c>
      <c r="E240">
        <v>1</v>
      </c>
      <c r="G240">
        <v>0.3654</v>
      </c>
      <c r="H240">
        <v>24.968900000000001</v>
      </c>
    </row>
    <row r="241" spans="1:8" x14ac:dyDescent="0.2">
      <c r="A241">
        <v>43.083199999999998</v>
      </c>
      <c r="B241">
        <v>0.26900000000000002</v>
      </c>
      <c r="C241">
        <v>18.2456</v>
      </c>
      <c r="D241">
        <v>0</v>
      </c>
      <c r="E241">
        <v>1</v>
      </c>
      <c r="G241">
        <v>0.36840000000000001</v>
      </c>
      <c r="H241">
        <v>25.020299999999999</v>
      </c>
    </row>
    <row r="242" spans="1:8" x14ac:dyDescent="0.2">
      <c r="A242">
        <v>43.3337</v>
      </c>
      <c r="B242">
        <v>0.27100000000000002</v>
      </c>
      <c r="C242">
        <v>18.366099999999999</v>
      </c>
      <c r="D242">
        <v>0</v>
      </c>
      <c r="E242">
        <v>1</v>
      </c>
      <c r="G242">
        <v>0.36940000000000001</v>
      </c>
      <c r="H242">
        <v>25.065100000000001</v>
      </c>
    </row>
    <row r="243" spans="1:8" x14ac:dyDescent="0.2">
      <c r="A243">
        <v>43.584200000000003</v>
      </c>
      <c r="B243">
        <v>0.27279999999999999</v>
      </c>
      <c r="C243">
        <v>18.4679</v>
      </c>
      <c r="D243">
        <v>0</v>
      </c>
      <c r="E243">
        <v>1</v>
      </c>
      <c r="G243">
        <v>0.37109999999999999</v>
      </c>
      <c r="H243">
        <v>25.104199999999999</v>
      </c>
    </row>
    <row r="244" spans="1:8" x14ac:dyDescent="0.2">
      <c r="A244">
        <v>43.834699999999998</v>
      </c>
      <c r="B244">
        <v>0.27400000000000002</v>
      </c>
      <c r="C244">
        <v>18.565799999999999</v>
      </c>
      <c r="D244">
        <v>0</v>
      </c>
      <c r="E244">
        <v>1</v>
      </c>
      <c r="G244">
        <v>0.37230000000000002</v>
      </c>
      <c r="H244">
        <v>25.143599999999999</v>
      </c>
    </row>
    <row r="245" spans="1:8" x14ac:dyDescent="0.2">
      <c r="A245">
        <v>44.085099999999997</v>
      </c>
      <c r="B245">
        <v>0.27529999999999999</v>
      </c>
      <c r="C245">
        <v>18.6708</v>
      </c>
      <c r="D245">
        <v>0</v>
      </c>
      <c r="E245">
        <v>1</v>
      </c>
      <c r="G245">
        <v>0.37380000000000002</v>
      </c>
      <c r="H245">
        <v>25.1721</v>
      </c>
    </row>
    <row r="246" spans="1:8" x14ac:dyDescent="0.2">
      <c r="A246">
        <v>44.335599999999999</v>
      </c>
      <c r="B246">
        <v>0.2772</v>
      </c>
      <c r="C246">
        <v>18.749300000000002</v>
      </c>
      <c r="D246">
        <v>0</v>
      </c>
      <c r="E246">
        <v>1</v>
      </c>
      <c r="G246">
        <v>0.37480000000000002</v>
      </c>
      <c r="H246">
        <v>25.206700000000001</v>
      </c>
    </row>
    <row r="247" spans="1:8" x14ac:dyDescent="0.2">
      <c r="A247">
        <v>44.586100000000002</v>
      </c>
      <c r="B247">
        <v>0.27860000000000001</v>
      </c>
      <c r="C247">
        <v>18.833100000000002</v>
      </c>
      <c r="D247">
        <v>0</v>
      </c>
      <c r="E247">
        <v>1</v>
      </c>
      <c r="G247">
        <v>0.37709999999999999</v>
      </c>
      <c r="H247">
        <v>25.227499999999999</v>
      </c>
    </row>
    <row r="248" spans="1:8" x14ac:dyDescent="0.2">
      <c r="A248">
        <v>44.836599999999997</v>
      </c>
      <c r="B248">
        <v>0.27979999999999999</v>
      </c>
      <c r="C248">
        <v>18.905200000000001</v>
      </c>
      <c r="D248">
        <v>0</v>
      </c>
      <c r="E248">
        <v>1</v>
      </c>
      <c r="G248">
        <v>0.37759999999999999</v>
      </c>
      <c r="H248">
        <v>25.259799999999998</v>
      </c>
    </row>
    <row r="249" spans="1:8" x14ac:dyDescent="0.2">
      <c r="A249">
        <v>45.0871</v>
      </c>
      <c r="B249">
        <v>0.28120000000000001</v>
      </c>
      <c r="C249">
        <v>18.972200000000001</v>
      </c>
      <c r="D249">
        <v>0</v>
      </c>
      <c r="E249">
        <v>1</v>
      </c>
      <c r="G249">
        <v>0.379</v>
      </c>
      <c r="H249">
        <v>25.286300000000001</v>
      </c>
    </row>
    <row r="250" spans="1:8" x14ac:dyDescent="0.2">
      <c r="A250">
        <v>45.337600000000002</v>
      </c>
      <c r="B250">
        <v>0.28320000000000001</v>
      </c>
      <c r="C250">
        <v>19.038699999999999</v>
      </c>
      <c r="D250">
        <v>0</v>
      </c>
      <c r="E250">
        <v>1</v>
      </c>
      <c r="G250">
        <v>0.38080000000000003</v>
      </c>
      <c r="H250">
        <v>25.318200000000001</v>
      </c>
    </row>
    <row r="251" spans="1:8" x14ac:dyDescent="0.2">
      <c r="A251">
        <v>45.588000000000001</v>
      </c>
      <c r="B251">
        <v>0.2853</v>
      </c>
      <c r="C251">
        <v>19.091699999999999</v>
      </c>
      <c r="D251">
        <v>0</v>
      </c>
      <c r="E251">
        <v>1</v>
      </c>
      <c r="G251">
        <v>0.38240000000000002</v>
      </c>
      <c r="H251">
        <v>25.3445</v>
      </c>
    </row>
    <row r="252" spans="1:8" x14ac:dyDescent="0.2">
      <c r="A252">
        <v>45.838500000000003</v>
      </c>
      <c r="B252">
        <v>0.2853</v>
      </c>
      <c r="C252">
        <v>19.143000000000001</v>
      </c>
      <c r="D252">
        <v>0</v>
      </c>
      <c r="E252">
        <v>1</v>
      </c>
      <c r="G252">
        <v>0.38219999999999998</v>
      </c>
      <c r="H252">
        <v>25.388100000000001</v>
      </c>
    </row>
    <row r="253" spans="1:8" x14ac:dyDescent="0.2">
      <c r="A253">
        <v>46.088999999999999</v>
      </c>
      <c r="B253">
        <v>0.2858</v>
      </c>
      <c r="C253">
        <v>19.190899999999999</v>
      </c>
      <c r="D253">
        <v>0</v>
      </c>
      <c r="E253">
        <v>1</v>
      </c>
      <c r="G253">
        <v>0.38590000000000002</v>
      </c>
      <c r="H253">
        <v>25.418700000000001</v>
      </c>
    </row>
    <row r="254" spans="1:8" x14ac:dyDescent="0.2">
      <c r="A254">
        <v>46.339500000000001</v>
      </c>
      <c r="B254">
        <v>0.28670000000000001</v>
      </c>
      <c r="C254">
        <v>19.233599999999999</v>
      </c>
      <c r="D254">
        <v>0</v>
      </c>
      <c r="E254">
        <v>1</v>
      </c>
      <c r="G254">
        <v>0.38640000000000002</v>
      </c>
      <c r="H254">
        <v>25.462599999999998</v>
      </c>
    </row>
    <row r="255" spans="1:8" x14ac:dyDescent="0.2">
      <c r="A255">
        <v>46.59</v>
      </c>
      <c r="B255">
        <v>0.2883</v>
      </c>
      <c r="C255">
        <v>19.2776</v>
      </c>
      <c r="D255">
        <v>0</v>
      </c>
      <c r="E255">
        <v>1</v>
      </c>
      <c r="G255">
        <v>0.38850000000000001</v>
      </c>
      <c r="H255">
        <v>25.508800000000001</v>
      </c>
    </row>
    <row r="256" spans="1:8" x14ac:dyDescent="0.2">
      <c r="A256">
        <v>46.840499999999999</v>
      </c>
      <c r="B256">
        <v>0.28949999999999998</v>
      </c>
      <c r="C256">
        <v>19.311699999999998</v>
      </c>
      <c r="D256">
        <v>0</v>
      </c>
      <c r="E256">
        <v>1</v>
      </c>
      <c r="G256">
        <v>0.3896</v>
      </c>
      <c r="H256">
        <v>25.5562</v>
      </c>
    </row>
    <row r="257" spans="1:8" x14ac:dyDescent="0.2">
      <c r="A257">
        <v>47.090899999999998</v>
      </c>
      <c r="B257">
        <v>0.29239999999999999</v>
      </c>
      <c r="C257">
        <v>19.347899999999999</v>
      </c>
      <c r="D257">
        <v>0</v>
      </c>
      <c r="E257">
        <v>1</v>
      </c>
      <c r="G257">
        <v>0.39029999999999998</v>
      </c>
      <c r="H257">
        <v>25.623000000000001</v>
      </c>
    </row>
    <row r="258" spans="1:8" x14ac:dyDescent="0.2">
      <c r="A258">
        <v>47.3414</v>
      </c>
      <c r="B258">
        <v>0.29360000000000003</v>
      </c>
      <c r="C258">
        <v>19.390699999999999</v>
      </c>
      <c r="D258">
        <v>0</v>
      </c>
      <c r="E258">
        <v>1</v>
      </c>
      <c r="G258">
        <v>0.39079999999999998</v>
      </c>
      <c r="H258">
        <v>25.6904</v>
      </c>
    </row>
    <row r="259" spans="1:8" x14ac:dyDescent="0.2">
      <c r="A259">
        <v>47.591900000000003</v>
      </c>
      <c r="B259">
        <v>0.2954</v>
      </c>
      <c r="C259">
        <v>19.426500000000001</v>
      </c>
      <c r="D259">
        <v>0</v>
      </c>
      <c r="E259">
        <v>1</v>
      </c>
      <c r="G259">
        <v>0.39279999999999998</v>
      </c>
      <c r="H259">
        <v>25.7743</v>
      </c>
    </row>
    <row r="260" spans="1:8" x14ac:dyDescent="0.2">
      <c r="A260">
        <v>47.842399999999998</v>
      </c>
      <c r="B260">
        <v>0.29599999999999999</v>
      </c>
      <c r="C260">
        <v>19.465199999999999</v>
      </c>
      <c r="D260">
        <v>0</v>
      </c>
      <c r="E260">
        <v>1</v>
      </c>
      <c r="G260">
        <v>0.39489999999999997</v>
      </c>
      <c r="H260">
        <v>25.856000000000002</v>
      </c>
    </row>
    <row r="261" spans="1:8" x14ac:dyDescent="0.2">
      <c r="A261">
        <v>48.0929</v>
      </c>
      <c r="B261">
        <v>0.29709999999999998</v>
      </c>
      <c r="C261">
        <v>19.505500000000001</v>
      </c>
      <c r="D261">
        <v>0</v>
      </c>
      <c r="E261">
        <v>1</v>
      </c>
      <c r="G261">
        <v>0.39639999999999997</v>
      </c>
      <c r="H261">
        <v>25.945399999999999</v>
      </c>
    </row>
    <row r="262" spans="1:8" x14ac:dyDescent="0.2">
      <c r="A262">
        <v>48.343400000000003</v>
      </c>
      <c r="B262">
        <v>0.2979</v>
      </c>
      <c r="C262">
        <v>19.550899999999999</v>
      </c>
      <c r="D262">
        <v>0</v>
      </c>
      <c r="E262">
        <v>1</v>
      </c>
      <c r="G262">
        <v>0.3982</v>
      </c>
      <c r="H262">
        <v>26.039100000000001</v>
      </c>
    </row>
    <row r="263" spans="1:8" x14ac:dyDescent="0.2">
      <c r="A263">
        <v>48.593800000000002</v>
      </c>
      <c r="B263">
        <v>0.3</v>
      </c>
      <c r="C263">
        <v>19.5959</v>
      </c>
      <c r="D263">
        <v>0</v>
      </c>
      <c r="E263">
        <v>1</v>
      </c>
      <c r="G263">
        <v>0.40129999999999999</v>
      </c>
      <c r="H263">
        <v>26.152999999999999</v>
      </c>
    </row>
    <row r="264" spans="1:8" x14ac:dyDescent="0.2">
      <c r="A264">
        <v>48.844299999999997</v>
      </c>
      <c r="B264">
        <v>0.30070000000000002</v>
      </c>
      <c r="C264">
        <v>19.6479</v>
      </c>
      <c r="D264">
        <v>0</v>
      </c>
      <c r="E264">
        <v>1</v>
      </c>
      <c r="G264">
        <v>0.40079999999999999</v>
      </c>
      <c r="H264">
        <v>26.264600000000002</v>
      </c>
    </row>
    <row r="265" spans="1:8" x14ac:dyDescent="0.2">
      <c r="A265">
        <v>49.094799999999999</v>
      </c>
      <c r="B265">
        <v>0.30099999999999999</v>
      </c>
      <c r="C265">
        <v>19.708600000000001</v>
      </c>
      <c r="D265">
        <v>0</v>
      </c>
      <c r="E265">
        <v>1</v>
      </c>
      <c r="G265">
        <v>0.40329999999999999</v>
      </c>
      <c r="H265">
        <v>26.4026</v>
      </c>
    </row>
    <row r="266" spans="1:8" x14ac:dyDescent="0.2">
      <c r="A266">
        <v>49.345300000000002</v>
      </c>
      <c r="B266">
        <v>0.30159999999999998</v>
      </c>
      <c r="C266">
        <v>19.763999999999999</v>
      </c>
      <c r="D266">
        <v>0</v>
      </c>
      <c r="E266">
        <v>1</v>
      </c>
      <c r="G266">
        <v>0.40429999999999999</v>
      </c>
      <c r="H266">
        <v>26.534300000000002</v>
      </c>
    </row>
    <row r="267" spans="1:8" x14ac:dyDescent="0.2">
      <c r="A267">
        <v>49.595799999999997</v>
      </c>
      <c r="B267">
        <v>0.30199999999999999</v>
      </c>
      <c r="C267">
        <v>19.843599999999999</v>
      </c>
      <c r="D267">
        <v>0</v>
      </c>
      <c r="E267">
        <v>1</v>
      </c>
      <c r="G267">
        <v>0.40629999999999999</v>
      </c>
      <c r="H267">
        <v>26.6752</v>
      </c>
    </row>
    <row r="268" spans="1:8" x14ac:dyDescent="0.2">
      <c r="A268">
        <v>49.846299999999999</v>
      </c>
      <c r="B268">
        <v>0.30409999999999998</v>
      </c>
      <c r="C268">
        <v>19.907299999999999</v>
      </c>
      <c r="D268">
        <v>0</v>
      </c>
      <c r="E268">
        <v>1</v>
      </c>
      <c r="G268">
        <v>0.40760000000000002</v>
      </c>
      <c r="H268">
        <v>26.8355</v>
      </c>
    </row>
    <row r="269" spans="1:8" x14ac:dyDescent="0.2">
      <c r="A269">
        <v>50.096699999999998</v>
      </c>
      <c r="B269">
        <v>0.3049</v>
      </c>
      <c r="C269">
        <v>19.994199999999999</v>
      </c>
      <c r="D269">
        <v>0</v>
      </c>
      <c r="E269">
        <v>1</v>
      </c>
      <c r="G269">
        <v>0.40870000000000001</v>
      </c>
      <c r="H269">
        <v>26.993300000000001</v>
      </c>
    </row>
    <row r="270" spans="1:8" x14ac:dyDescent="0.2">
      <c r="A270">
        <v>50.347200000000001</v>
      </c>
      <c r="B270">
        <v>0.30640000000000001</v>
      </c>
      <c r="C270">
        <v>20.086500000000001</v>
      </c>
      <c r="D270">
        <v>0</v>
      </c>
      <c r="E270">
        <v>1</v>
      </c>
      <c r="G270">
        <v>0.4108</v>
      </c>
      <c r="H270">
        <v>27.157699999999998</v>
      </c>
    </row>
    <row r="271" spans="1:8" x14ac:dyDescent="0.2">
      <c r="A271">
        <v>50.597700000000003</v>
      </c>
      <c r="B271">
        <v>0.30630000000000002</v>
      </c>
      <c r="C271">
        <v>20.182099999999998</v>
      </c>
      <c r="D271">
        <v>0</v>
      </c>
      <c r="E271">
        <v>1</v>
      </c>
      <c r="G271">
        <v>0.41239999999999999</v>
      </c>
      <c r="H271">
        <v>27.327100000000002</v>
      </c>
    </row>
    <row r="272" spans="1:8" x14ac:dyDescent="0.2">
      <c r="A272">
        <v>50.848199999999999</v>
      </c>
      <c r="B272">
        <v>0.308</v>
      </c>
      <c r="C272">
        <v>20.291799999999999</v>
      </c>
      <c r="D272">
        <v>0</v>
      </c>
      <c r="E272">
        <v>1</v>
      </c>
      <c r="G272">
        <v>0.41449999999999998</v>
      </c>
      <c r="H272">
        <v>27.501899999999999</v>
      </c>
    </row>
    <row r="273" spans="1:8" x14ac:dyDescent="0.2">
      <c r="A273">
        <v>51.098700000000001</v>
      </c>
      <c r="B273">
        <v>0.309</v>
      </c>
      <c r="C273">
        <v>20.398800000000001</v>
      </c>
      <c r="D273">
        <v>0</v>
      </c>
      <c r="E273">
        <v>1</v>
      </c>
      <c r="G273">
        <v>0.4163</v>
      </c>
      <c r="H273">
        <v>27.688300000000002</v>
      </c>
    </row>
    <row r="274" spans="1:8" x14ac:dyDescent="0.2">
      <c r="A274">
        <v>51.349200000000003</v>
      </c>
      <c r="B274">
        <v>0.31019999999999998</v>
      </c>
      <c r="C274">
        <v>20.527899999999999</v>
      </c>
      <c r="D274">
        <v>0</v>
      </c>
      <c r="E274">
        <v>1</v>
      </c>
      <c r="G274">
        <v>0.41870000000000002</v>
      </c>
      <c r="H274">
        <v>27.867699999999999</v>
      </c>
    </row>
    <row r="275" spans="1:8" x14ac:dyDescent="0.2">
      <c r="A275">
        <v>51.599699999999999</v>
      </c>
      <c r="B275">
        <v>0.31259999999999999</v>
      </c>
      <c r="C275">
        <v>20.651</v>
      </c>
      <c r="D275">
        <v>0</v>
      </c>
      <c r="E275">
        <v>1</v>
      </c>
      <c r="G275">
        <v>0.42049999999999998</v>
      </c>
      <c r="H275">
        <v>28.046199999999999</v>
      </c>
    </row>
    <row r="276" spans="1:8" x14ac:dyDescent="0.2">
      <c r="A276">
        <v>51.850099999999998</v>
      </c>
      <c r="B276">
        <v>0.31409999999999999</v>
      </c>
      <c r="C276">
        <v>20.785900000000002</v>
      </c>
      <c r="D276">
        <v>0</v>
      </c>
      <c r="E276">
        <v>1</v>
      </c>
      <c r="G276">
        <v>0.42130000000000001</v>
      </c>
      <c r="H276">
        <v>28.238199999999999</v>
      </c>
    </row>
    <row r="277" spans="1:8" x14ac:dyDescent="0.2">
      <c r="A277">
        <v>52.1006</v>
      </c>
      <c r="B277">
        <v>0.316</v>
      </c>
      <c r="C277">
        <v>20.9328</v>
      </c>
      <c r="D277">
        <v>0</v>
      </c>
      <c r="E277">
        <v>1</v>
      </c>
      <c r="G277">
        <v>0.42230000000000001</v>
      </c>
      <c r="H277">
        <v>28.423400000000001</v>
      </c>
    </row>
    <row r="278" spans="1:8" x14ac:dyDescent="0.2">
      <c r="A278">
        <v>52.351100000000002</v>
      </c>
      <c r="B278">
        <v>0.31640000000000001</v>
      </c>
      <c r="C278">
        <v>21.0806</v>
      </c>
      <c r="D278">
        <v>0</v>
      </c>
      <c r="E278">
        <v>1</v>
      </c>
      <c r="G278">
        <v>0.42380000000000001</v>
      </c>
      <c r="H278">
        <v>28.6007</v>
      </c>
    </row>
    <row r="279" spans="1:8" x14ac:dyDescent="0.2">
      <c r="A279">
        <v>52.601599999999998</v>
      </c>
      <c r="B279">
        <v>0.31759999999999999</v>
      </c>
      <c r="C279">
        <v>21.231300000000001</v>
      </c>
      <c r="D279">
        <v>0</v>
      </c>
      <c r="E279">
        <v>1</v>
      </c>
      <c r="G279">
        <v>0.42570000000000002</v>
      </c>
      <c r="H279">
        <v>28.785699999999999</v>
      </c>
    </row>
    <row r="280" spans="1:8" x14ac:dyDescent="0.2">
      <c r="A280">
        <v>52.8521</v>
      </c>
      <c r="B280">
        <v>0.31969999999999998</v>
      </c>
      <c r="C280">
        <v>21.395399999999999</v>
      </c>
      <c r="D280">
        <v>0</v>
      </c>
      <c r="E280">
        <v>1</v>
      </c>
      <c r="G280">
        <v>0.42799999999999999</v>
      </c>
      <c r="H280">
        <v>28.9635</v>
      </c>
    </row>
    <row r="281" spans="1:8" x14ac:dyDescent="0.2">
      <c r="A281">
        <v>53.102600000000002</v>
      </c>
      <c r="B281">
        <v>0.32</v>
      </c>
      <c r="C281">
        <v>21.5549</v>
      </c>
      <c r="D281">
        <v>0</v>
      </c>
      <c r="E281">
        <v>1</v>
      </c>
      <c r="G281">
        <v>0.43049999999999999</v>
      </c>
      <c r="H281">
        <v>29.142700000000001</v>
      </c>
    </row>
    <row r="282" spans="1:8" x14ac:dyDescent="0.2">
      <c r="A282">
        <v>53.353000000000002</v>
      </c>
      <c r="B282">
        <v>0.3216</v>
      </c>
      <c r="C282">
        <v>21.7302</v>
      </c>
      <c r="D282">
        <v>0</v>
      </c>
      <c r="E282">
        <v>1</v>
      </c>
      <c r="G282">
        <v>0.43109999999999998</v>
      </c>
      <c r="H282">
        <v>29.319199999999999</v>
      </c>
    </row>
    <row r="283" spans="1:8" x14ac:dyDescent="0.2">
      <c r="A283">
        <v>53.603499999999997</v>
      </c>
      <c r="B283">
        <v>0.32390000000000002</v>
      </c>
      <c r="C283">
        <v>21.899699999999999</v>
      </c>
      <c r="D283">
        <v>0</v>
      </c>
      <c r="E283">
        <v>1</v>
      </c>
      <c r="G283">
        <v>0.43290000000000001</v>
      </c>
      <c r="H283">
        <v>29.473800000000001</v>
      </c>
    </row>
    <row r="284" spans="1:8" x14ac:dyDescent="0.2">
      <c r="A284">
        <v>53.853999999999999</v>
      </c>
      <c r="B284">
        <v>0.32529999999999998</v>
      </c>
      <c r="C284">
        <v>22.079599999999999</v>
      </c>
      <c r="D284">
        <v>0</v>
      </c>
      <c r="E284">
        <v>1</v>
      </c>
      <c r="G284">
        <v>0.43380000000000002</v>
      </c>
      <c r="H284">
        <v>29.642800000000001</v>
      </c>
    </row>
    <row r="285" spans="1:8" x14ac:dyDescent="0.2">
      <c r="A285">
        <v>54.104500000000002</v>
      </c>
      <c r="B285">
        <v>0.32769999999999999</v>
      </c>
      <c r="C285">
        <v>22.248699999999999</v>
      </c>
      <c r="D285">
        <v>0</v>
      </c>
      <c r="E285">
        <v>1</v>
      </c>
      <c r="G285">
        <v>0.43669999999999998</v>
      </c>
      <c r="H285">
        <v>29.7895</v>
      </c>
    </row>
    <row r="286" spans="1:8" x14ac:dyDescent="0.2">
      <c r="A286">
        <v>54.354999999999997</v>
      </c>
      <c r="B286">
        <v>0.32929999999999998</v>
      </c>
      <c r="C286">
        <v>22.429200000000002</v>
      </c>
      <c r="D286">
        <v>0</v>
      </c>
      <c r="E286">
        <v>1</v>
      </c>
      <c r="G286">
        <v>0.43690000000000001</v>
      </c>
      <c r="H286">
        <v>29.9344</v>
      </c>
    </row>
    <row r="287" spans="1:8" x14ac:dyDescent="0.2">
      <c r="A287">
        <v>54.605499999999999</v>
      </c>
      <c r="B287">
        <v>0.33169999999999999</v>
      </c>
      <c r="C287">
        <v>22.599499999999999</v>
      </c>
      <c r="D287">
        <v>0</v>
      </c>
      <c r="E287">
        <v>1</v>
      </c>
      <c r="G287">
        <v>0.43969999999999998</v>
      </c>
      <c r="H287">
        <v>30.071000000000002</v>
      </c>
    </row>
    <row r="288" spans="1:8" x14ac:dyDescent="0.2">
      <c r="A288">
        <v>54.855899999999998</v>
      </c>
      <c r="B288">
        <v>0.33310000000000001</v>
      </c>
      <c r="C288">
        <v>22.779299999999999</v>
      </c>
      <c r="D288">
        <v>0</v>
      </c>
      <c r="E288">
        <v>1</v>
      </c>
      <c r="G288">
        <v>0.44209999999999999</v>
      </c>
      <c r="H288">
        <v>30.1965</v>
      </c>
    </row>
    <row r="289" spans="1:8" x14ac:dyDescent="0.2">
      <c r="A289">
        <v>55.106400000000001</v>
      </c>
      <c r="B289">
        <v>0.33460000000000001</v>
      </c>
      <c r="C289">
        <v>22.950700000000001</v>
      </c>
      <c r="D289">
        <v>0</v>
      </c>
      <c r="E289">
        <v>1</v>
      </c>
      <c r="G289">
        <v>0.44400000000000001</v>
      </c>
      <c r="H289">
        <v>30.315899999999999</v>
      </c>
    </row>
    <row r="290" spans="1:8" x14ac:dyDescent="0.2">
      <c r="A290">
        <v>55.356900000000003</v>
      </c>
      <c r="B290">
        <v>0.3372</v>
      </c>
      <c r="C290">
        <v>23.12</v>
      </c>
      <c r="D290">
        <v>0</v>
      </c>
      <c r="E290">
        <v>1</v>
      </c>
      <c r="G290">
        <v>0.4466</v>
      </c>
      <c r="H290">
        <v>30.433299999999999</v>
      </c>
    </row>
    <row r="291" spans="1:8" x14ac:dyDescent="0.2">
      <c r="A291">
        <v>55.607399999999998</v>
      </c>
      <c r="B291">
        <v>0.33839999999999998</v>
      </c>
      <c r="C291">
        <v>23.290099999999999</v>
      </c>
      <c r="D291">
        <v>0</v>
      </c>
      <c r="E291">
        <v>1</v>
      </c>
      <c r="G291">
        <v>0.44719999999999999</v>
      </c>
      <c r="H291">
        <v>30.523099999999999</v>
      </c>
    </row>
    <row r="292" spans="1:8" x14ac:dyDescent="0.2">
      <c r="A292">
        <v>55.857900000000001</v>
      </c>
      <c r="B292">
        <v>0.34239999999999998</v>
      </c>
      <c r="C292">
        <v>23.448499999999999</v>
      </c>
      <c r="D292">
        <v>0</v>
      </c>
      <c r="E292">
        <v>1</v>
      </c>
      <c r="G292">
        <v>0.44990000000000002</v>
      </c>
      <c r="H292">
        <v>30.617000000000001</v>
      </c>
    </row>
    <row r="293" spans="1:8" x14ac:dyDescent="0.2">
      <c r="A293">
        <v>56.108400000000003</v>
      </c>
      <c r="B293">
        <v>0.34499999999999997</v>
      </c>
      <c r="C293">
        <v>23.603400000000001</v>
      </c>
      <c r="D293">
        <v>0</v>
      </c>
      <c r="E293">
        <v>1</v>
      </c>
      <c r="G293">
        <v>0.4506</v>
      </c>
      <c r="H293">
        <v>30.7012</v>
      </c>
    </row>
    <row r="294" spans="1:8" x14ac:dyDescent="0.2">
      <c r="A294">
        <v>56.358800000000002</v>
      </c>
      <c r="B294">
        <v>0.34660000000000002</v>
      </c>
      <c r="C294">
        <v>23.760999999999999</v>
      </c>
      <c r="D294">
        <v>0</v>
      </c>
      <c r="E294">
        <v>1</v>
      </c>
      <c r="G294">
        <v>0.45179999999999998</v>
      </c>
      <c r="H294">
        <v>30.767099999999999</v>
      </c>
    </row>
    <row r="295" spans="1:8" x14ac:dyDescent="0.2">
      <c r="A295">
        <v>56.609299999999998</v>
      </c>
      <c r="B295">
        <v>0.3478</v>
      </c>
      <c r="C295">
        <v>23.9008</v>
      </c>
      <c r="D295">
        <v>0</v>
      </c>
      <c r="E295">
        <v>1</v>
      </c>
      <c r="G295">
        <v>0.45300000000000001</v>
      </c>
      <c r="H295">
        <v>30.8413</v>
      </c>
    </row>
    <row r="296" spans="1:8" x14ac:dyDescent="0.2">
      <c r="A296">
        <v>56.8598</v>
      </c>
      <c r="B296">
        <v>0.35010000000000002</v>
      </c>
      <c r="C296">
        <v>24.036899999999999</v>
      </c>
      <c r="D296">
        <v>0</v>
      </c>
      <c r="E296">
        <v>1</v>
      </c>
      <c r="G296">
        <v>0.45479999999999998</v>
      </c>
      <c r="H296">
        <v>30.8933</v>
      </c>
    </row>
    <row r="297" spans="1:8" x14ac:dyDescent="0.2">
      <c r="A297">
        <v>57.110300000000002</v>
      </c>
      <c r="B297">
        <v>0.35199999999999998</v>
      </c>
      <c r="C297">
        <v>24.167899999999999</v>
      </c>
      <c r="D297">
        <v>0</v>
      </c>
      <c r="E297">
        <v>1</v>
      </c>
      <c r="G297">
        <v>0.45569999999999999</v>
      </c>
      <c r="H297">
        <v>30.946899999999999</v>
      </c>
    </row>
    <row r="298" spans="1:8" x14ac:dyDescent="0.2">
      <c r="A298">
        <v>57.360799999999998</v>
      </c>
      <c r="B298">
        <v>0.35349999999999998</v>
      </c>
      <c r="C298">
        <v>24.284400000000002</v>
      </c>
      <c r="D298">
        <v>0</v>
      </c>
      <c r="E298">
        <v>1</v>
      </c>
      <c r="G298">
        <v>0.45729999999999998</v>
      </c>
      <c r="H298">
        <v>30.982399999999998</v>
      </c>
    </row>
    <row r="299" spans="1:8" x14ac:dyDescent="0.2">
      <c r="A299">
        <v>57.6113</v>
      </c>
      <c r="B299">
        <v>0.35589999999999999</v>
      </c>
      <c r="C299">
        <v>24.398599999999998</v>
      </c>
      <c r="D299">
        <v>0</v>
      </c>
      <c r="E299">
        <v>1</v>
      </c>
      <c r="G299">
        <v>0.45910000000000001</v>
      </c>
      <c r="H299">
        <v>31.0166</v>
      </c>
    </row>
    <row r="300" spans="1:8" x14ac:dyDescent="0.2">
      <c r="A300">
        <v>57.861699999999999</v>
      </c>
      <c r="B300">
        <v>0.35680000000000001</v>
      </c>
      <c r="C300">
        <v>24.501100000000001</v>
      </c>
      <c r="D300">
        <v>0</v>
      </c>
      <c r="E300">
        <v>1</v>
      </c>
      <c r="G300">
        <v>0.46079999999999999</v>
      </c>
      <c r="H300">
        <v>31.0517</v>
      </c>
    </row>
    <row r="301" spans="1:8" x14ac:dyDescent="0.2">
      <c r="A301">
        <v>58.112200000000001</v>
      </c>
      <c r="B301">
        <v>0.35880000000000001</v>
      </c>
      <c r="C301">
        <v>24.6051</v>
      </c>
      <c r="D301">
        <v>0</v>
      </c>
      <c r="E301">
        <v>1</v>
      </c>
      <c r="G301">
        <v>0.46260000000000001</v>
      </c>
      <c r="H301">
        <v>31.073</v>
      </c>
    </row>
    <row r="302" spans="1:8" x14ac:dyDescent="0.2">
      <c r="A302">
        <v>58.362699999999997</v>
      </c>
      <c r="B302">
        <v>0.35980000000000001</v>
      </c>
      <c r="C302">
        <v>24.685600000000001</v>
      </c>
      <c r="D302">
        <v>0</v>
      </c>
      <c r="E302">
        <v>1</v>
      </c>
      <c r="G302">
        <v>0.46560000000000001</v>
      </c>
      <c r="H302">
        <v>31.095199999999998</v>
      </c>
    </row>
    <row r="303" spans="1:8" x14ac:dyDescent="0.2">
      <c r="A303">
        <v>58.613199999999999</v>
      </c>
      <c r="B303">
        <v>0.36230000000000001</v>
      </c>
      <c r="C303">
        <v>24.770399999999999</v>
      </c>
      <c r="D303">
        <v>0</v>
      </c>
      <c r="E303">
        <v>1</v>
      </c>
      <c r="G303">
        <v>0.46639999999999998</v>
      </c>
      <c r="H303">
        <v>31.122</v>
      </c>
    </row>
    <row r="304" spans="1:8" x14ac:dyDescent="0.2">
      <c r="A304">
        <v>58.863700000000001</v>
      </c>
      <c r="B304">
        <v>0.36320000000000002</v>
      </c>
      <c r="C304">
        <v>24.843900000000001</v>
      </c>
      <c r="D304">
        <v>0</v>
      </c>
      <c r="E304">
        <v>1</v>
      </c>
      <c r="G304">
        <v>0.46760000000000002</v>
      </c>
      <c r="H304">
        <v>31.136900000000001</v>
      </c>
    </row>
    <row r="305" spans="1:8" x14ac:dyDescent="0.2">
      <c r="A305">
        <v>59.114199999999997</v>
      </c>
      <c r="B305">
        <v>0.3654</v>
      </c>
      <c r="C305">
        <v>24.9086</v>
      </c>
      <c r="D305">
        <v>0</v>
      </c>
      <c r="E305">
        <v>1</v>
      </c>
      <c r="G305">
        <v>0.46920000000000001</v>
      </c>
      <c r="H305">
        <v>31.156099999999999</v>
      </c>
    </row>
    <row r="306" spans="1:8" x14ac:dyDescent="0.2">
      <c r="A306">
        <v>59.364600000000003</v>
      </c>
      <c r="B306">
        <v>0.3654</v>
      </c>
      <c r="C306">
        <v>24.968900000000001</v>
      </c>
      <c r="D306">
        <v>0</v>
      </c>
      <c r="E306">
        <v>1</v>
      </c>
      <c r="G306">
        <v>0.46970000000000001</v>
      </c>
      <c r="H306">
        <v>31.174700000000001</v>
      </c>
    </row>
    <row r="307" spans="1:8" x14ac:dyDescent="0.2">
      <c r="A307">
        <v>59.615099999999998</v>
      </c>
      <c r="B307">
        <v>0.36840000000000001</v>
      </c>
      <c r="C307">
        <v>25.020299999999999</v>
      </c>
      <c r="D307">
        <v>0</v>
      </c>
      <c r="E307">
        <v>1</v>
      </c>
      <c r="G307">
        <v>0.4698</v>
      </c>
      <c r="H307">
        <v>31.203099999999999</v>
      </c>
    </row>
    <row r="308" spans="1:8" x14ac:dyDescent="0.2">
      <c r="A308">
        <v>59.865600000000001</v>
      </c>
      <c r="B308">
        <v>0.36940000000000001</v>
      </c>
      <c r="C308">
        <v>25.065100000000001</v>
      </c>
      <c r="D308">
        <v>0</v>
      </c>
      <c r="E308">
        <v>1</v>
      </c>
      <c r="G308">
        <v>0.47089999999999999</v>
      </c>
      <c r="H308">
        <v>31.228999999999999</v>
      </c>
    </row>
    <row r="309" spans="1:8" x14ac:dyDescent="0.2">
      <c r="A309">
        <v>60.116100000000003</v>
      </c>
      <c r="B309">
        <v>0.37109999999999999</v>
      </c>
      <c r="C309">
        <v>25.104199999999999</v>
      </c>
      <c r="D309">
        <v>0</v>
      </c>
      <c r="E309">
        <v>1</v>
      </c>
      <c r="G309">
        <v>0.47210000000000002</v>
      </c>
      <c r="H309">
        <v>31.256399999999999</v>
      </c>
    </row>
    <row r="310" spans="1:8" x14ac:dyDescent="0.2">
      <c r="A310">
        <v>60.366599999999998</v>
      </c>
      <c r="B310">
        <v>0.37230000000000002</v>
      </c>
      <c r="C310">
        <v>25.143599999999999</v>
      </c>
      <c r="D310">
        <v>0</v>
      </c>
      <c r="E310">
        <v>1</v>
      </c>
      <c r="G310">
        <v>0.47410000000000002</v>
      </c>
      <c r="H310">
        <v>31.2864</v>
      </c>
    </row>
    <row r="311" spans="1:8" x14ac:dyDescent="0.2">
      <c r="A311">
        <v>60.617100000000001</v>
      </c>
      <c r="B311">
        <v>0.37380000000000002</v>
      </c>
      <c r="C311">
        <v>25.1721</v>
      </c>
      <c r="D311">
        <v>0</v>
      </c>
      <c r="E311">
        <v>1</v>
      </c>
      <c r="G311">
        <v>0.47460000000000002</v>
      </c>
      <c r="H311">
        <v>31.325500000000002</v>
      </c>
    </row>
    <row r="312" spans="1:8" x14ac:dyDescent="0.2">
      <c r="A312">
        <v>60.8675</v>
      </c>
      <c r="B312">
        <v>0.37480000000000002</v>
      </c>
      <c r="C312">
        <v>25.206700000000001</v>
      </c>
      <c r="D312">
        <v>0</v>
      </c>
      <c r="E312">
        <v>1</v>
      </c>
      <c r="G312">
        <v>0.47589999999999999</v>
      </c>
      <c r="H312">
        <v>31.3688</v>
      </c>
    </row>
    <row r="313" spans="1:8" x14ac:dyDescent="0.2">
      <c r="A313">
        <v>61.118000000000002</v>
      </c>
      <c r="B313">
        <v>0.37709999999999999</v>
      </c>
      <c r="C313">
        <v>25.227499999999999</v>
      </c>
      <c r="D313">
        <v>0</v>
      </c>
      <c r="E313">
        <v>1</v>
      </c>
      <c r="G313">
        <v>0.47639999999999999</v>
      </c>
      <c r="H313">
        <v>31.4178</v>
      </c>
    </row>
    <row r="314" spans="1:8" x14ac:dyDescent="0.2">
      <c r="A314">
        <v>61.368499999999997</v>
      </c>
      <c r="B314">
        <v>0.37759999999999999</v>
      </c>
      <c r="C314">
        <v>25.259799999999998</v>
      </c>
      <c r="D314">
        <v>0</v>
      </c>
      <c r="E314">
        <v>1</v>
      </c>
      <c r="G314">
        <v>0.47689999999999999</v>
      </c>
      <c r="H314">
        <v>31.4861</v>
      </c>
    </row>
    <row r="315" spans="1:8" x14ac:dyDescent="0.2">
      <c r="A315">
        <v>61.619</v>
      </c>
      <c r="B315">
        <v>0.379</v>
      </c>
      <c r="C315">
        <v>25.286300000000001</v>
      </c>
      <c r="D315">
        <v>0</v>
      </c>
      <c r="E315">
        <v>1</v>
      </c>
      <c r="G315">
        <v>0.47820000000000001</v>
      </c>
      <c r="H315">
        <v>31.549499999999998</v>
      </c>
    </row>
    <row r="316" spans="1:8" x14ac:dyDescent="0.2">
      <c r="A316">
        <v>61.869500000000002</v>
      </c>
      <c r="B316">
        <v>0.38080000000000003</v>
      </c>
      <c r="C316">
        <v>25.318200000000001</v>
      </c>
      <c r="D316">
        <v>0</v>
      </c>
      <c r="E316">
        <v>1</v>
      </c>
      <c r="G316">
        <v>0.47889999999999999</v>
      </c>
      <c r="H316">
        <v>31.630500000000001</v>
      </c>
    </row>
    <row r="317" spans="1:8" x14ac:dyDescent="0.2">
      <c r="A317">
        <v>62.12</v>
      </c>
      <c r="B317">
        <v>0.38240000000000002</v>
      </c>
      <c r="C317">
        <v>25.3445</v>
      </c>
      <c r="D317">
        <v>0</v>
      </c>
      <c r="E317">
        <v>1</v>
      </c>
      <c r="G317">
        <v>0.47989999999999999</v>
      </c>
      <c r="H317">
        <v>31.724599999999999</v>
      </c>
    </row>
    <row r="318" spans="1:8" x14ac:dyDescent="0.2">
      <c r="A318">
        <v>62.3705</v>
      </c>
      <c r="B318">
        <v>0.38219999999999998</v>
      </c>
      <c r="C318">
        <v>25.388100000000001</v>
      </c>
      <c r="D318">
        <v>0</v>
      </c>
      <c r="E318">
        <v>1</v>
      </c>
      <c r="G318">
        <v>0.48170000000000002</v>
      </c>
      <c r="H318">
        <v>31.817699999999999</v>
      </c>
    </row>
    <row r="319" spans="1:8" x14ac:dyDescent="0.2">
      <c r="A319">
        <v>62.620899999999999</v>
      </c>
      <c r="B319">
        <v>0.38590000000000002</v>
      </c>
      <c r="C319">
        <v>25.418700000000001</v>
      </c>
      <c r="D319">
        <v>0</v>
      </c>
      <c r="E319">
        <v>1</v>
      </c>
      <c r="G319">
        <v>0.48270000000000002</v>
      </c>
      <c r="H319">
        <v>31.921900000000001</v>
      </c>
    </row>
    <row r="320" spans="1:8" x14ac:dyDescent="0.2">
      <c r="A320">
        <v>62.871400000000001</v>
      </c>
      <c r="B320">
        <v>0.38640000000000002</v>
      </c>
      <c r="C320">
        <v>25.462599999999998</v>
      </c>
      <c r="D320">
        <v>0</v>
      </c>
      <c r="E320">
        <v>1</v>
      </c>
      <c r="G320">
        <v>0.48349999999999999</v>
      </c>
      <c r="H320">
        <v>32.0351</v>
      </c>
    </row>
    <row r="321" spans="1:8" x14ac:dyDescent="0.2">
      <c r="A321">
        <v>63.121899999999997</v>
      </c>
      <c r="B321">
        <v>0.38850000000000001</v>
      </c>
      <c r="C321">
        <v>25.508800000000001</v>
      </c>
      <c r="D321">
        <v>0</v>
      </c>
      <c r="E321">
        <v>1</v>
      </c>
      <c r="G321">
        <v>0.4849</v>
      </c>
      <c r="H321">
        <v>32.156199999999998</v>
      </c>
    </row>
    <row r="322" spans="1:8" x14ac:dyDescent="0.2">
      <c r="A322">
        <v>63.372399999999999</v>
      </c>
      <c r="B322">
        <v>0.3896</v>
      </c>
      <c r="C322">
        <v>25.5562</v>
      </c>
      <c r="D322">
        <v>0</v>
      </c>
      <c r="E322">
        <v>1</v>
      </c>
      <c r="G322">
        <v>0.48480000000000001</v>
      </c>
      <c r="H322">
        <v>32.304200000000002</v>
      </c>
    </row>
    <row r="323" spans="1:8" x14ac:dyDescent="0.2">
      <c r="A323">
        <v>63.622900000000001</v>
      </c>
      <c r="B323">
        <v>0.39029999999999998</v>
      </c>
      <c r="C323">
        <v>25.623000000000001</v>
      </c>
      <c r="D323">
        <v>0</v>
      </c>
      <c r="E323">
        <v>1</v>
      </c>
      <c r="G323">
        <v>0.48599999999999999</v>
      </c>
      <c r="H323">
        <v>32.439</v>
      </c>
    </row>
    <row r="324" spans="1:8" x14ac:dyDescent="0.2">
      <c r="A324">
        <v>63.873399999999997</v>
      </c>
      <c r="B324">
        <v>0.39079999999999998</v>
      </c>
      <c r="C324">
        <v>25.6904</v>
      </c>
      <c r="D324">
        <v>0</v>
      </c>
      <c r="E324">
        <v>1</v>
      </c>
      <c r="G324">
        <v>0.48820000000000002</v>
      </c>
      <c r="H324">
        <v>32.591299999999997</v>
      </c>
    </row>
    <row r="325" spans="1:8" x14ac:dyDescent="0.2">
      <c r="A325">
        <v>64.123800000000003</v>
      </c>
      <c r="B325">
        <v>0.39279999999999998</v>
      </c>
      <c r="C325">
        <v>25.7743</v>
      </c>
      <c r="D325">
        <v>0</v>
      </c>
      <c r="E325">
        <v>1</v>
      </c>
      <c r="G325">
        <v>0.48870000000000002</v>
      </c>
      <c r="H325">
        <v>32.760800000000003</v>
      </c>
    </row>
    <row r="326" spans="1:8" x14ac:dyDescent="0.2">
      <c r="A326">
        <v>64.374300000000005</v>
      </c>
      <c r="B326">
        <v>0.39489999999999997</v>
      </c>
      <c r="C326">
        <v>25.856000000000002</v>
      </c>
      <c r="D326">
        <v>0</v>
      </c>
      <c r="E326">
        <v>1</v>
      </c>
      <c r="G326">
        <v>0.49030000000000001</v>
      </c>
      <c r="H326">
        <v>32.915900000000001</v>
      </c>
    </row>
    <row r="327" spans="1:8" x14ac:dyDescent="0.2">
      <c r="A327">
        <v>64.624799999999993</v>
      </c>
      <c r="B327">
        <v>0.39639999999999997</v>
      </c>
      <c r="C327">
        <v>25.945399999999999</v>
      </c>
      <c r="D327">
        <v>0</v>
      </c>
      <c r="E327">
        <v>1</v>
      </c>
      <c r="G327">
        <v>0.49249999999999999</v>
      </c>
      <c r="H327">
        <v>33.104799999999997</v>
      </c>
    </row>
    <row r="328" spans="1:8" x14ac:dyDescent="0.2">
      <c r="A328">
        <v>64.875299999999996</v>
      </c>
      <c r="B328">
        <v>0.3982</v>
      </c>
      <c r="C328">
        <v>26.039100000000001</v>
      </c>
      <c r="D328">
        <v>0</v>
      </c>
      <c r="E328">
        <v>1</v>
      </c>
      <c r="G328">
        <v>0.49230000000000002</v>
      </c>
      <c r="H328">
        <v>33.279800000000002</v>
      </c>
    </row>
    <row r="329" spans="1:8" x14ac:dyDescent="0.2">
      <c r="A329">
        <v>65.125799999999998</v>
      </c>
      <c r="B329">
        <v>0.40129999999999999</v>
      </c>
      <c r="C329">
        <v>26.152999999999999</v>
      </c>
      <c r="D329">
        <v>0</v>
      </c>
      <c r="E329">
        <v>1</v>
      </c>
      <c r="G329">
        <v>0.49469999999999997</v>
      </c>
      <c r="H329">
        <v>33.461100000000002</v>
      </c>
    </row>
    <row r="330" spans="1:8" x14ac:dyDescent="0.2">
      <c r="A330">
        <v>65.376300000000001</v>
      </c>
      <c r="B330">
        <v>0.40079999999999999</v>
      </c>
      <c r="C330">
        <v>26.264600000000002</v>
      </c>
      <c r="D330">
        <v>0</v>
      </c>
      <c r="E330">
        <v>1</v>
      </c>
      <c r="G330">
        <v>0.49530000000000002</v>
      </c>
      <c r="H330">
        <v>33.652200000000001</v>
      </c>
    </row>
    <row r="331" spans="1:8" x14ac:dyDescent="0.2">
      <c r="A331">
        <v>65.6267</v>
      </c>
      <c r="B331">
        <v>0.40329999999999999</v>
      </c>
      <c r="C331">
        <v>26.4026</v>
      </c>
      <c r="D331">
        <v>0</v>
      </c>
      <c r="E331">
        <v>1</v>
      </c>
      <c r="G331">
        <v>0.49759999999999999</v>
      </c>
      <c r="H331">
        <v>33.8399</v>
      </c>
    </row>
    <row r="332" spans="1:8" x14ac:dyDescent="0.2">
      <c r="A332">
        <v>65.877200000000002</v>
      </c>
      <c r="B332">
        <v>0.40429999999999999</v>
      </c>
      <c r="C332">
        <v>26.534300000000002</v>
      </c>
      <c r="D332">
        <v>0</v>
      </c>
      <c r="E332">
        <v>1</v>
      </c>
      <c r="G332">
        <v>0.49890000000000001</v>
      </c>
      <c r="H332">
        <v>34.036700000000003</v>
      </c>
    </row>
    <row r="333" spans="1:8" x14ac:dyDescent="0.2">
      <c r="A333">
        <v>66.127700000000004</v>
      </c>
      <c r="B333">
        <v>0.40629999999999999</v>
      </c>
      <c r="C333">
        <v>26.6752</v>
      </c>
      <c r="D333">
        <v>0</v>
      </c>
      <c r="E333">
        <v>1</v>
      </c>
      <c r="G333">
        <v>0.49990000000000001</v>
      </c>
      <c r="H333">
        <v>34.227899999999998</v>
      </c>
    </row>
    <row r="334" spans="1:8" x14ac:dyDescent="0.2">
      <c r="A334">
        <v>66.378200000000007</v>
      </c>
      <c r="B334">
        <v>0.40760000000000002</v>
      </c>
      <c r="C334">
        <v>26.8355</v>
      </c>
      <c r="D334">
        <v>0</v>
      </c>
      <c r="E334">
        <v>1</v>
      </c>
      <c r="G334">
        <v>0.50270000000000004</v>
      </c>
      <c r="H334">
        <v>34.419800000000002</v>
      </c>
    </row>
    <row r="335" spans="1:8" x14ac:dyDescent="0.2">
      <c r="A335">
        <v>66.628699999999995</v>
      </c>
      <c r="B335">
        <v>0.40870000000000001</v>
      </c>
      <c r="C335">
        <v>26.993300000000001</v>
      </c>
      <c r="D335">
        <v>0</v>
      </c>
      <c r="E335">
        <v>1</v>
      </c>
      <c r="G335">
        <v>0.50360000000000005</v>
      </c>
      <c r="H335">
        <v>34.616199999999999</v>
      </c>
    </row>
    <row r="336" spans="1:8" x14ac:dyDescent="0.2">
      <c r="A336">
        <v>66.879199999999997</v>
      </c>
      <c r="B336">
        <v>0.4108</v>
      </c>
      <c r="C336">
        <v>27.157699999999998</v>
      </c>
      <c r="D336">
        <v>0</v>
      </c>
      <c r="E336">
        <v>1</v>
      </c>
      <c r="G336">
        <v>0.50590000000000002</v>
      </c>
      <c r="H336">
        <v>34.806600000000003</v>
      </c>
    </row>
    <row r="337" spans="1:8" x14ac:dyDescent="0.2">
      <c r="A337">
        <v>67.129599999999996</v>
      </c>
      <c r="B337">
        <v>0.41239999999999999</v>
      </c>
      <c r="C337">
        <v>27.327100000000002</v>
      </c>
      <c r="D337">
        <v>0</v>
      </c>
      <c r="E337">
        <v>1</v>
      </c>
      <c r="G337">
        <v>0.50729999999999997</v>
      </c>
      <c r="H337">
        <v>34.9985</v>
      </c>
    </row>
    <row r="338" spans="1:8" x14ac:dyDescent="0.2">
      <c r="A338">
        <v>67.380099999999999</v>
      </c>
      <c r="B338">
        <v>0.41449999999999998</v>
      </c>
      <c r="C338">
        <v>27.501899999999999</v>
      </c>
      <c r="D338">
        <v>0</v>
      </c>
      <c r="E338">
        <v>1</v>
      </c>
      <c r="G338">
        <v>0.50890000000000002</v>
      </c>
      <c r="H338">
        <v>35.168199999999999</v>
      </c>
    </row>
    <row r="339" spans="1:8" x14ac:dyDescent="0.2">
      <c r="A339">
        <v>67.630600000000001</v>
      </c>
      <c r="B339">
        <v>0.4163</v>
      </c>
      <c r="C339">
        <v>27.688300000000002</v>
      </c>
      <c r="D339">
        <v>0</v>
      </c>
      <c r="E339">
        <v>1</v>
      </c>
      <c r="G339">
        <v>0.51080000000000003</v>
      </c>
      <c r="H339">
        <v>35.3431</v>
      </c>
    </row>
    <row r="340" spans="1:8" x14ac:dyDescent="0.2">
      <c r="A340">
        <v>67.881100000000004</v>
      </c>
      <c r="B340">
        <v>0.41870000000000002</v>
      </c>
      <c r="C340">
        <v>27.867699999999999</v>
      </c>
      <c r="D340">
        <v>0</v>
      </c>
      <c r="E340">
        <v>1</v>
      </c>
      <c r="G340">
        <v>0.51270000000000004</v>
      </c>
      <c r="H340">
        <v>35.506999999999998</v>
      </c>
    </row>
    <row r="341" spans="1:8" x14ac:dyDescent="0.2">
      <c r="A341">
        <v>68.131600000000006</v>
      </c>
      <c r="B341">
        <v>0.42049999999999998</v>
      </c>
      <c r="C341">
        <v>28.046199999999999</v>
      </c>
      <c r="D341">
        <v>0</v>
      </c>
      <c r="E341">
        <v>1</v>
      </c>
      <c r="G341">
        <v>0.5131</v>
      </c>
      <c r="H341">
        <v>35.670299999999997</v>
      </c>
    </row>
    <row r="342" spans="1:8" x14ac:dyDescent="0.2">
      <c r="A342">
        <v>68.382099999999994</v>
      </c>
      <c r="B342">
        <v>0.42130000000000001</v>
      </c>
      <c r="C342">
        <v>28.238199999999999</v>
      </c>
      <c r="D342">
        <v>0</v>
      </c>
      <c r="E342">
        <v>1</v>
      </c>
      <c r="G342">
        <v>0.51649999999999996</v>
      </c>
      <c r="H342">
        <v>35.817900000000002</v>
      </c>
    </row>
    <row r="343" spans="1:8" x14ac:dyDescent="0.2">
      <c r="A343">
        <v>68.632499999999993</v>
      </c>
      <c r="B343">
        <v>0.42230000000000001</v>
      </c>
      <c r="C343">
        <v>28.423400000000001</v>
      </c>
      <c r="D343">
        <v>0</v>
      </c>
      <c r="E343">
        <v>1</v>
      </c>
      <c r="G343">
        <v>0.51649999999999996</v>
      </c>
      <c r="H343">
        <v>35.966200000000001</v>
      </c>
    </row>
    <row r="344" spans="1:8" x14ac:dyDescent="0.2">
      <c r="A344">
        <v>68.882999999999996</v>
      </c>
      <c r="B344">
        <v>0.42380000000000001</v>
      </c>
      <c r="C344">
        <v>28.6007</v>
      </c>
      <c r="D344">
        <v>0</v>
      </c>
      <c r="E344">
        <v>1</v>
      </c>
      <c r="G344">
        <v>0.5202</v>
      </c>
      <c r="H344">
        <v>36.102699999999999</v>
      </c>
    </row>
    <row r="345" spans="1:8" x14ac:dyDescent="0.2">
      <c r="A345">
        <v>69.133499999999998</v>
      </c>
      <c r="B345">
        <v>0.42570000000000002</v>
      </c>
      <c r="C345">
        <v>28.785699999999999</v>
      </c>
      <c r="D345">
        <v>0</v>
      </c>
      <c r="E345">
        <v>1</v>
      </c>
      <c r="G345">
        <v>0.52070000000000005</v>
      </c>
      <c r="H345">
        <v>36.2241</v>
      </c>
    </row>
    <row r="346" spans="1:8" x14ac:dyDescent="0.2">
      <c r="A346">
        <v>69.384</v>
      </c>
      <c r="B346">
        <v>0.42799999999999999</v>
      </c>
      <c r="C346">
        <v>28.9635</v>
      </c>
      <c r="D346">
        <v>0</v>
      </c>
      <c r="E346">
        <v>1</v>
      </c>
      <c r="G346">
        <v>0.52229999999999999</v>
      </c>
      <c r="H346">
        <v>36.335999999999999</v>
      </c>
    </row>
    <row r="347" spans="1:8" x14ac:dyDescent="0.2">
      <c r="A347">
        <v>69.634500000000003</v>
      </c>
      <c r="B347">
        <v>0.43049999999999999</v>
      </c>
      <c r="C347">
        <v>29.142700000000001</v>
      </c>
      <c r="D347">
        <v>0</v>
      </c>
      <c r="E347">
        <v>1</v>
      </c>
      <c r="G347">
        <v>0.52400000000000002</v>
      </c>
      <c r="H347">
        <v>36.443399999999997</v>
      </c>
    </row>
    <row r="348" spans="1:8" x14ac:dyDescent="0.2">
      <c r="A348">
        <v>69.885000000000005</v>
      </c>
      <c r="B348">
        <v>0.43109999999999998</v>
      </c>
      <c r="C348">
        <v>29.319199999999999</v>
      </c>
      <c r="D348">
        <v>0</v>
      </c>
      <c r="E348">
        <v>1</v>
      </c>
      <c r="G348">
        <v>0.52580000000000005</v>
      </c>
      <c r="H348">
        <v>36.530900000000003</v>
      </c>
    </row>
    <row r="349" spans="1:8" x14ac:dyDescent="0.2">
      <c r="A349">
        <v>70.135499999999993</v>
      </c>
      <c r="B349">
        <v>0.43290000000000001</v>
      </c>
      <c r="C349">
        <v>29.473800000000001</v>
      </c>
      <c r="D349">
        <v>0</v>
      </c>
      <c r="E349">
        <v>1</v>
      </c>
      <c r="G349">
        <v>0.52700000000000002</v>
      </c>
      <c r="H349">
        <v>36.624699999999997</v>
      </c>
    </row>
    <row r="350" spans="1:8" x14ac:dyDescent="0.2">
      <c r="A350">
        <v>70.385900000000007</v>
      </c>
      <c r="B350">
        <v>0.43380000000000002</v>
      </c>
      <c r="C350">
        <v>29.642800000000001</v>
      </c>
      <c r="D350">
        <v>0</v>
      </c>
      <c r="E350">
        <v>1</v>
      </c>
      <c r="G350">
        <v>0.52780000000000005</v>
      </c>
      <c r="H350">
        <v>36.696899999999999</v>
      </c>
    </row>
    <row r="351" spans="1:8" x14ac:dyDescent="0.2">
      <c r="A351">
        <v>70.636399999999995</v>
      </c>
      <c r="B351">
        <v>0.43669999999999998</v>
      </c>
      <c r="C351">
        <v>29.7895</v>
      </c>
      <c r="D351">
        <v>0</v>
      </c>
      <c r="E351">
        <v>1</v>
      </c>
      <c r="G351">
        <v>0.53</v>
      </c>
      <c r="H351">
        <v>36.756700000000002</v>
      </c>
    </row>
    <row r="352" spans="1:8" x14ac:dyDescent="0.2">
      <c r="A352">
        <v>70.886899999999997</v>
      </c>
      <c r="B352">
        <v>0.43690000000000001</v>
      </c>
      <c r="C352">
        <v>29.9344</v>
      </c>
      <c r="D352">
        <v>0</v>
      </c>
      <c r="E352">
        <v>1</v>
      </c>
      <c r="G352">
        <v>0.5333</v>
      </c>
      <c r="H352">
        <v>36.818199999999997</v>
      </c>
    </row>
    <row r="353" spans="1:8" x14ac:dyDescent="0.2">
      <c r="A353">
        <v>71.1374</v>
      </c>
      <c r="B353">
        <v>0.43969999999999998</v>
      </c>
      <c r="C353">
        <v>30.071000000000002</v>
      </c>
      <c r="D353">
        <v>0</v>
      </c>
      <c r="E353">
        <v>1</v>
      </c>
      <c r="G353">
        <v>0.5343</v>
      </c>
      <c r="H353">
        <v>36.865299999999998</v>
      </c>
    </row>
    <row r="354" spans="1:8" x14ac:dyDescent="0.2">
      <c r="A354">
        <v>71.387900000000002</v>
      </c>
      <c r="B354">
        <v>0.44209999999999999</v>
      </c>
      <c r="C354">
        <v>30.1965</v>
      </c>
      <c r="D354">
        <v>0</v>
      </c>
      <c r="E354">
        <v>1</v>
      </c>
      <c r="G354">
        <v>0.53659999999999997</v>
      </c>
      <c r="H354">
        <v>36.9069</v>
      </c>
    </row>
    <row r="355" spans="1:8" x14ac:dyDescent="0.2">
      <c r="A355">
        <v>71.638400000000004</v>
      </c>
      <c r="B355">
        <v>0.44400000000000001</v>
      </c>
      <c r="C355">
        <v>30.315899999999999</v>
      </c>
      <c r="D355">
        <v>0</v>
      </c>
      <c r="E355">
        <v>1</v>
      </c>
      <c r="G355">
        <v>0.53810000000000002</v>
      </c>
      <c r="H355">
        <v>36.934100000000001</v>
      </c>
    </row>
    <row r="356" spans="1:8" x14ac:dyDescent="0.2">
      <c r="A356">
        <v>71.888800000000003</v>
      </c>
      <c r="B356">
        <v>0.4466</v>
      </c>
      <c r="C356">
        <v>30.433299999999999</v>
      </c>
      <c r="D356">
        <v>0</v>
      </c>
      <c r="E356">
        <v>1</v>
      </c>
      <c r="G356">
        <v>0.53859999999999997</v>
      </c>
      <c r="H356">
        <v>36.960299999999997</v>
      </c>
    </row>
    <row r="357" spans="1:8" x14ac:dyDescent="0.2">
      <c r="A357">
        <v>72.139300000000006</v>
      </c>
      <c r="B357">
        <v>0.44719999999999999</v>
      </c>
      <c r="C357">
        <v>30.523099999999999</v>
      </c>
      <c r="D357">
        <v>0</v>
      </c>
      <c r="E357">
        <v>1</v>
      </c>
      <c r="G357">
        <v>0.54020000000000001</v>
      </c>
      <c r="H357">
        <v>36.9878</v>
      </c>
    </row>
    <row r="358" spans="1:8" x14ac:dyDescent="0.2">
      <c r="A358">
        <v>72.389799999999994</v>
      </c>
      <c r="B358">
        <v>0.44990000000000002</v>
      </c>
      <c r="C358">
        <v>30.617000000000001</v>
      </c>
      <c r="D358">
        <v>0</v>
      </c>
      <c r="E358">
        <v>1</v>
      </c>
      <c r="G358">
        <v>0.54049999999999998</v>
      </c>
      <c r="H358">
        <v>37.003900000000002</v>
      </c>
    </row>
    <row r="359" spans="1:8" x14ac:dyDescent="0.2">
      <c r="A359">
        <v>72.640299999999996</v>
      </c>
      <c r="B359">
        <v>0.4506</v>
      </c>
      <c r="C359">
        <v>30.7012</v>
      </c>
      <c r="D359">
        <v>0</v>
      </c>
      <c r="E359">
        <v>1</v>
      </c>
      <c r="G359">
        <v>0.54149999999999998</v>
      </c>
      <c r="H359">
        <v>37.013800000000003</v>
      </c>
    </row>
    <row r="360" spans="1:8" x14ac:dyDescent="0.2">
      <c r="A360">
        <v>72.890799999999999</v>
      </c>
      <c r="B360">
        <v>0.45179999999999998</v>
      </c>
      <c r="C360">
        <v>30.767099999999999</v>
      </c>
      <c r="D360">
        <v>0</v>
      </c>
      <c r="E360">
        <v>1</v>
      </c>
      <c r="G360">
        <v>0.54220000000000002</v>
      </c>
      <c r="H360">
        <v>37.027700000000003</v>
      </c>
    </row>
    <row r="361" spans="1:8" x14ac:dyDescent="0.2">
      <c r="A361">
        <v>73.141300000000001</v>
      </c>
      <c r="B361">
        <v>0.45300000000000001</v>
      </c>
      <c r="C361">
        <v>30.8413</v>
      </c>
      <c r="D361">
        <v>0</v>
      </c>
      <c r="E361">
        <v>1</v>
      </c>
      <c r="G361">
        <v>0.54430000000000001</v>
      </c>
      <c r="H361">
        <v>37.038800000000002</v>
      </c>
    </row>
    <row r="362" spans="1:8" x14ac:dyDescent="0.2">
      <c r="A362">
        <v>73.3917</v>
      </c>
      <c r="B362">
        <v>0.45479999999999998</v>
      </c>
      <c r="C362">
        <v>30.8933</v>
      </c>
      <c r="D362">
        <v>0</v>
      </c>
      <c r="E362">
        <v>1</v>
      </c>
      <c r="G362">
        <v>0.54559999999999997</v>
      </c>
      <c r="H362">
        <v>37.047400000000003</v>
      </c>
    </row>
    <row r="363" spans="1:8" x14ac:dyDescent="0.2">
      <c r="A363">
        <v>73.642200000000003</v>
      </c>
      <c r="B363">
        <v>0.45569999999999999</v>
      </c>
      <c r="C363">
        <v>30.946899999999999</v>
      </c>
      <c r="D363">
        <v>0</v>
      </c>
      <c r="E363">
        <v>1</v>
      </c>
      <c r="G363">
        <v>0.54579999999999995</v>
      </c>
      <c r="H363">
        <v>37.067999999999998</v>
      </c>
    </row>
    <row r="364" spans="1:8" x14ac:dyDescent="0.2">
      <c r="A364">
        <v>73.892700000000005</v>
      </c>
      <c r="B364">
        <v>0.45729999999999998</v>
      </c>
      <c r="C364">
        <v>30.982399999999998</v>
      </c>
      <c r="D364">
        <v>0</v>
      </c>
      <c r="E364">
        <v>1</v>
      </c>
      <c r="G364">
        <v>0.54779999999999995</v>
      </c>
      <c r="H364">
        <v>37.079799999999999</v>
      </c>
    </row>
    <row r="365" spans="1:8" x14ac:dyDescent="0.2">
      <c r="A365">
        <v>74.143199999999993</v>
      </c>
      <c r="B365">
        <v>0.45910000000000001</v>
      </c>
      <c r="C365">
        <v>31.0166</v>
      </c>
      <c r="D365">
        <v>0</v>
      </c>
      <c r="E365">
        <v>1</v>
      </c>
      <c r="G365">
        <v>0.54830000000000001</v>
      </c>
      <c r="H365">
        <v>37.096600000000002</v>
      </c>
    </row>
    <row r="366" spans="1:8" x14ac:dyDescent="0.2">
      <c r="A366">
        <v>74.393699999999995</v>
      </c>
      <c r="B366">
        <v>0.46079999999999999</v>
      </c>
      <c r="C366">
        <v>31.0517</v>
      </c>
      <c r="D366">
        <v>0</v>
      </c>
      <c r="E366">
        <v>1</v>
      </c>
      <c r="G366">
        <v>0.54859999999999998</v>
      </c>
      <c r="H366">
        <v>37.130200000000002</v>
      </c>
    </row>
    <row r="367" spans="1:8" x14ac:dyDescent="0.2">
      <c r="A367">
        <v>74.644199999999998</v>
      </c>
      <c r="B367">
        <v>0.46260000000000001</v>
      </c>
      <c r="C367">
        <v>31.073</v>
      </c>
      <c r="D367">
        <v>0</v>
      </c>
      <c r="E367">
        <v>1</v>
      </c>
      <c r="G367">
        <v>0.54990000000000006</v>
      </c>
      <c r="H367">
        <v>37.152999999999999</v>
      </c>
    </row>
    <row r="368" spans="1:8" x14ac:dyDescent="0.2">
      <c r="A368">
        <v>74.894599999999997</v>
      </c>
      <c r="B368">
        <v>0.46560000000000001</v>
      </c>
      <c r="C368">
        <v>31.095199999999998</v>
      </c>
      <c r="D368">
        <v>0</v>
      </c>
      <c r="E368">
        <v>1</v>
      </c>
      <c r="G368">
        <v>0.55179999999999996</v>
      </c>
      <c r="H368">
        <v>37.188499999999998</v>
      </c>
    </row>
    <row r="369" spans="1:8" x14ac:dyDescent="0.2">
      <c r="A369">
        <v>75.145099999999999</v>
      </c>
      <c r="B369">
        <v>0.46639999999999998</v>
      </c>
      <c r="C369">
        <v>31.122</v>
      </c>
      <c r="D369">
        <v>0</v>
      </c>
      <c r="E369">
        <v>1</v>
      </c>
      <c r="G369">
        <v>0.55320000000000003</v>
      </c>
      <c r="H369">
        <v>37.2363</v>
      </c>
    </row>
    <row r="370" spans="1:8" x14ac:dyDescent="0.2">
      <c r="A370">
        <v>75.395600000000002</v>
      </c>
      <c r="B370">
        <v>0.46760000000000002</v>
      </c>
      <c r="C370">
        <v>31.136900000000001</v>
      </c>
      <c r="D370">
        <v>0</v>
      </c>
      <c r="E370">
        <v>1</v>
      </c>
      <c r="G370">
        <v>0.55389999999999995</v>
      </c>
      <c r="H370">
        <v>37.281999999999996</v>
      </c>
    </row>
    <row r="371" spans="1:8" x14ac:dyDescent="0.2">
      <c r="A371">
        <v>75.646100000000004</v>
      </c>
      <c r="B371">
        <v>0.46920000000000001</v>
      </c>
      <c r="C371">
        <v>31.156099999999999</v>
      </c>
      <c r="D371">
        <v>0</v>
      </c>
      <c r="E371">
        <v>1</v>
      </c>
      <c r="G371">
        <v>0.55559999999999998</v>
      </c>
      <c r="H371">
        <v>37.348500000000001</v>
      </c>
    </row>
    <row r="372" spans="1:8" x14ac:dyDescent="0.2">
      <c r="A372">
        <v>75.896600000000007</v>
      </c>
      <c r="B372">
        <v>0.46970000000000001</v>
      </c>
      <c r="C372">
        <v>31.174700000000001</v>
      </c>
      <c r="D372">
        <v>0</v>
      </c>
      <c r="E372">
        <v>1</v>
      </c>
      <c r="G372">
        <v>0.55610000000000004</v>
      </c>
      <c r="H372">
        <v>37.4133</v>
      </c>
    </row>
    <row r="373" spans="1:8" x14ac:dyDescent="0.2">
      <c r="A373">
        <v>76.147099999999995</v>
      </c>
      <c r="B373">
        <v>0.4698</v>
      </c>
      <c r="C373">
        <v>31.203099999999999</v>
      </c>
      <c r="D373">
        <v>0</v>
      </c>
      <c r="E373">
        <v>1</v>
      </c>
      <c r="G373">
        <v>0.55840000000000001</v>
      </c>
      <c r="H373">
        <v>37.498199999999997</v>
      </c>
    </row>
    <row r="374" spans="1:8" x14ac:dyDescent="0.2">
      <c r="A374">
        <v>76.397499999999994</v>
      </c>
      <c r="B374">
        <v>0.47089999999999999</v>
      </c>
      <c r="C374">
        <v>31.228999999999999</v>
      </c>
      <c r="D374">
        <v>0</v>
      </c>
      <c r="E374">
        <v>1</v>
      </c>
      <c r="G374">
        <v>0.55969999999999998</v>
      </c>
      <c r="H374">
        <v>37.593499999999999</v>
      </c>
    </row>
    <row r="375" spans="1:8" x14ac:dyDescent="0.2">
      <c r="A375">
        <v>76.647999999999996</v>
      </c>
      <c r="B375">
        <v>0.47210000000000002</v>
      </c>
      <c r="C375">
        <v>31.256399999999999</v>
      </c>
      <c r="D375">
        <v>0</v>
      </c>
      <c r="E375">
        <v>1</v>
      </c>
      <c r="G375">
        <v>0.55930000000000002</v>
      </c>
      <c r="H375">
        <v>37.680700000000002</v>
      </c>
    </row>
    <row r="376" spans="1:8" x14ac:dyDescent="0.2">
      <c r="A376">
        <v>76.898499999999999</v>
      </c>
      <c r="B376">
        <v>0.47410000000000002</v>
      </c>
      <c r="C376">
        <v>31.2864</v>
      </c>
      <c r="D376">
        <v>0</v>
      </c>
      <c r="E376">
        <v>1</v>
      </c>
      <c r="G376">
        <v>0.56230000000000002</v>
      </c>
      <c r="H376">
        <v>37.802799999999998</v>
      </c>
    </row>
    <row r="377" spans="1:8" x14ac:dyDescent="0.2">
      <c r="A377">
        <v>77.149000000000001</v>
      </c>
      <c r="B377">
        <v>0.47460000000000002</v>
      </c>
      <c r="C377">
        <v>31.325500000000002</v>
      </c>
      <c r="D377">
        <v>0</v>
      </c>
      <c r="E377">
        <v>1</v>
      </c>
      <c r="G377">
        <v>0.56200000000000006</v>
      </c>
      <c r="H377">
        <v>37.930300000000003</v>
      </c>
    </row>
    <row r="378" spans="1:8" x14ac:dyDescent="0.2">
      <c r="A378">
        <v>77.399500000000003</v>
      </c>
      <c r="B378">
        <v>0.47589999999999999</v>
      </c>
      <c r="C378">
        <v>31.3688</v>
      </c>
      <c r="D378">
        <v>0</v>
      </c>
      <c r="E378">
        <v>1</v>
      </c>
      <c r="G378">
        <v>0.56410000000000005</v>
      </c>
      <c r="H378">
        <v>38.060299999999998</v>
      </c>
    </row>
    <row r="379" spans="1:8" x14ac:dyDescent="0.2">
      <c r="A379">
        <v>77.650000000000006</v>
      </c>
      <c r="B379">
        <v>0.47639999999999999</v>
      </c>
      <c r="C379">
        <v>31.4178</v>
      </c>
      <c r="D379">
        <v>0</v>
      </c>
      <c r="E379">
        <v>1</v>
      </c>
      <c r="G379">
        <v>0.56579999999999997</v>
      </c>
      <c r="H379">
        <v>38.206699999999998</v>
      </c>
    </row>
    <row r="380" spans="1:8" x14ac:dyDescent="0.2">
      <c r="A380">
        <v>77.900400000000005</v>
      </c>
      <c r="B380">
        <v>0.47689999999999999</v>
      </c>
      <c r="C380">
        <v>31.4861</v>
      </c>
      <c r="D380">
        <v>0</v>
      </c>
      <c r="E380">
        <v>1</v>
      </c>
      <c r="G380">
        <v>0.56569999999999998</v>
      </c>
      <c r="H380">
        <v>38.360900000000001</v>
      </c>
    </row>
    <row r="381" spans="1:8" x14ac:dyDescent="0.2">
      <c r="A381">
        <v>78.150899999999993</v>
      </c>
      <c r="B381">
        <v>0.47820000000000001</v>
      </c>
      <c r="C381">
        <v>31.549499999999998</v>
      </c>
      <c r="D381">
        <v>0</v>
      </c>
      <c r="E381">
        <v>1</v>
      </c>
      <c r="G381">
        <v>0.56720000000000004</v>
      </c>
      <c r="H381">
        <v>38.5229</v>
      </c>
    </row>
    <row r="382" spans="1:8" x14ac:dyDescent="0.2">
      <c r="A382">
        <v>78.401399999999995</v>
      </c>
      <c r="B382">
        <v>0.47889999999999999</v>
      </c>
      <c r="C382">
        <v>31.630500000000001</v>
      </c>
      <c r="D382">
        <v>0</v>
      </c>
      <c r="E382">
        <v>1</v>
      </c>
      <c r="G382">
        <v>0.56950000000000001</v>
      </c>
      <c r="H382">
        <v>38.691600000000001</v>
      </c>
    </row>
    <row r="383" spans="1:8" x14ac:dyDescent="0.2">
      <c r="A383">
        <v>78.651899999999998</v>
      </c>
      <c r="B383">
        <v>0.47989999999999999</v>
      </c>
      <c r="C383">
        <v>31.724599999999999</v>
      </c>
      <c r="D383">
        <v>0</v>
      </c>
      <c r="E383">
        <v>1</v>
      </c>
      <c r="G383">
        <v>0.57150000000000001</v>
      </c>
      <c r="H383">
        <v>38.858600000000003</v>
      </c>
    </row>
    <row r="384" spans="1:8" x14ac:dyDescent="0.2">
      <c r="A384">
        <v>78.9024</v>
      </c>
      <c r="B384">
        <v>0.48170000000000002</v>
      </c>
      <c r="C384">
        <v>31.817699999999999</v>
      </c>
      <c r="D384">
        <v>0</v>
      </c>
      <c r="E384">
        <v>1</v>
      </c>
      <c r="G384">
        <v>0.57289999999999996</v>
      </c>
      <c r="H384">
        <v>39.049599999999998</v>
      </c>
    </row>
    <row r="385" spans="1:8" x14ac:dyDescent="0.2">
      <c r="A385">
        <v>79.152900000000002</v>
      </c>
      <c r="B385">
        <v>0.48270000000000002</v>
      </c>
      <c r="C385">
        <v>31.921900000000001</v>
      </c>
      <c r="D385">
        <v>0</v>
      </c>
      <c r="E385">
        <v>1</v>
      </c>
      <c r="G385">
        <v>0.57299999999999995</v>
      </c>
      <c r="H385">
        <v>39.241999999999997</v>
      </c>
    </row>
    <row r="386" spans="1:8" x14ac:dyDescent="0.2">
      <c r="A386">
        <v>79.403400000000005</v>
      </c>
      <c r="B386">
        <v>0.48349999999999999</v>
      </c>
      <c r="C386">
        <v>32.0351</v>
      </c>
      <c r="D386">
        <v>0</v>
      </c>
      <c r="E386">
        <v>1</v>
      </c>
      <c r="G386">
        <v>0.5746</v>
      </c>
      <c r="H386">
        <v>39.436799999999998</v>
      </c>
    </row>
    <row r="387" spans="1:8" x14ac:dyDescent="0.2">
      <c r="A387">
        <v>79.653800000000004</v>
      </c>
      <c r="B387">
        <v>0.4849</v>
      </c>
      <c r="C387">
        <v>32.156199999999998</v>
      </c>
      <c r="D387">
        <v>0</v>
      </c>
      <c r="E387">
        <v>1</v>
      </c>
      <c r="G387">
        <v>0.57569999999999999</v>
      </c>
      <c r="H387">
        <v>39.633000000000003</v>
      </c>
    </row>
    <row r="388" spans="1:8" x14ac:dyDescent="0.2">
      <c r="A388">
        <v>79.904300000000006</v>
      </c>
      <c r="B388">
        <v>0.48480000000000001</v>
      </c>
      <c r="C388">
        <v>32.304200000000002</v>
      </c>
      <c r="D388">
        <v>0</v>
      </c>
      <c r="E388">
        <v>1</v>
      </c>
      <c r="G388">
        <v>0.57689999999999997</v>
      </c>
      <c r="H388">
        <v>39.829300000000003</v>
      </c>
    </row>
    <row r="389" spans="1:8" x14ac:dyDescent="0.2">
      <c r="A389">
        <v>80.154799999999994</v>
      </c>
      <c r="B389">
        <v>0.48599999999999999</v>
      </c>
      <c r="C389">
        <v>32.439</v>
      </c>
      <c r="D389">
        <v>0</v>
      </c>
      <c r="E389">
        <v>1</v>
      </c>
      <c r="G389">
        <v>0.57869999999999999</v>
      </c>
      <c r="H389">
        <v>40.026600000000002</v>
      </c>
    </row>
    <row r="390" spans="1:8" x14ac:dyDescent="0.2">
      <c r="A390">
        <v>80.405299999999997</v>
      </c>
      <c r="B390">
        <v>0.48820000000000002</v>
      </c>
      <c r="C390">
        <v>32.591299999999997</v>
      </c>
      <c r="D390">
        <v>0</v>
      </c>
      <c r="E390">
        <v>1</v>
      </c>
      <c r="G390">
        <v>0.58120000000000005</v>
      </c>
      <c r="H390">
        <v>40.223599999999998</v>
      </c>
    </row>
    <row r="391" spans="1:8" x14ac:dyDescent="0.2">
      <c r="A391">
        <v>80.655799999999999</v>
      </c>
      <c r="B391">
        <v>0.48870000000000002</v>
      </c>
      <c r="C391">
        <v>32.760800000000003</v>
      </c>
      <c r="D391">
        <v>0</v>
      </c>
      <c r="E391">
        <v>1</v>
      </c>
      <c r="G391">
        <v>0.58230000000000004</v>
      </c>
      <c r="H391">
        <v>40.433799999999998</v>
      </c>
    </row>
    <row r="392" spans="1:8" x14ac:dyDescent="0.2">
      <c r="A392">
        <v>80.906300000000002</v>
      </c>
      <c r="B392">
        <v>0.49030000000000001</v>
      </c>
      <c r="C392">
        <v>32.915900000000001</v>
      </c>
      <c r="D392">
        <v>0</v>
      </c>
      <c r="E392">
        <v>1</v>
      </c>
      <c r="G392">
        <v>0.58260000000000001</v>
      </c>
      <c r="H392">
        <v>40.635899999999999</v>
      </c>
    </row>
    <row r="393" spans="1:8" x14ac:dyDescent="0.2">
      <c r="A393">
        <v>81.156700000000001</v>
      </c>
      <c r="B393">
        <v>0.49249999999999999</v>
      </c>
      <c r="C393">
        <v>33.104799999999997</v>
      </c>
      <c r="D393">
        <v>0</v>
      </c>
      <c r="E393">
        <v>1</v>
      </c>
      <c r="G393">
        <v>0.58450000000000002</v>
      </c>
      <c r="H393">
        <v>40.829500000000003</v>
      </c>
    </row>
    <row r="394" spans="1:8" x14ac:dyDescent="0.2">
      <c r="A394">
        <v>81.407200000000003</v>
      </c>
      <c r="B394">
        <v>0.49230000000000002</v>
      </c>
      <c r="C394">
        <v>33.279800000000002</v>
      </c>
      <c r="D394">
        <v>0</v>
      </c>
      <c r="E394">
        <v>1</v>
      </c>
      <c r="G394">
        <v>0.58560000000000001</v>
      </c>
      <c r="H394">
        <v>41.012900000000002</v>
      </c>
    </row>
    <row r="395" spans="1:8" x14ac:dyDescent="0.2">
      <c r="A395">
        <v>81.657700000000006</v>
      </c>
      <c r="B395">
        <v>0.49469999999999997</v>
      </c>
      <c r="C395">
        <v>33.461100000000002</v>
      </c>
      <c r="D395">
        <v>0</v>
      </c>
      <c r="E395">
        <v>1</v>
      </c>
      <c r="G395">
        <v>0.58630000000000004</v>
      </c>
      <c r="H395">
        <v>41.196599999999997</v>
      </c>
    </row>
    <row r="396" spans="1:8" x14ac:dyDescent="0.2">
      <c r="A396">
        <v>81.908199999999994</v>
      </c>
      <c r="B396">
        <v>0.49530000000000002</v>
      </c>
      <c r="C396">
        <v>33.652200000000001</v>
      </c>
      <c r="D396">
        <v>0</v>
      </c>
      <c r="E396">
        <v>1</v>
      </c>
      <c r="G396">
        <v>0.58940000000000003</v>
      </c>
      <c r="H396">
        <v>41.372100000000003</v>
      </c>
    </row>
    <row r="397" spans="1:8" x14ac:dyDescent="0.2">
      <c r="A397">
        <v>82.158699999999996</v>
      </c>
      <c r="B397">
        <v>0.49759999999999999</v>
      </c>
      <c r="C397">
        <v>33.8399</v>
      </c>
      <c r="D397">
        <v>0</v>
      </c>
      <c r="E397">
        <v>1</v>
      </c>
      <c r="G397">
        <v>0.59030000000000005</v>
      </c>
      <c r="H397">
        <v>41.534399999999998</v>
      </c>
    </row>
    <row r="398" spans="1:8" x14ac:dyDescent="0.2">
      <c r="A398">
        <v>82.409199999999998</v>
      </c>
      <c r="B398">
        <v>0.49890000000000001</v>
      </c>
      <c r="C398">
        <v>34.036700000000003</v>
      </c>
      <c r="D398">
        <v>0</v>
      </c>
      <c r="E398">
        <v>1</v>
      </c>
      <c r="G398">
        <v>0.59299999999999997</v>
      </c>
      <c r="H398">
        <v>41.698700000000002</v>
      </c>
    </row>
    <row r="399" spans="1:8" x14ac:dyDescent="0.2">
      <c r="A399">
        <v>82.659599999999998</v>
      </c>
      <c r="B399">
        <v>0.49990000000000001</v>
      </c>
      <c r="C399">
        <v>34.227899999999998</v>
      </c>
      <c r="D399">
        <v>0</v>
      </c>
      <c r="E399">
        <v>1</v>
      </c>
      <c r="G399">
        <v>0.59319999999999995</v>
      </c>
      <c r="H399">
        <v>41.851300000000002</v>
      </c>
    </row>
    <row r="400" spans="1:8" x14ac:dyDescent="0.2">
      <c r="A400">
        <v>82.9101</v>
      </c>
      <c r="B400">
        <v>0.50270000000000004</v>
      </c>
      <c r="C400">
        <v>34.419800000000002</v>
      </c>
      <c r="D400">
        <v>0</v>
      </c>
      <c r="E400">
        <v>1</v>
      </c>
      <c r="G400">
        <v>0.59550000000000003</v>
      </c>
      <c r="H400">
        <v>41.992199999999997</v>
      </c>
    </row>
    <row r="401" spans="1:8" x14ac:dyDescent="0.2">
      <c r="A401">
        <v>83.160600000000002</v>
      </c>
      <c r="B401">
        <v>0.50360000000000005</v>
      </c>
      <c r="C401">
        <v>34.616199999999999</v>
      </c>
      <c r="D401">
        <v>0</v>
      </c>
      <c r="E401">
        <v>1</v>
      </c>
      <c r="G401">
        <v>0.59650000000000003</v>
      </c>
      <c r="H401">
        <v>42.128799999999998</v>
      </c>
    </row>
    <row r="402" spans="1:8" x14ac:dyDescent="0.2">
      <c r="A402">
        <v>83.411100000000005</v>
      </c>
      <c r="B402">
        <v>0.50590000000000002</v>
      </c>
      <c r="C402">
        <v>34.806600000000003</v>
      </c>
      <c r="D402">
        <v>0</v>
      </c>
      <c r="E402">
        <v>1</v>
      </c>
      <c r="G402">
        <v>0.5988</v>
      </c>
      <c r="H402">
        <v>42.242199999999997</v>
      </c>
    </row>
    <row r="403" spans="1:8" x14ac:dyDescent="0.2">
      <c r="A403">
        <v>83.661600000000007</v>
      </c>
      <c r="B403">
        <v>0.50729999999999997</v>
      </c>
      <c r="C403">
        <v>34.9985</v>
      </c>
      <c r="D403">
        <v>0</v>
      </c>
      <c r="E403">
        <v>1</v>
      </c>
      <c r="G403">
        <v>0.60040000000000004</v>
      </c>
      <c r="H403">
        <v>42.357700000000001</v>
      </c>
    </row>
    <row r="404" spans="1:8" x14ac:dyDescent="0.2">
      <c r="A404">
        <v>83.912099999999995</v>
      </c>
      <c r="B404">
        <v>0.50890000000000002</v>
      </c>
      <c r="C404">
        <v>35.168199999999999</v>
      </c>
      <c r="D404">
        <v>0</v>
      </c>
      <c r="E404">
        <v>1</v>
      </c>
      <c r="G404">
        <v>0.60129999999999995</v>
      </c>
      <c r="H404">
        <v>42.458399999999997</v>
      </c>
    </row>
    <row r="405" spans="1:8" x14ac:dyDescent="0.2">
      <c r="A405">
        <v>84.162499999999994</v>
      </c>
      <c r="B405">
        <v>0.51080000000000003</v>
      </c>
      <c r="C405">
        <v>35.3431</v>
      </c>
      <c r="D405">
        <v>0</v>
      </c>
      <c r="E405">
        <v>1</v>
      </c>
      <c r="G405">
        <v>0.60319999999999996</v>
      </c>
      <c r="H405">
        <v>42.535899999999998</v>
      </c>
    </row>
    <row r="406" spans="1:8" x14ac:dyDescent="0.2">
      <c r="A406">
        <v>84.412999999999997</v>
      </c>
      <c r="B406">
        <v>0.51270000000000004</v>
      </c>
      <c r="C406">
        <v>35.506999999999998</v>
      </c>
      <c r="D406">
        <v>0</v>
      </c>
      <c r="E406">
        <v>1</v>
      </c>
      <c r="G406">
        <v>0.60360000000000003</v>
      </c>
      <c r="H406">
        <v>42.619</v>
      </c>
    </row>
    <row r="407" spans="1:8" x14ac:dyDescent="0.2">
      <c r="A407">
        <v>84.663499999999999</v>
      </c>
      <c r="B407">
        <v>0.5131</v>
      </c>
      <c r="C407">
        <v>35.670299999999997</v>
      </c>
      <c r="D407">
        <v>0</v>
      </c>
      <c r="E407">
        <v>1</v>
      </c>
      <c r="G407">
        <v>0.60619999999999996</v>
      </c>
      <c r="H407">
        <v>42.682200000000002</v>
      </c>
    </row>
    <row r="408" spans="1:8" x14ac:dyDescent="0.2">
      <c r="A408">
        <v>84.914000000000001</v>
      </c>
      <c r="B408">
        <v>0.51649999999999996</v>
      </c>
      <c r="C408">
        <v>35.817900000000002</v>
      </c>
      <c r="D408">
        <v>0</v>
      </c>
      <c r="E408">
        <v>1</v>
      </c>
      <c r="G408">
        <v>0.6069</v>
      </c>
      <c r="H408">
        <v>42.740299999999998</v>
      </c>
    </row>
    <row r="409" spans="1:8" x14ac:dyDescent="0.2">
      <c r="A409">
        <v>85.164500000000004</v>
      </c>
      <c r="B409">
        <v>0.51649999999999996</v>
      </c>
      <c r="C409">
        <v>35.966200000000001</v>
      </c>
      <c r="D409">
        <v>0</v>
      </c>
      <c r="E409">
        <v>1</v>
      </c>
      <c r="G409">
        <v>0.60840000000000005</v>
      </c>
      <c r="H409">
        <v>42.786799999999999</v>
      </c>
    </row>
    <row r="410" spans="1:8" x14ac:dyDescent="0.2">
      <c r="A410">
        <v>85.415000000000006</v>
      </c>
      <c r="B410">
        <v>0.5202</v>
      </c>
      <c r="C410">
        <v>36.102699999999999</v>
      </c>
      <c r="D410">
        <v>0</v>
      </c>
      <c r="E410">
        <v>1</v>
      </c>
      <c r="G410">
        <v>0.60870000000000002</v>
      </c>
      <c r="H410">
        <v>42.8262</v>
      </c>
    </row>
    <row r="411" spans="1:8" x14ac:dyDescent="0.2">
      <c r="A411">
        <v>85.665400000000005</v>
      </c>
      <c r="B411">
        <v>0.52070000000000005</v>
      </c>
      <c r="C411">
        <v>36.2241</v>
      </c>
      <c r="D411">
        <v>0</v>
      </c>
      <c r="E411">
        <v>1</v>
      </c>
      <c r="G411">
        <v>0.61109999999999998</v>
      </c>
      <c r="H411">
        <v>42.853000000000002</v>
      </c>
    </row>
    <row r="412" spans="1:8" x14ac:dyDescent="0.2">
      <c r="A412">
        <v>85.915899999999993</v>
      </c>
      <c r="B412">
        <v>0.52229999999999999</v>
      </c>
      <c r="C412">
        <v>36.335999999999999</v>
      </c>
      <c r="D412">
        <v>0</v>
      </c>
      <c r="E412">
        <v>1</v>
      </c>
      <c r="G412">
        <v>0.61360000000000003</v>
      </c>
      <c r="H412">
        <v>42.875799999999998</v>
      </c>
    </row>
    <row r="413" spans="1:8" x14ac:dyDescent="0.2">
      <c r="A413">
        <v>86.166399999999996</v>
      </c>
      <c r="B413">
        <v>0.52400000000000002</v>
      </c>
      <c r="C413">
        <v>36.443399999999997</v>
      </c>
      <c r="D413">
        <v>0</v>
      </c>
      <c r="E413">
        <v>1</v>
      </c>
      <c r="G413">
        <v>0.61419999999999997</v>
      </c>
      <c r="H413">
        <v>42.895299999999999</v>
      </c>
    </row>
    <row r="414" spans="1:8" x14ac:dyDescent="0.2">
      <c r="A414">
        <v>86.416899999999998</v>
      </c>
      <c r="B414">
        <v>0.52580000000000005</v>
      </c>
      <c r="C414">
        <v>36.530900000000003</v>
      </c>
      <c r="D414">
        <v>0</v>
      </c>
      <c r="E414">
        <v>1</v>
      </c>
      <c r="G414">
        <v>0.61560000000000004</v>
      </c>
      <c r="H414">
        <v>42.908299999999997</v>
      </c>
    </row>
    <row r="415" spans="1:8" x14ac:dyDescent="0.2">
      <c r="A415">
        <v>86.667400000000001</v>
      </c>
      <c r="B415">
        <v>0.52700000000000002</v>
      </c>
      <c r="C415">
        <v>36.624699999999997</v>
      </c>
      <c r="D415">
        <v>0</v>
      </c>
      <c r="E415">
        <v>1</v>
      </c>
      <c r="G415">
        <v>0.61799999999999999</v>
      </c>
      <c r="H415">
        <v>42.910400000000003</v>
      </c>
    </row>
    <row r="416" spans="1:8" x14ac:dyDescent="0.2">
      <c r="A416">
        <v>86.917900000000003</v>
      </c>
      <c r="B416">
        <v>0.52780000000000005</v>
      </c>
      <c r="C416">
        <v>36.696899999999999</v>
      </c>
      <c r="D416">
        <v>0</v>
      </c>
      <c r="E416">
        <v>1</v>
      </c>
      <c r="G416">
        <v>0.61729999999999996</v>
      </c>
      <c r="H416">
        <v>42.918999999999997</v>
      </c>
    </row>
    <row r="417" spans="1:8" x14ac:dyDescent="0.2">
      <c r="A417">
        <v>87.168300000000002</v>
      </c>
      <c r="B417">
        <v>0.53</v>
      </c>
      <c r="C417">
        <v>36.756700000000002</v>
      </c>
      <c r="D417">
        <v>0</v>
      </c>
      <c r="E417">
        <v>1</v>
      </c>
      <c r="G417">
        <v>0.61899999999999999</v>
      </c>
      <c r="H417">
        <v>42.926000000000002</v>
      </c>
    </row>
    <row r="418" spans="1:8" x14ac:dyDescent="0.2">
      <c r="A418">
        <v>87.418800000000005</v>
      </c>
      <c r="B418">
        <v>0.5333</v>
      </c>
      <c r="C418">
        <v>36.818199999999997</v>
      </c>
      <c r="D418">
        <v>0</v>
      </c>
      <c r="E418">
        <v>1</v>
      </c>
      <c r="G418">
        <v>0.62139999999999995</v>
      </c>
      <c r="H418">
        <v>42.929200000000002</v>
      </c>
    </row>
    <row r="419" spans="1:8" x14ac:dyDescent="0.2">
      <c r="A419">
        <v>87.669300000000007</v>
      </c>
      <c r="B419">
        <v>0.5343</v>
      </c>
      <c r="C419">
        <v>36.865299999999998</v>
      </c>
      <c r="D419">
        <v>0</v>
      </c>
      <c r="E419">
        <v>1</v>
      </c>
      <c r="G419">
        <v>0.62090000000000001</v>
      </c>
      <c r="H419">
        <v>42.929400000000001</v>
      </c>
    </row>
    <row r="420" spans="1:8" x14ac:dyDescent="0.2">
      <c r="A420">
        <v>87.919799999999995</v>
      </c>
      <c r="B420">
        <v>0.53659999999999997</v>
      </c>
      <c r="C420">
        <v>36.9069</v>
      </c>
      <c r="D420">
        <v>0</v>
      </c>
      <c r="E420">
        <v>1</v>
      </c>
      <c r="G420">
        <v>0.623</v>
      </c>
      <c r="H420">
        <v>42.941000000000003</v>
      </c>
    </row>
    <row r="421" spans="1:8" x14ac:dyDescent="0.2">
      <c r="A421">
        <v>88.170299999999997</v>
      </c>
      <c r="B421">
        <v>0.53810000000000002</v>
      </c>
      <c r="C421">
        <v>36.934100000000001</v>
      </c>
      <c r="D421">
        <v>0</v>
      </c>
      <c r="E421">
        <v>1</v>
      </c>
      <c r="G421">
        <v>0.62470000000000003</v>
      </c>
      <c r="H421">
        <v>42.948799999999999</v>
      </c>
    </row>
    <row r="422" spans="1:8" x14ac:dyDescent="0.2">
      <c r="A422">
        <v>88.4208</v>
      </c>
      <c r="B422">
        <v>0.53859999999999997</v>
      </c>
      <c r="C422">
        <v>36.960299999999997</v>
      </c>
      <c r="D422">
        <v>0</v>
      </c>
      <c r="E422">
        <v>1</v>
      </c>
      <c r="G422">
        <v>0.62560000000000004</v>
      </c>
      <c r="H422">
        <v>42.968899999999998</v>
      </c>
    </row>
    <row r="423" spans="1:8" x14ac:dyDescent="0.2">
      <c r="A423">
        <v>88.671199999999999</v>
      </c>
      <c r="B423">
        <v>0.54020000000000001</v>
      </c>
      <c r="C423">
        <v>36.9878</v>
      </c>
      <c r="D423">
        <v>0</v>
      </c>
      <c r="E423">
        <v>1</v>
      </c>
      <c r="G423">
        <v>0.62739999999999996</v>
      </c>
      <c r="H423">
        <v>42.991300000000003</v>
      </c>
    </row>
    <row r="424" spans="1:8" x14ac:dyDescent="0.2">
      <c r="A424">
        <v>88.921700000000001</v>
      </c>
      <c r="B424">
        <v>0.54049999999999998</v>
      </c>
      <c r="C424">
        <v>37.003900000000002</v>
      </c>
      <c r="D424">
        <v>0</v>
      </c>
      <c r="E424">
        <v>1</v>
      </c>
      <c r="G424">
        <v>0.62829999999999997</v>
      </c>
      <c r="H424">
        <v>43.014600000000002</v>
      </c>
    </row>
    <row r="425" spans="1:8" x14ac:dyDescent="0.2">
      <c r="A425">
        <v>89.172200000000004</v>
      </c>
      <c r="B425">
        <v>0.54149999999999998</v>
      </c>
      <c r="C425">
        <v>37.013800000000003</v>
      </c>
      <c r="D425">
        <v>0</v>
      </c>
      <c r="E425">
        <v>1</v>
      </c>
      <c r="G425">
        <v>0.63009999999999999</v>
      </c>
      <c r="H425">
        <v>43.062600000000003</v>
      </c>
    </row>
    <row r="426" spans="1:8" x14ac:dyDescent="0.2">
      <c r="A426">
        <v>89.422700000000006</v>
      </c>
      <c r="B426">
        <v>0.54220000000000002</v>
      </c>
      <c r="C426">
        <v>37.027700000000003</v>
      </c>
      <c r="D426">
        <v>0</v>
      </c>
      <c r="E426">
        <v>1</v>
      </c>
      <c r="G426">
        <v>0.63109999999999999</v>
      </c>
      <c r="H426">
        <v>43.097499999999997</v>
      </c>
    </row>
    <row r="427" spans="1:8" x14ac:dyDescent="0.2">
      <c r="A427">
        <v>89.673199999999994</v>
      </c>
      <c r="B427">
        <v>0.54430000000000001</v>
      </c>
      <c r="C427">
        <v>37.038800000000002</v>
      </c>
      <c r="D427">
        <v>0</v>
      </c>
      <c r="E427">
        <v>1</v>
      </c>
      <c r="G427">
        <v>0.63249999999999995</v>
      </c>
      <c r="H427">
        <v>43.148600000000002</v>
      </c>
    </row>
    <row r="428" spans="1:8" x14ac:dyDescent="0.2">
      <c r="A428">
        <v>89.923699999999997</v>
      </c>
      <c r="B428">
        <v>0.54559999999999997</v>
      </c>
      <c r="C428">
        <v>37.047400000000003</v>
      </c>
      <c r="D428">
        <v>0</v>
      </c>
      <c r="E428">
        <v>1</v>
      </c>
      <c r="G428">
        <v>0.63390000000000002</v>
      </c>
      <c r="H428">
        <v>43.220100000000002</v>
      </c>
    </row>
    <row r="429" spans="1:8" x14ac:dyDescent="0.2">
      <c r="A429">
        <v>90.174099999999996</v>
      </c>
      <c r="B429">
        <v>0.54579999999999995</v>
      </c>
      <c r="C429">
        <v>37.067999999999998</v>
      </c>
      <c r="D429">
        <v>0</v>
      </c>
      <c r="E429">
        <v>1</v>
      </c>
      <c r="G429">
        <v>0.6351</v>
      </c>
      <c r="H429">
        <v>43.281100000000002</v>
      </c>
    </row>
    <row r="430" spans="1:8" x14ac:dyDescent="0.2">
      <c r="A430">
        <v>90.424599999999998</v>
      </c>
      <c r="B430">
        <v>0.54779999999999995</v>
      </c>
      <c r="C430">
        <v>37.079799999999999</v>
      </c>
      <c r="D430">
        <v>0</v>
      </c>
      <c r="E430">
        <v>1</v>
      </c>
      <c r="G430">
        <v>0.63549999999999995</v>
      </c>
      <c r="H430">
        <v>43.374099999999999</v>
      </c>
    </row>
    <row r="431" spans="1:8" x14ac:dyDescent="0.2">
      <c r="A431">
        <v>90.6751</v>
      </c>
      <c r="B431">
        <v>0.54830000000000001</v>
      </c>
      <c r="C431">
        <v>37.096600000000002</v>
      </c>
      <c r="D431">
        <v>0</v>
      </c>
      <c r="E431">
        <v>1</v>
      </c>
      <c r="G431">
        <v>0.63700000000000001</v>
      </c>
      <c r="H431">
        <v>43.472299999999997</v>
      </c>
    </row>
    <row r="432" spans="1:8" x14ac:dyDescent="0.2">
      <c r="A432">
        <v>90.925600000000003</v>
      </c>
      <c r="B432">
        <v>0.54859999999999998</v>
      </c>
      <c r="C432">
        <v>37.130200000000002</v>
      </c>
      <c r="D432">
        <v>0</v>
      </c>
      <c r="E432">
        <v>1</v>
      </c>
      <c r="G432">
        <v>0.63819999999999999</v>
      </c>
      <c r="H432">
        <v>43.569400000000002</v>
      </c>
    </row>
    <row r="433" spans="1:8" x14ac:dyDescent="0.2">
      <c r="A433">
        <v>91.176100000000005</v>
      </c>
      <c r="B433">
        <v>0.54990000000000006</v>
      </c>
      <c r="C433">
        <v>37.152999999999999</v>
      </c>
      <c r="D433">
        <v>0</v>
      </c>
      <c r="E433">
        <v>1</v>
      </c>
      <c r="G433">
        <v>0.63949999999999996</v>
      </c>
      <c r="H433">
        <v>43.701700000000002</v>
      </c>
    </row>
    <row r="434" spans="1:8" x14ac:dyDescent="0.2">
      <c r="A434">
        <v>91.426599999999993</v>
      </c>
      <c r="B434">
        <v>0.55179999999999996</v>
      </c>
      <c r="C434">
        <v>37.188499999999998</v>
      </c>
      <c r="D434">
        <v>0</v>
      </c>
      <c r="E434">
        <v>1</v>
      </c>
      <c r="G434">
        <v>0.6401</v>
      </c>
      <c r="H434">
        <v>43.829500000000003</v>
      </c>
    </row>
    <row r="435" spans="1:8" x14ac:dyDescent="0.2">
      <c r="A435">
        <v>91.677099999999996</v>
      </c>
      <c r="B435">
        <v>0.55320000000000003</v>
      </c>
      <c r="C435">
        <v>37.2363</v>
      </c>
      <c r="D435">
        <v>0</v>
      </c>
      <c r="E435">
        <v>1</v>
      </c>
      <c r="G435">
        <v>0.64259999999999995</v>
      </c>
      <c r="H435">
        <v>43.964700000000001</v>
      </c>
    </row>
    <row r="436" spans="1:8" x14ac:dyDescent="0.2">
      <c r="A436">
        <v>91.927499999999995</v>
      </c>
      <c r="B436">
        <v>0.55389999999999995</v>
      </c>
      <c r="C436">
        <v>37.281999999999996</v>
      </c>
      <c r="D436">
        <v>0</v>
      </c>
      <c r="E436">
        <v>1</v>
      </c>
      <c r="G436">
        <v>0.64280000000000004</v>
      </c>
      <c r="H436">
        <v>44.121200000000002</v>
      </c>
    </row>
    <row r="437" spans="1:8" x14ac:dyDescent="0.2">
      <c r="A437">
        <v>92.177999999999997</v>
      </c>
      <c r="B437">
        <v>0.55559999999999998</v>
      </c>
      <c r="C437">
        <v>37.348500000000001</v>
      </c>
      <c r="D437">
        <v>0</v>
      </c>
      <c r="E437">
        <v>1</v>
      </c>
      <c r="G437">
        <v>0.6452</v>
      </c>
      <c r="H437">
        <v>44.268999999999998</v>
      </c>
    </row>
    <row r="438" spans="1:8" x14ac:dyDescent="0.2">
      <c r="A438">
        <v>92.4285</v>
      </c>
      <c r="B438">
        <v>0.55610000000000004</v>
      </c>
      <c r="C438">
        <v>37.4133</v>
      </c>
      <c r="D438">
        <v>0</v>
      </c>
      <c r="E438">
        <v>1</v>
      </c>
      <c r="G438">
        <v>0.64600000000000002</v>
      </c>
      <c r="H438">
        <v>44.453499999999998</v>
      </c>
    </row>
    <row r="439" spans="1:8" x14ac:dyDescent="0.2">
      <c r="A439">
        <v>92.679000000000002</v>
      </c>
      <c r="B439">
        <v>0.55840000000000001</v>
      </c>
      <c r="C439">
        <v>37.498199999999997</v>
      </c>
      <c r="D439">
        <v>0</v>
      </c>
      <c r="E439">
        <v>1</v>
      </c>
      <c r="G439">
        <v>0.64710000000000001</v>
      </c>
      <c r="H439">
        <v>44.628700000000002</v>
      </c>
    </row>
    <row r="440" spans="1:8" x14ac:dyDescent="0.2">
      <c r="A440">
        <v>92.929500000000004</v>
      </c>
      <c r="B440">
        <v>0.55969999999999998</v>
      </c>
      <c r="C440">
        <v>37.593499999999999</v>
      </c>
      <c r="D440">
        <v>0</v>
      </c>
      <c r="E440">
        <v>1</v>
      </c>
      <c r="G440">
        <v>0.64710000000000001</v>
      </c>
      <c r="H440">
        <v>44.818100000000001</v>
      </c>
    </row>
    <row r="441" spans="1:8" x14ac:dyDescent="0.2">
      <c r="A441">
        <v>93.18</v>
      </c>
      <c r="B441">
        <v>0.55930000000000002</v>
      </c>
      <c r="C441">
        <v>37.680700000000002</v>
      </c>
      <c r="D441">
        <v>0</v>
      </c>
      <c r="E441">
        <v>1</v>
      </c>
      <c r="G441">
        <v>0.64849999999999997</v>
      </c>
      <c r="H441">
        <v>45.0124</v>
      </c>
    </row>
    <row r="442" spans="1:8" x14ac:dyDescent="0.2">
      <c r="A442">
        <v>93.430400000000006</v>
      </c>
      <c r="B442">
        <v>0.56230000000000002</v>
      </c>
      <c r="C442">
        <v>37.802799999999998</v>
      </c>
      <c r="D442">
        <v>0</v>
      </c>
      <c r="E442">
        <v>1</v>
      </c>
      <c r="G442">
        <v>0.64890000000000003</v>
      </c>
      <c r="H442">
        <v>45.209800000000001</v>
      </c>
    </row>
    <row r="443" spans="1:8" x14ac:dyDescent="0.2">
      <c r="A443">
        <v>93.680899999999994</v>
      </c>
      <c r="B443">
        <v>0.56200000000000006</v>
      </c>
      <c r="C443">
        <v>37.930300000000003</v>
      </c>
      <c r="D443">
        <v>0</v>
      </c>
      <c r="E443">
        <v>1</v>
      </c>
      <c r="G443">
        <v>0.65190000000000003</v>
      </c>
      <c r="H443">
        <v>45.410400000000003</v>
      </c>
    </row>
    <row r="444" spans="1:8" x14ac:dyDescent="0.2">
      <c r="A444">
        <v>93.931399999999996</v>
      </c>
      <c r="B444">
        <v>0.56410000000000005</v>
      </c>
      <c r="C444">
        <v>38.060299999999998</v>
      </c>
      <c r="D444">
        <v>0</v>
      </c>
      <c r="E444">
        <v>1</v>
      </c>
      <c r="G444">
        <v>0.65200000000000002</v>
      </c>
      <c r="H444">
        <v>45.616500000000002</v>
      </c>
    </row>
    <row r="445" spans="1:8" x14ac:dyDescent="0.2">
      <c r="A445">
        <v>94.181899999999999</v>
      </c>
      <c r="B445">
        <v>0.56579999999999997</v>
      </c>
      <c r="C445">
        <v>38.206699999999998</v>
      </c>
      <c r="D445">
        <v>0</v>
      </c>
      <c r="E445">
        <v>1</v>
      </c>
      <c r="G445">
        <v>0.65359999999999996</v>
      </c>
      <c r="H445">
        <v>45.823999999999998</v>
      </c>
    </row>
    <row r="446" spans="1:8" x14ac:dyDescent="0.2">
      <c r="A446">
        <v>94.432400000000001</v>
      </c>
      <c r="B446">
        <v>0.56569999999999998</v>
      </c>
      <c r="C446">
        <v>38.360900000000001</v>
      </c>
      <c r="D446">
        <v>0</v>
      </c>
      <c r="E446">
        <v>1</v>
      </c>
      <c r="G446">
        <v>0.65469999999999995</v>
      </c>
      <c r="H446">
        <v>46.0304</v>
      </c>
    </row>
    <row r="447" spans="1:8" x14ac:dyDescent="0.2">
      <c r="A447">
        <v>94.682900000000004</v>
      </c>
      <c r="B447">
        <v>0.56720000000000004</v>
      </c>
      <c r="C447">
        <v>38.5229</v>
      </c>
      <c r="D447">
        <v>0</v>
      </c>
      <c r="E447">
        <v>1</v>
      </c>
      <c r="G447">
        <v>0.65569999999999995</v>
      </c>
      <c r="H447">
        <v>46.240400000000001</v>
      </c>
    </row>
    <row r="448" spans="1:8" x14ac:dyDescent="0.2">
      <c r="A448">
        <v>94.933300000000003</v>
      </c>
      <c r="B448">
        <v>0.56950000000000001</v>
      </c>
      <c r="C448">
        <v>38.691600000000001</v>
      </c>
      <c r="D448">
        <v>0</v>
      </c>
      <c r="E448">
        <v>1</v>
      </c>
      <c r="G448">
        <v>0.65800000000000003</v>
      </c>
      <c r="H448">
        <v>46.443199999999997</v>
      </c>
    </row>
    <row r="449" spans="1:8" x14ac:dyDescent="0.2">
      <c r="A449">
        <v>95.183800000000005</v>
      </c>
      <c r="B449">
        <v>0.57150000000000001</v>
      </c>
      <c r="C449">
        <v>38.858600000000003</v>
      </c>
      <c r="D449">
        <v>0</v>
      </c>
      <c r="E449">
        <v>1</v>
      </c>
      <c r="G449">
        <v>0.65969999999999995</v>
      </c>
      <c r="H449">
        <v>46.6494</v>
      </c>
    </row>
    <row r="450" spans="1:8" x14ac:dyDescent="0.2">
      <c r="A450">
        <v>95.434299999999993</v>
      </c>
      <c r="B450">
        <v>0.57289999999999996</v>
      </c>
      <c r="C450">
        <v>39.049599999999998</v>
      </c>
      <c r="D450">
        <v>0</v>
      </c>
      <c r="E450">
        <v>1</v>
      </c>
      <c r="G450">
        <v>0.66180000000000005</v>
      </c>
      <c r="H450">
        <v>46.847099999999998</v>
      </c>
    </row>
    <row r="451" spans="1:8" x14ac:dyDescent="0.2">
      <c r="A451">
        <v>95.684799999999996</v>
      </c>
      <c r="B451">
        <v>0.57299999999999995</v>
      </c>
      <c r="C451">
        <v>39.241999999999997</v>
      </c>
      <c r="D451">
        <v>0</v>
      </c>
      <c r="E451">
        <v>1</v>
      </c>
      <c r="G451">
        <v>0.66259999999999997</v>
      </c>
      <c r="H451">
        <v>47.037799999999997</v>
      </c>
    </row>
    <row r="452" spans="1:8" x14ac:dyDescent="0.2">
      <c r="A452">
        <v>95.935299999999998</v>
      </c>
      <c r="B452">
        <v>0.5746</v>
      </c>
      <c r="C452">
        <v>39.436799999999998</v>
      </c>
      <c r="D452">
        <v>0</v>
      </c>
      <c r="E452">
        <v>1</v>
      </c>
      <c r="G452">
        <v>0.66559999999999997</v>
      </c>
      <c r="H452">
        <v>47.217500000000001</v>
      </c>
    </row>
    <row r="453" spans="1:8" x14ac:dyDescent="0.2">
      <c r="A453">
        <v>96.1858</v>
      </c>
      <c r="B453">
        <v>0.57569999999999999</v>
      </c>
      <c r="C453">
        <v>39.633000000000003</v>
      </c>
      <c r="D453">
        <v>0</v>
      </c>
      <c r="E453">
        <v>1</v>
      </c>
      <c r="G453">
        <v>0.66739999999999999</v>
      </c>
      <c r="H453">
        <v>47.402299999999997</v>
      </c>
    </row>
    <row r="454" spans="1:8" x14ac:dyDescent="0.2">
      <c r="A454">
        <v>96.436199999999999</v>
      </c>
      <c r="B454">
        <v>0.57689999999999997</v>
      </c>
      <c r="C454">
        <v>39.829300000000003</v>
      </c>
      <c r="D454">
        <v>0</v>
      </c>
      <c r="E454">
        <v>1</v>
      </c>
      <c r="G454">
        <v>0.66800000000000004</v>
      </c>
      <c r="H454">
        <v>47.561799999999998</v>
      </c>
    </row>
    <row r="455" spans="1:8" x14ac:dyDescent="0.2">
      <c r="A455">
        <v>96.686700000000002</v>
      </c>
      <c r="B455">
        <v>0.57869999999999999</v>
      </c>
      <c r="C455">
        <v>40.026600000000002</v>
      </c>
      <c r="D455">
        <v>0</v>
      </c>
      <c r="E455">
        <v>1</v>
      </c>
      <c r="G455">
        <v>0.66930000000000001</v>
      </c>
      <c r="H455">
        <v>47.7301</v>
      </c>
    </row>
    <row r="456" spans="1:8" x14ac:dyDescent="0.2">
      <c r="A456">
        <v>96.937200000000004</v>
      </c>
      <c r="B456">
        <v>0.58120000000000005</v>
      </c>
      <c r="C456">
        <v>40.223599999999998</v>
      </c>
      <c r="D456">
        <v>0</v>
      </c>
      <c r="E456">
        <v>1</v>
      </c>
      <c r="G456">
        <v>0.6714</v>
      </c>
      <c r="H456">
        <v>47.875300000000003</v>
      </c>
    </row>
    <row r="457" spans="1:8" x14ac:dyDescent="0.2">
      <c r="A457">
        <v>97.187700000000007</v>
      </c>
      <c r="B457">
        <v>0.58230000000000004</v>
      </c>
      <c r="C457">
        <v>40.433799999999998</v>
      </c>
      <c r="D457">
        <v>0</v>
      </c>
      <c r="E457">
        <v>1</v>
      </c>
      <c r="G457">
        <v>0.67269999999999996</v>
      </c>
      <c r="H457">
        <v>48.011200000000002</v>
      </c>
    </row>
    <row r="458" spans="1:8" x14ac:dyDescent="0.2">
      <c r="A458">
        <v>97.438199999999995</v>
      </c>
      <c r="B458">
        <v>0.58260000000000001</v>
      </c>
      <c r="C458">
        <v>40.635899999999999</v>
      </c>
      <c r="D458">
        <v>0</v>
      </c>
      <c r="E458">
        <v>1</v>
      </c>
      <c r="G458">
        <v>0.67510000000000003</v>
      </c>
      <c r="H458">
        <v>48.146000000000001</v>
      </c>
    </row>
    <row r="459" spans="1:8" x14ac:dyDescent="0.2">
      <c r="A459">
        <v>97.688699999999997</v>
      </c>
      <c r="B459">
        <v>0.58450000000000002</v>
      </c>
      <c r="C459">
        <v>40.829500000000003</v>
      </c>
      <c r="D459">
        <v>0</v>
      </c>
      <c r="E459">
        <v>1</v>
      </c>
      <c r="G459">
        <v>0.67630000000000001</v>
      </c>
      <c r="H459">
        <v>48.250100000000003</v>
      </c>
    </row>
    <row r="460" spans="1:8" x14ac:dyDescent="0.2">
      <c r="A460">
        <v>97.939099999999996</v>
      </c>
      <c r="B460">
        <v>0.58560000000000001</v>
      </c>
      <c r="C460">
        <v>41.012900000000002</v>
      </c>
      <c r="D460">
        <v>0</v>
      </c>
      <c r="E460">
        <v>1</v>
      </c>
      <c r="G460">
        <v>0.67969999999999997</v>
      </c>
      <c r="H460">
        <v>48.362000000000002</v>
      </c>
    </row>
    <row r="461" spans="1:8" x14ac:dyDescent="0.2">
      <c r="A461">
        <v>98.189599999999999</v>
      </c>
      <c r="B461">
        <v>0.58630000000000004</v>
      </c>
      <c r="C461">
        <v>41.196599999999997</v>
      </c>
      <c r="D461">
        <v>0</v>
      </c>
      <c r="E461">
        <v>1</v>
      </c>
      <c r="G461">
        <v>0.68020000000000003</v>
      </c>
      <c r="H461">
        <v>48.453400000000002</v>
      </c>
    </row>
    <row r="462" spans="1:8" x14ac:dyDescent="0.2">
      <c r="A462">
        <v>98.440100000000001</v>
      </c>
      <c r="B462">
        <v>0.58940000000000003</v>
      </c>
      <c r="C462">
        <v>41.372100000000003</v>
      </c>
      <c r="D462">
        <v>0</v>
      </c>
      <c r="E462">
        <v>1</v>
      </c>
      <c r="G462">
        <v>0.68230000000000002</v>
      </c>
      <c r="H462">
        <v>48.527099999999997</v>
      </c>
    </row>
    <row r="463" spans="1:8" x14ac:dyDescent="0.2">
      <c r="A463">
        <v>98.690600000000003</v>
      </c>
      <c r="B463">
        <v>0.59030000000000005</v>
      </c>
      <c r="C463">
        <v>41.534399999999998</v>
      </c>
      <c r="D463">
        <v>0</v>
      </c>
      <c r="E463">
        <v>1</v>
      </c>
      <c r="G463">
        <v>0.68320000000000003</v>
      </c>
      <c r="H463">
        <v>48.604599999999998</v>
      </c>
    </row>
    <row r="464" spans="1:8" x14ac:dyDescent="0.2">
      <c r="A464">
        <v>98.941100000000006</v>
      </c>
      <c r="B464">
        <v>0.59299999999999997</v>
      </c>
      <c r="C464">
        <v>41.698700000000002</v>
      </c>
      <c r="D464">
        <v>0</v>
      </c>
      <c r="E464">
        <v>1</v>
      </c>
      <c r="G464">
        <v>0.68530000000000002</v>
      </c>
      <c r="H464">
        <v>48.654699999999998</v>
      </c>
    </row>
    <row r="465" spans="1:8" x14ac:dyDescent="0.2">
      <c r="A465">
        <v>99.191599999999994</v>
      </c>
      <c r="B465">
        <v>0.59319999999999995</v>
      </c>
      <c r="C465">
        <v>41.851300000000002</v>
      </c>
      <c r="D465">
        <v>0</v>
      </c>
      <c r="E465">
        <v>1</v>
      </c>
      <c r="G465">
        <v>0.68569999999999998</v>
      </c>
      <c r="H465">
        <v>48.705599999999997</v>
      </c>
    </row>
    <row r="466" spans="1:8" x14ac:dyDescent="0.2">
      <c r="A466">
        <v>99.441999999999993</v>
      </c>
      <c r="B466">
        <v>0.59550000000000003</v>
      </c>
      <c r="C466">
        <v>41.992199999999997</v>
      </c>
      <c r="D466">
        <v>0</v>
      </c>
      <c r="E466">
        <v>1</v>
      </c>
      <c r="G466">
        <v>0.68679999999999997</v>
      </c>
      <c r="H466">
        <v>48.7485</v>
      </c>
    </row>
    <row r="467" spans="1:8" x14ac:dyDescent="0.2">
      <c r="A467">
        <v>99.692499999999995</v>
      </c>
      <c r="B467">
        <v>0.59650000000000003</v>
      </c>
      <c r="C467">
        <v>42.128799999999998</v>
      </c>
      <c r="D467">
        <v>0</v>
      </c>
      <c r="E467">
        <v>1</v>
      </c>
      <c r="G467">
        <v>0.68789999999999996</v>
      </c>
      <c r="H467">
        <v>48.775399999999998</v>
      </c>
    </row>
    <row r="468" spans="1:8" x14ac:dyDescent="0.2">
      <c r="A468">
        <v>99.942999999999998</v>
      </c>
      <c r="B468">
        <v>0.5988</v>
      </c>
      <c r="C468">
        <v>42.242199999999997</v>
      </c>
      <c r="D468">
        <v>0</v>
      </c>
      <c r="E468">
        <v>1</v>
      </c>
      <c r="G468">
        <v>0.69</v>
      </c>
      <c r="H468">
        <v>48.7988</v>
      </c>
    </row>
    <row r="469" spans="1:8" x14ac:dyDescent="0.2">
      <c r="A469">
        <v>100.1935</v>
      </c>
      <c r="B469">
        <v>0.60040000000000004</v>
      </c>
      <c r="C469">
        <v>42.357700000000001</v>
      </c>
      <c r="D469">
        <v>0</v>
      </c>
      <c r="E469">
        <v>1</v>
      </c>
      <c r="G469">
        <v>0.69099999999999995</v>
      </c>
      <c r="H469">
        <v>48.807200000000002</v>
      </c>
    </row>
    <row r="470" spans="1:8" x14ac:dyDescent="0.2">
      <c r="A470">
        <v>100.444</v>
      </c>
      <c r="B470">
        <v>0.60129999999999995</v>
      </c>
      <c r="C470">
        <v>42.458399999999997</v>
      </c>
      <c r="D470">
        <v>0</v>
      </c>
      <c r="E470">
        <v>1</v>
      </c>
      <c r="G470">
        <v>0.69230000000000003</v>
      </c>
      <c r="H470">
        <v>48.816899999999997</v>
      </c>
    </row>
    <row r="471" spans="1:8" x14ac:dyDescent="0.2">
      <c r="A471">
        <v>100.69450000000001</v>
      </c>
      <c r="B471">
        <v>0.60319999999999996</v>
      </c>
      <c r="C471">
        <v>42.535899999999998</v>
      </c>
      <c r="D471">
        <v>0</v>
      </c>
      <c r="E471">
        <v>1</v>
      </c>
      <c r="G471">
        <v>0.69440000000000002</v>
      </c>
      <c r="H471">
        <v>48.824100000000001</v>
      </c>
    </row>
    <row r="472" spans="1:8" x14ac:dyDescent="0.2">
      <c r="A472">
        <v>100.94499999999999</v>
      </c>
      <c r="B472">
        <v>0.60360000000000003</v>
      </c>
      <c r="C472">
        <v>42.619</v>
      </c>
      <c r="D472">
        <v>0</v>
      </c>
      <c r="E472">
        <v>1</v>
      </c>
      <c r="G472">
        <v>0.69569999999999999</v>
      </c>
      <c r="H472">
        <v>48.824800000000003</v>
      </c>
    </row>
    <row r="473" spans="1:8" x14ac:dyDescent="0.2">
      <c r="A473">
        <v>101.19540000000001</v>
      </c>
      <c r="B473">
        <v>0.60619999999999996</v>
      </c>
      <c r="C473">
        <v>42.682200000000002</v>
      </c>
      <c r="D473">
        <v>0</v>
      </c>
      <c r="E473">
        <v>1</v>
      </c>
      <c r="G473">
        <v>0.69810000000000005</v>
      </c>
      <c r="H473">
        <v>48.820700000000002</v>
      </c>
    </row>
    <row r="474" spans="1:8" x14ac:dyDescent="0.2">
      <c r="A474">
        <v>101.44589999999999</v>
      </c>
      <c r="B474">
        <v>0.6069</v>
      </c>
      <c r="C474">
        <v>42.740299999999998</v>
      </c>
      <c r="D474">
        <v>0</v>
      </c>
      <c r="E474">
        <v>1</v>
      </c>
      <c r="G474">
        <v>0.69830000000000003</v>
      </c>
      <c r="H474">
        <v>48.814700000000002</v>
      </c>
    </row>
    <row r="475" spans="1:8" x14ac:dyDescent="0.2">
      <c r="A475">
        <v>101.6964</v>
      </c>
      <c r="B475">
        <v>0.60840000000000005</v>
      </c>
      <c r="C475">
        <v>42.786799999999999</v>
      </c>
      <c r="D475">
        <v>0</v>
      </c>
      <c r="E475">
        <v>1</v>
      </c>
      <c r="G475">
        <v>0.69940000000000002</v>
      </c>
      <c r="H475">
        <v>48.8125</v>
      </c>
    </row>
    <row r="476" spans="1:8" x14ac:dyDescent="0.2">
      <c r="A476">
        <v>101.9469</v>
      </c>
      <c r="B476">
        <v>0.60870000000000002</v>
      </c>
      <c r="C476">
        <v>42.8262</v>
      </c>
      <c r="D476">
        <v>0</v>
      </c>
      <c r="E476">
        <v>1</v>
      </c>
      <c r="G476">
        <v>0.70020000000000004</v>
      </c>
      <c r="H476">
        <v>48.8125</v>
      </c>
    </row>
    <row r="477" spans="1:8" x14ac:dyDescent="0.2">
      <c r="A477">
        <v>102.1974</v>
      </c>
      <c r="B477">
        <v>0.61109999999999998</v>
      </c>
      <c r="C477">
        <v>42.853000000000002</v>
      </c>
      <c r="D477">
        <v>0</v>
      </c>
      <c r="E477">
        <v>1</v>
      </c>
      <c r="G477">
        <v>0.70179999999999998</v>
      </c>
      <c r="H477">
        <v>48.817599999999999</v>
      </c>
    </row>
    <row r="478" spans="1:8" x14ac:dyDescent="0.2">
      <c r="A478">
        <v>102.4479</v>
      </c>
      <c r="B478">
        <v>0.61360000000000003</v>
      </c>
      <c r="C478">
        <v>42.875799999999998</v>
      </c>
      <c r="D478">
        <v>0</v>
      </c>
      <c r="E478">
        <v>1</v>
      </c>
      <c r="G478">
        <v>0.70269999999999999</v>
      </c>
      <c r="H478">
        <v>48.821100000000001</v>
      </c>
    </row>
    <row r="479" spans="1:8" x14ac:dyDescent="0.2">
      <c r="A479">
        <v>102.6983</v>
      </c>
      <c r="B479">
        <v>0.61419999999999997</v>
      </c>
      <c r="C479">
        <v>42.895299999999999</v>
      </c>
      <c r="D479">
        <v>0</v>
      </c>
      <c r="E479">
        <v>1</v>
      </c>
      <c r="G479">
        <v>0.70409999999999995</v>
      </c>
      <c r="H479">
        <v>48.836199999999998</v>
      </c>
    </row>
    <row r="480" spans="1:8" x14ac:dyDescent="0.2">
      <c r="A480">
        <v>102.94880000000001</v>
      </c>
      <c r="B480">
        <v>0.61560000000000004</v>
      </c>
      <c r="C480">
        <v>42.908299999999997</v>
      </c>
      <c r="D480">
        <v>0</v>
      </c>
      <c r="E480">
        <v>1</v>
      </c>
      <c r="G480">
        <v>0.70550000000000002</v>
      </c>
      <c r="H480">
        <v>48.8538</v>
      </c>
    </row>
    <row r="481" spans="1:8" x14ac:dyDescent="0.2">
      <c r="A481">
        <v>103.19929999999999</v>
      </c>
      <c r="B481">
        <v>0.61799999999999999</v>
      </c>
      <c r="C481">
        <v>42.910400000000003</v>
      </c>
      <c r="D481">
        <v>0</v>
      </c>
      <c r="E481">
        <v>1</v>
      </c>
      <c r="G481">
        <v>0.70709999999999995</v>
      </c>
      <c r="H481">
        <v>48.873800000000003</v>
      </c>
    </row>
    <row r="482" spans="1:8" x14ac:dyDescent="0.2">
      <c r="A482">
        <v>103.4498</v>
      </c>
      <c r="B482">
        <v>0.61729999999999996</v>
      </c>
      <c r="C482">
        <v>42.918999999999997</v>
      </c>
      <c r="D482">
        <v>0</v>
      </c>
      <c r="E482">
        <v>1</v>
      </c>
      <c r="G482">
        <v>0.70789999999999997</v>
      </c>
      <c r="H482">
        <v>48.924500000000002</v>
      </c>
    </row>
    <row r="483" spans="1:8" x14ac:dyDescent="0.2">
      <c r="A483">
        <v>103.7003</v>
      </c>
      <c r="B483">
        <v>0.61899999999999999</v>
      </c>
      <c r="C483">
        <v>42.926000000000002</v>
      </c>
      <c r="D483">
        <v>0</v>
      </c>
      <c r="E483">
        <v>1</v>
      </c>
      <c r="G483">
        <v>0.7077</v>
      </c>
      <c r="H483">
        <v>48.966200000000001</v>
      </c>
    </row>
    <row r="484" spans="1:8" x14ac:dyDescent="0.2">
      <c r="A484">
        <v>103.9508</v>
      </c>
      <c r="B484">
        <v>0.62139999999999995</v>
      </c>
      <c r="C484">
        <v>42.929200000000002</v>
      </c>
      <c r="D484">
        <v>0</v>
      </c>
      <c r="E484">
        <v>1</v>
      </c>
      <c r="G484">
        <v>0.71130000000000004</v>
      </c>
      <c r="H484">
        <v>49.9255</v>
      </c>
    </row>
    <row r="485" spans="1:8" x14ac:dyDescent="0.2">
      <c r="A485">
        <v>104.2012</v>
      </c>
      <c r="B485">
        <v>0.62090000000000001</v>
      </c>
      <c r="C485">
        <v>42.929400000000001</v>
      </c>
      <c r="D485">
        <v>0</v>
      </c>
      <c r="E485">
        <v>1</v>
      </c>
      <c r="G485">
        <v>0.71250000000000002</v>
      </c>
      <c r="H485">
        <v>49.982999999999997</v>
      </c>
    </row>
    <row r="486" spans="1:8" x14ac:dyDescent="0.2">
      <c r="A486">
        <v>104.4517</v>
      </c>
      <c r="B486">
        <v>0.623</v>
      </c>
      <c r="C486">
        <v>42.941000000000003</v>
      </c>
      <c r="D486">
        <v>0</v>
      </c>
      <c r="E486">
        <v>1</v>
      </c>
      <c r="G486">
        <v>0.71230000000000004</v>
      </c>
      <c r="H486">
        <v>49.987699999999997</v>
      </c>
    </row>
    <row r="487" spans="1:8" x14ac:dyDescent="0.2">
      <c r="A487">
        <v>104.7022</v>
      </c>
      <c r="B487">
        <v>0.62470000000000003</v>
      </c>
      <c r="C487">
        <v>42.948799999999999</v>
      </c>
      <c r="D487">
        <v>0</v>
      </c>
      <c r="E487">
        <v>1</v>
      </c>
      <c r="G487">
        <v>0.71279999999999999</v>
      </c>
      <c r="H487">
        <v>49.987000000000002</v>
      </c>
    </row>
    <row r="488" spans="1:8" x14ac:dyDescent="0.2">
      <c r="A488">
        <v>104.95269999999999</v>
      </c>
      <c r="B488">
        <v>0.62560000000000004</v>
      </c>
      <c r="C488">
        <v>42.968899999999998</v>
      </c>
      <c r="D488">
        <v>0</v>
      </c>
      <c r="E488">
        <v>1</v>
      </c>
      <c r="G488">
        <v>0.71319999999999995</v>
      </c>
      <c r="H488">
        <v>49.989600000000003</v>
      </c>
    </row>
    <row r="489" spans="1:8" x14ac:dyDescent="0.2">
      <c r="A489">
        <v>105.2032</v>
      </c>
      <c r="B489">
        <v>0.62739999999999996</v>
      </c>
      <c r="C489">
        <v>42.991300000000003</v>
      </c>
      <c r="D489">
        <v>0</v>
      </c>
      <c r="E489">
        <v>1</v>
      </c>
      <c r="G489">
        <v>0.71350000000000002</v>
      </c>
      <c r="H489">
        <v>49.9861</v>
      </c>
    </row>
    <row r="490" spans="1:8" x14ac:dyDescent="0.2">
      <c r="A490">
        <v>105.4537</v>
      </c>
      <c r="B490">
        <v>0.62829999999999997</v>
      </c>
      <c r="C490">
        <v>43.014600000000002</v>
      </c>
      <c r="D490">
        <v>0</v>
      </c>
      <c r="E490">
        <v>1</v>
      </c>
      <c r="G490">
        <v>0.71389999999999998</v>
      </c>
      <c r="H490">
        <v>49.985599999999998</v>
      </c>
    </row>
    <row r="491" spans="1:8" x14ac:dyDescent="0.2">
      <c r="A491">
        <v>105.7041</v>
      </c>
      <c r="B491">
        <v>0.63009999999999999</v>
      </c>
      <c r="C491">
        <v>43.062600000000003</v>
      </c>
      <c r="D491">
        <v>0</v>
      </c>
      <c r="E491">
        <v>1</v>
      </c>
      <c r="G491">
        <v>0.71489999999999998</v>
      </c>
      <c r="H491">
        <v>49.989699999999999</v>
      </c>
    </row>
    <row r="492" spans="1:8" x14ac:dyDescent="0.2">
      <c r="A492">
        <v>105.9546</v>
      </c>
      <c r="B492">
        <v>0.63109999999999999</v>
      </c>
      <c r="C492">
        <v>43.097499999999997</v>
      </c>
      <c r="D492">
        <v>0</v>
      </c>
      <c r="E492">
        <v>1</v>
      </c>
      <c r="G492">
        <v>0.71379999999999999</v>
      </c>
      <c r="H492">
        <v>49.986699999999999</v>
      </c>
    </row>
    <row r="493" spans="1:8" x14ac:dyDescent="0.2">
      <c r="A493">
        <v>106.2051</v>
      </c>
      <c r="B493">
        <v>0.63249999999999995</v>
      </c>
      <c r="C493">
        <v>43.148600000000002</v>
      </c>
      <c r="D493">
        <v>0</v>
      </c>
      <c r="E493">
        <v>1</v>
      </c>
      <c r="G493">
        <v>0.7177</v>
      </c>
      <c r="H493">
        <v>49.984000000000002</v>
      </c>
    </row>
    <row r="494" spans="1:8" x14ac:dyDescent="0.2">
      <c r="A494">
        <v>106.4556</v>
      </c>
      <c r="B494">
        <v>0.63390000000000002</v>
      </c>
      <c r="C494">
        <v>43.220100000000002</v>
      </c>
      <c r="D494">
        <v>0</v>
      </c>
      <c r="E494">
        <v>1</v>
      </c>
      <c r="G494">
        <v>0.71860000000000002</v>
      </c>
      <c r="H494">
        <v>49.983699999999999</v>
      </c>
    </row>
    <row r="495" spans="1:8" x14ac:dyDescent="0.2">
      <c r="A495">
        <v>106.70610000000001</v>
      </c>
      <c r="B495">
        <v>0.6351</v>
      </c>
      <c r="C495">
        <v>43.281100000000002</v>
      </c>
      <c r="D495">
        <v>0</v>
      </c>
      <c r="E495">
        <v>1</v>
      </c>
      <c r="G495">
        <v>0.71899999999999997</v>
      </c>
      <c r="H495">
        <v>49.988999999999997</v>
      </c>
    </row>
    <row r="496" spans="1:8" x14ac:dyDescent="0.2">
      <c r="A496">
        <v>106.95659999999999</v>
      </c>
      <c r="B496">
        <v>0.63549999999999995</v>
      </c>
      <c r="C496">
        <v>43.374099999999999</v>
      </c>
      <c r="D496">
        <v>0</v>
      </c>
      <c r="E496">
        <v>1</v>
      </c>
      <c r="G496">
        <v>0.71950000000000003</v>
      </c>
      <c r="H496">
        <v>49.993200000000002</v>
      </c>
    </row>
    <row r="497" spans="1:8" x14ac:dyDescent="0.2">
      <c r="A497">
        <v>107.20699999999999</v>
      </c>
      <c r="B497">
        <v>0.63700000000000001</v>
      </c>
      <c r="C497">
        <v>43.472299999999997</v>
      </c>
      <c r="D497">
        <v>0</v>
      </c>
      <c r="E497">
        <v>1</v>
      </c>
      <c r="G497">
        <v>0.72060000000000002</v>
      </c>
      <c r="H497">
        <v>49.989199999999997</v>
      </c>
    </row>
    <row r="498" spans="1:8" x14ac:dyDescent="0.2">
      <c r="A498">
        <v>107.4575</v>
      </c>
      <c r="B498">
        <v>0.63819999999999999</v>
      </c>
      <c r="C498">
        <v>43.569400000000002</v>
      </c>
      <c r="D498">
        <v>0</v>
      </c>
      <c r="E498">
        <v>1</v>
      </c>
      <c r="G498">
        <v>0.72150000000000003</v>
      </c>
      <c r="H498">
        <v>49.988599999999998</v>
      </c>
    </row>
    <row r="499" spans="1:8" x14ac:dyDescent="0.2">
      <c r="A499">
        <v>107.708</v>
      </c>
      <c r="B499">
        <v>0.63949999999999996</v>
      </c>
      <c r="C499">
        <v>43.701700000000002</v>
      </c>
      <c r="D499">
        <v>0</v>
      </c>
      <c r="E499">
        <v>1</v>
      </c>
      <c r="G499">
        <v>0.72099999999999997</v>
      </c>
      <c r="H499">
        <v>49.989400000000003</v>
      </c>
    </row>
    <row r="500" spans="1:8" x14ac:dyDescent="0.2">
      <c r="A500">
        <v>107.9585</v>
      </c>
      <c r="B500">
        <v>0.6401</v>
      </c>
      <c r="C500">
        <v>43.829500000000003</v>
      </c>
      <c r="D500">
        <v>0</v>
      </c>
      <c r="E500">
        <v>1</v>
      </c>
      <c r="G500">
        <v>0.72209999999999996</v>
      </c>
      <c r="H500">
        <v>49.9863</v>
      </c>
    </row>
    <row r="501" spans="1:8" x14ac:dyDescent="0.2">
      <c r="A501">
        <v>108.209</v>
      </c>
      <c r="B501">
        <v>0.64259999999999995</v>
      </c>
      <c r="C501">
        <v>43.964700000000001</v>
      </c>
      <c r="D501">
        <v>0</v>
      </c>
      <c r="E501">
        <v>1</v>
      </c>
      <c r="G501">
        <v>0.72209999999999996</v>
      </c>
      <c r="H501">
        <v>49.9876</v>
      </c>
    </row>
    <row r="502" spans="1:8" x14ac:dyDescent="0.2">
      <c r="A502">
        <v>108.45950000000001</v>
      </c>
      <c r="B502">
        <v>0.64280000000000004</v>
      </c>
      <c r="C502">
        <v>44.121200000000002</v>
      </c>
      <c r="D502">
        <v>0</v>
      </c>
      <c r="E502">
        <v>1</v>
      </c>
      <c r="G502">
        <v>0.72119999999999995</v>
      </c>
      <c r="H502">
        <v>49.986899999999999</v>
      </c>
    </row>
    <row r="503" spans="1:8" x14ac:dyDescent="0.2">
      <c r="A503">
        <v>108.7099</v>
      </c>
      <c r="B503">
        <v>0.6452</v>
      </c>
      <c r="C503">
        <v>44.268999999999998</v>
      </c>
      <c r="D503">
        <v>0</v>
      </c>
      <c r="E503">
        <v>1</v>
      </c>
      <c r="G503">
        <v>0.72260000000000002</v>
      </c>
      <c r="H503">
        <v>49.989699999999999</v>
      </c>
    </row>
    <row r="504" spans="1:8" x14ac:dyDescent="0.2">
      <c r="A504">
        <v>108.96040000000001</v>
      </c>
      <c r="B504">
        <v>0.64600000000000002</v>
      </c>
      <c r="C504">
        <v>44.453499999999998</v>
      </c>
      <c r="D504">
        <v>0</v>
      </c>
      <c r="E504">
        <v>1</v>
      </c>
      <c r="G504">
        <v>0.72260000000000002</v>
      </c>
      <c r="H504">
        <v>49.989899999999999</v>
      </c>
    </row>
    <row r="505" spans="1:8" x14ac:dyDescent="0.2">
      <c r="A505">
        <v>109.2109</v>
      </c>
      <c r="B505">
        <v>0.64710000000000001</v>
      </c>
      <c r="C505">
        <v>44.628700000000002</v>
      </c>
      <c r="D505">
        <v>0</v>
      </c>
      <c r="E505">
        <v>1</v>
      </c>
      <c r="G505">
        <v>0.7228</v>
      </c>
      <c r="H505">
        <v>49.9925</v>
      </c>
    </row>
    <row r="506" spans="1:8" x14ac:dyDescent="0.2">
      <c r="A506">
        <v>109.4614</v>
      </c>
      <c r="B506">
        <v>0.64710000000000001</v>
      </c>
      <c r="C506">
        <v>44.818100000000001</v>
      </c>
      <c r="D506">
        <v>0</v>
      </c>
      <c r="E506">
        <v>1</v>
      </c>
      <c r="G506">
        <v>0.72270000000000001</v>
      </c>
      <c r="H506">
        <v>49.990099999999998</v>
      </c>
    </row>
    <row r="507" spans="1:8" x14ac:dyDescent="0.2">
      <c r="A507">
        <v>109.7119</v>
      </c>
      <c r="B507">
        <v>0.64849999999999997</v>
      </c>
      <c r="C507">
        <v>45.0124</v>
      </c>
      <c r="D507">
        <v>0</v>
      </c>
      <c r="E507">
        <v>1</v>
      </c>
      <c r="G507">
        <v>0.7238</v>
      </c>
      <c r="H507">
        <v>49.990499999999997</v>
      </c>
    </row>
    <row r="508" spans="1:8" x14ac:dyDescent="0.2">
      <c r="A508">
        <v>109.9624</v>
      </c>
      <c r="B508">
        <v>0.64890000000000003</v>
      </c>
      <c r="C508">
        <v>45.209800000000001</v>
      </c>
      <c r="D508">
        <v>0</v>
      </c>
      <c r="E508">
        <v>1</v>
      </c>
      <c r="G508">
        <v>0.72389999999999999</v>
      </c>
      <c r="H508">
        <v>49.984400000000001</v>
      </c>
    </row>
    <row r="509" spans="1:8" x14ac:dyDescent="0.2">
      <c r="A509">
        <v>110.2129</v>
      </c>
      <c r="B509">
        <v>0.65190000000000003</v>
      </c>
      <c r="C509">
        <v>45.410400000000003</v>
      </c>
      <c r="D509">
        <v>0</v>
      </c>
      <c r="E509">
        <v>1</v>
      </c>
      <c r="G509">
        <v>0.72409999999999997</v>
      </c>
      <c r="H509">
        <v>49.983899999999998</v>
      </c>
    </row>
    <row r="510" spans="1:8" x14ac:dyDescent="0.2">
      <c r="A510">
        <v>110.4633</v>
      </c>
      <c r="B510">
        <v>0.65200000000000002</v>
      </c>
      <c r="C510">
        <v>45.616500000000002</v>
      </c>
      <c r="D510">
        <v>0</v>
      </c>
      <c r="E510">
        <v>1</v>
      </c>
      <c r="G510">
        <v>0.72450000000000003</v>
      </c>
      <c r="H510">
        <v>49.989199999999997</v>
      </c>
    </row>
    <row r="511" spans="1:8" x14ac:dyDescent="0.2">
      <c r="A511">
        <v>110.71380000000001</v>
      </c>
      <c r="B511">
        <v>0.65359999999999996</v>
      </c>
      <c r="C511">
        <v>45.823999999999998</v>
      </c>
      <c r="D511">
        <v>0</v>
      </c>
      <c r="E511">
        <v>1</v>
      </c>
      <c r="G511">
        <v>0.72330000000000005</v>
      </c>
      <c r="H511">
        <v>49.9893</v>
      </c>
    </row>
    <row r="512" spans="1:8" x14ac:dyDescent="0.2">
      <c r="A512">
        <v>110.96429999999999</v>
      </c>
      <c r="B512">
        <v>0.65469999999999995</v>
      </c>
      <c r="C512">
        <v>46.0304</v>
      </c>
      <c r="D512">
        <v>0</v>
      </c>
      <c r="E512">
        <v>1</v>
      </c>
      <c r="G512">
        <v>0.72489999999999999</v>
      </c>
      <c r="H512">
        <v>49.987699999999997</v>
      </c>
    </row>
    <row r="513" spans="1:8" x14ac:dyDescent="0.2">
      <c r="A513">
        <v>111.2148</v>
      </c>
      <c r="B513">
        <v>0.65569999999999995</v>
      </c>
      <c r="C513">
        <v>46.240400000000001</v>
      </c>
      <c r="D513">
        <v>0</v>
      </c>
      <c r="E513">
        <v>1</v>
      </c>
      <c r="G513">
        <v>0.72499999999999998</v>
      </c>
      <c r="H513">
        <v>49.991900000000001</v>
      </c>
    </row>
    <row r="514" spans="1:8" x14ac:dyDescent="0.2">
      <c r="A514">
        <v>111.4653</v>
      </c>
      <c r="B514">
        <v>0.65800000000000003</v>
      </c>
      <c r="C514">
        <v>46.443199999999997</v>
      </c>
      <c r="D514">
        <v>0</v>
      </c>
      <c r="E514">
        <v>1</v>
      </c>
      <c r="G514">
        <v>0.72489999999999999</v>
      </c>
      <c r="H514">
        <v>49.987299999999998</v>
      </c>
    </row>
    <row r="515" spans="1:8" x14ac:dyDescent="0.2">
      <c r="A515">
        <v>111.7158</v>
      </c>
      <c r="B515">
        <v>0.65969999999999995</v>
      </c>
      <c r="C515">
        <v>46.6494</v>
      </c>
      <c r="D515">
        <v>0</v>
      </c>
      <c r="E515">
        <v>1</v>
      </c>
      <c r="G515">
        <v>0.7248</v>
      </c>
      <c r="H515">
        <v>49.991</v>
      </c>
    </row>
    <row r="516" spans="1:8" x14ac:dyDescent="0.2">
      <c r="A516">
        <v>111.9662</v>
      </c>
      <c r="B516">
        <v>0.66180000000000005</v>
      </c>
      <c r="C516">
        <v>46.847099999999998</v>
      </c>
      <c r="D516">
        <v>0</v>
      </c>
      <c r="E516">
        <v>1</v>
      </c>
      <c r="G516">
        <v>0.72660000000000002</v>
      </c>
      <c r="H516">
        <v>49.986199999999997</v>
      </c>
    </row>
    <row r="517" spans="1:8" x14ac:dyDescent="0.2">
      <c r="A517">
        <v>112.2167</v>
      </c>
      <c r="B517">
        <v>0.66259999999999997</v>
      </c>
      <c r="C517">
        <v>47.037799999999997</v>
      </c>
      <c r="D517">
        <v>0</v>
      </c>
      <c r="E517">
        <v>1</v>
      </c>
      <c r="G517">
        <v>0.72509999999999997</v>
      </c>
      <c r="H517">
        <v>49.988300000000002</v>
      </c>
    </row>
    <row r="518" spans="1:8" x14ac:dyDescent="0.2">
      <c r="A518">
        <v>112.46720000000001</v>
      </c>
      <c r="B518">
        <v>0.66559999999999997</v>
      </c>
      <c r="C518">
        <v>47.217500000000001</v>
      </c>
      <c r="D518">
        <v>0</v>
      </c>
      <c r="E518">
        <v>1</v>
      </c>
      <c r="G518">
        <v>0.72629999999999995</v>
      </c>
      <c r="H518">
        <v>49.987000000000002</v>
      </c>
    </row>
    <row r="519" spans="1:8" x14ac:dyDescent="0.2">
      <c r="A519">
        <v>112.71769999999999</v>
      </c>
      <c r="B519">
        <v>0.66739999999999999</v>
      </c>
      <c r="C519">
        <v>47.402299999999997</v>
      </c>
      <c r="D519">
        <v>0</v>
      </c>
      <c r="E519">
        <v>1</v>
      </c>
      <c r="G519">
        <v>0.72660000000000002</v>
      </c>
      <c r="H519">
        <v>49.988199999999999</v>
      </c>
    </row>
    <row r="520" spans="1:8" x14ac:dyDescent="0.2">
      <c r="A520">
        <v>112.9682</v>
      </c>
      <c r="B520">
        <v>0.66800000000000004</v>
      </c>
      <c r="C520">
        <v>47.561799999999998</v>
      </c>
      <c r="D520">
        <v>0</v>
      </c>
      <c r="E520">
        <v>1</v>
      </c>
      <c r="G520">
        <v>0.72550000000000003</v>
      </c>
      <c r="H520">
        <v>49.988700000000001</v>
      </c>
    </row>
    <row r="521" spans="1:8" x14ac:dyDescent="0.2">
      <c r="A521">
        <v>113.2187</v>
      </c>
      <c r="B521">
        <v>0.66930000000000001</v>
      </c>
      <c r="C521">
        <v>47.7301</v>
      </c>
      <c r="D521">
        <v>0</v>
      </c>
      <c r="E521">
        <v>1</v>
      </c>
      <c r="G521">
        <v>0.72619999999999996</v>
      </c>
      <c r="H521">
        <v>49.988799999999998</v>
      </c>
    </row>
    <row r="522" spans="1:8" x14ac:dyDescent="0.2">
      <c r="A522">
        <v>113.4691</v>
      </c>
      <c r="B522">
        <v>0.6714</v>
      </c>
      <c r="C522">
        <v>47.875300000000003</v>
      </c>
      <c r="D522">
        <v>0</v>
      </c>
      <c r="E522">
        <v>1</v>
      </c>
      <c r="G522">
        <v>0.72750000000000004</v>
      </c>
      <c r="H522">
        <v>49.986600000000003</v>
      </c>
    </row>
    <row r="523" spans="1:8" x14ac:dyDescent="0.2">
      <c r="A523">
        <v>113.7196</v>
      </c>
      <c r="B523">
        <v>0.67269999999999996</v>
      </c>
      <c r="C523">
        <v>48.011200000000002</v>
      </c>
      <c r="D523">
        <v>0</v>
      </c>
      <c r="E523">
        <v>1</v>
      </c>
      <c r="G523">
        <v>0.72619999999999996</v>
      </c>
      <c r="H523">
        <v>49.990200000000002</v>
      </c>
    </row>
    <row r="524" spans="1:8" x14ac:dyDescent="0.2">
      <c r="A524">
        <v>113.9701</v>
      </c>
      <c r="B524">
        <v>0.67510000000000003</v>
      </c>
      <c r="C524">
        <v>48.146000000000001</v>
      </c>
      <c r="D524">
        <v>0</v>
      </c>
      <c r="E524">
        <v>1</v>
      </c>
      <c r="G524">
        <v>0.72719999999999996</v>
      </c>
      <c r="H524">
        <v>49.990400000000001</v>
      </c>
    </row>
    <row r="525" spans="1:8" x14ac:dyDescent="0.2">
      <c r="A525">
        <v>114.2206</v>
      </c>
      <c r="B525">
        <v>0.67630000000000001</v>
      </c>
      <c r="C525">
        <v>48.250100000000003</v>
      </c>
      <c r="D525">
        <v>0</v>
      </c>
      <c r="E525">
        <v>1</v>
      </c>
      <c r="G525">
        <v>0.72599999999999998</v>
      </c>
      <c r="H525">
        <v>49.896099999999997</v>
      </c>
    </row>
    <row r="526" spans="1:8" x14ac:dyDescent="0.2">
      <c r="A526">
        <v>114.47110000000001</v>
      </c>
      <c r="B526">
        <v>0.67969999999999997</v>
      </c>
      <c r="C526">
        <v>48.362000000000002</v>
      </c>
      <c r="D526">
        <v>0</v>
      </c>
      <c r="E526">
        <v>1</v>
      </c>
      <c r="G526">
        <v>0.72660000000000002</v>
      </c>
      <c r="H526">
        <v>49.794600000000003</v>
      </c>
    </row>
    <row r="527" spans="1:8" x14ac:dyDescent="0.2">
      <c r="A527">
        <v>114.7216</v>
      </c>
      <c r="B527">
        <v>0.68020000000000003</v>
      </c>
      <c r="C527">
        <v>48.453400000000002</v>
      </c>
      <c r="D527">
        <v>0</v>
      </c>
      <c r="E527">
        <v>1</v>
      </c>
      <c r="G527">
        <v>0.72599999999999998</v>
      </c>
      <c r="H527">
        <v>49.689399999999999</v>
      </c>
    </row>
    <row r="528" spans="1:8" x14ac:dyDescent="0.2">
      <c r="A528">
        <v>114.97199999999999</v>
      </c>
      <c r="B528">
        <v>0.68230000000000002</v>
      </c>
      <c r="C528">
        <v>48.527099999999997</v>
      </c>
      <c r="D528">
        <v>0</v>
      </c>
      <c r="E528">
        <v>1</v>
      </c>
      <c r="G528">
        <v>0.72689999999999999</v>
      </c>
      <c r="H528">
        <v>49.581299999999999</v>
      </c>
    </row>
    <row r="529" spans="1:8" x14ac:dyDescent="0.2">
      <c r="A529">
        <v>115.2225</v>
      </c>
      <c r="B529">
        <v>0.68320000000000003</v>
      </c>
      <c r="C529">
        <v>48.604599999999998</v>
      </c>
      <c r="D529">
        <v>0</v>
      </c>
      <c r="E529">
        <v>1</v>
      </c>
      <c r="G529">
        <v>0.72529999999999994</v>
      </c>
      <c r="H529">
        <v>49.482199999999999</v>
      </c>
    </row>
    <row r="530" spans="1:8" x14ac:dyDescent="0.2">
      <c r="A530">
        <v>115.473</v>
      </c>
      <c r="B530">
        <v>0.68530000000000002</v>
      </c>
      <c r="C530">
        <v>48.654699999999998</v>
      </c>
      <c r="D530">
        <v>0</v>
      </c>
      <c r="E530">
        <v>1</v>
      </c>
      <c r="G530">
        <v>0.72609999999999997</v>
      </c>
      <c r="H530">
        <v>49.38</v>
      </c>
    </row>
    <row r="531" spans="1:8" x14ac:dyDescent="0.2">
      <c r="A531">
        <v>115.7235</v>
      </c>
      <c r="B531">
        <v>0.68569999999999998</v>
      </c>
      <c r="C531">
        <v>48.705599999999997</v>
      </c>
      <c r="D531">
        <v>0</v>
      </c>
      <c r="E531">
        <v>1</v>
      </c>
      <c r="G531">
        <v>0.72360000000000002</v>
      </c>
      <c r="H531">
        <v>49.272399999999998</v>
      </c>
    </row>
    <row r="532" spans="1:8" x14ac:dyDescent="0.2">
      <c r="A532">
        <v>115.974</v>
      </c>
      <c r="B532">
        <v>0.68679999999999997</v>
      </c>
      <c r="C532">
        <v>48.7485</v>
      </c>
      <c r="D532">
        <v>0</v>
      </c>
      <c r="E532">
        <v>1</v>
      </c>
      <c r="G532">
        <v>0.72370000000000001</v>
      </c>
      <c r="H532">
        <v>49.1693</v>
      </c>
    </row>
    <row r="533" spans="1:8" x14ac:dyDescent="0.2">
      <c r="A533">
        <v>116.22450000000001</v>
      </c>
      <c r="B533">
        <v>0.68789999999999996</v>
      </c>
      <c r="C533">
        <v>48.775399999999998</v>
      </c>
      <c r="D533">
        <v>0</v>
      </c>
      <c r="E533">
        <v>1</v>
      </c>
      <c r="G533">
        <v>0.72340000000000004</v>
      </c>
      <c r="H533">
        <v>49.064700000000002</v>
      </c>
    </row>
    <row r="534" spans="1:8" x14ac:dyDescent="0.2">
      <c r="A534">
        <v>116.47490000000001</v>
      </c>
      <c r="B534">
        <v>0.69</v>
      </c>
      <c r="C534">
        <v>48.7988</v>
      </c>
      <c r="D534">
        <v>0</v>
      </c>
      <c r="E534">
        <v>1</v>
      </c>
      <c r="G534">
        <v>0.72299999999999998</v>
      </c>
      <c r="H534">
        <v>48.959699999999998</v>
      </c>
    </row>
    <row r="535" spans="1:8" x14ac:dyDescent="0.2">
      <c r="A535">
        <v>116.72539999999999</v>
      </c>
      <c r="B535">
        <v>0.69099999999999995</v>
      </c>
      <c r="C535">
        <v>48.807200000000002</v>
      </c>
      <c r="D535">
        <v>0</v>
      </c>
      <c r="E535">
        <v>1</v>
      </c>
      <c r="G535">
        <v>0.72319999999999995</v>
      </c>
      <c r="H535">
        <v>48.855899999999998</v>
      </c>
    </row>
    <row r="536" spans="1:8" x14ac:dyDescent="0.2">
      <c r="A536">
        <v>116.9759</v>
      </c>
      <c r="B536">
        <v>0.69230000000000003</v>
      </c>
      <c r="C536">
        <v>48.816899999999997</v>
      </c>
      <c r="D536">
        <v>0</v>
      </c>
      <c r="E536">
        <v>1</v>
      </c>
      <c r="G536">
        <v>0.72299999999999998</v>
      </c>
      <c r="H536">
        <v>48.750599999999999</v>
      </c>
    </row>
    <row r="537" spans="1:8" x14ac:dyDescent="0.2">
      <c r="A537">
        <v>117.2264</v>
      </c>
      <c r="B537">
        <v>0.69440000000000002</v>
      </c>
      <c r="C537">
        <v>48.824100000000001</v>
      </c>
      <c r="D537">
        <v>0</v>
      </c>
      <c r="E537">
        <v>1</v>
      </c>
      <c r="G537">
        <v>0.72199999999999998</v>
      </c>
      <c r="H537">
        <v>48.65</v>
      </c>
    </row>
    <row r="538" spans="1:8" x14ac:dyDescent="0.2">
      <c r="A538">
        <v>117.4769</v>
      </c>
      <c r="B538">
        <v>0.69569999999999999</v>
      </c>
      <c r="C538">
        <v>48.824800000000003</v>
      </c>
      <c r="D538">
        <v>0</v>
      </c>
      <c r="E538">
        <v>1</v>
      </c>
      <c r="G538">
        <v>0.72230000000000005</v>
      </c>
      <c r="H538">
        <v>48.542099999999998</v>
      </c>
    </row>
    <row r="539" spans="1:8" x14ac:dyDescent="0.2">
      <c r="A539">
        <v>117.7274</v>
      </c>
      <c r="B539">
        <v>0.69810000000000005</v>
      </c>
      <c r="C539">
        <v>48.820700000000002</v>
      </c>
      <c r="D539">
        <v>0</v>
      </c>
      <c r="E539">
        <v>1</v>
      </c>
      <c r="G539">
        <v>0.72189999999999999</v>
      </c>
      <c r="H539">
        <v>48.440100000000001</v>
      </c>
    </row>
    <row r="540" spans="1:8" x14ac:dyDescent="0.2">
      <c r="A540">
        <v>117.9778</v>
      </c>
      <c r="B540">
        <v>0.69830000000000003</v>
      </c>
      <c r="C540">
        <v>48.814700000000002</v>
      </c>
      <c r="D540">
        <v>0</v>
      </c>
      <c r="E540">
        <v>1</v>
      </c>
      <c r="G540">
        <v>0.72030000000000005</v>
      </c>
      <c r="H540">
        <v>48.336500000000001</v>
      </c>
    </row>
    <row r="541" spans="1:8" x14ac:dyDescent="0.2">
      <c r="A541">
        <v>118.2283</v>
      </c>
      <c r="B541">
        <v>0.69940000000000002</v>
      </c>
      <c r="C541">
        <v>48.8125</v>
      </c>
      <c r="D541">
        <v>0</v>
      </c>
      <c r="E541">
        <v>1</v>
      </c>
      <c r="G541">
        <v>0.72009999999999996</v>
      </c>
      <c r="H541">
        <v>48.229700000000001</v>
      </c>
    </row>
    <row r="542" spans="1:8" x14ac:dyDescent="0.2">
      <c r="A542">
        <v>118.47880000000001</v>
      </c>
      <c r="B542">
        <v>0.70020000000000004</v>
      </c>
      <c r="C542">
        <v>48.8125</v>
      </c>
      <c r="D542">
        <v>0</v>
      </c>
      <c r="E542">
        <v>1</v>
      </c>
      <c r="G542">
        <v>0.7208</v>
      </c>
      <c r="H542">
        <v>48.1233</v>
      </c>
    </row>
    <row r="543" spans="1:8" x14ac:dyDescent="0.2">
      <c r="A543">
        <v>118.72929999999999</v>
      </c>
      <c r="B543">
        <v>0.70179999999999998</v>
      </c>
      <c r="C543">
        <v>48.817599999999999</v>
      </c>
      <c r="D543">
        <v>0</v>
      </c>
      <c r="E543">
        <v>1</v>
      </c>
      <c r="G543">
        <v>0.72040000000000004</v>
      </c>
      <c r="H543">
        <v>48.019199999999998</v>
      </c>
    </row>
    <row r="544" spans="1:8" x14ac:dyDescent="0.2">
      <c r="A544">
        <v>118.9798</v>
      </c>
      <c r="B544">
        <v>0.70269999999999999</v>
      </c>
      <c r="C544">
        <v>48.821100000000001</v>
      </c>
      <c r="D544">
        <v>0</v>
      </c>
      <c r="E544">
        <v>1</v>
      </c>
      <c r="G544">
        <v>0.71970000000000001</v>
      </c>
      <c r="H544">
        <v>47.9163</v>
      </c>
    </row>
    <row r="545" spans="1:8" x14ac:dyDescent="0.2">
      <c r="A545">
        <v>119.2303</v>
      </c>
      <c r="B545">
        <v>0.70409999999999995</v>
      </c>
      <c r="C545">
        <v>48.836199999999998</v>
      </c>
      <c r="D545">
        <v>0</v>
      </c>
      <c r="E545">
        <v>1</v>
      </c>
      <c r="G545">
        <v>0.71899999999999997</v>
      </c>
      <c r="H545">
        <v>47.814300000000003</v>
      </c>
    </row>
    <row r="546" spans="1:8" x14ac:dyDescent="0.2">
      <c r="A546">
        <v>119.4808</v>
      </c>
      <c r="B546">
        <v>0.70550000000000002</v>
      </c>
      <c r="C546">
        <v>48.8538</v>
      </c>
      <c r="D546">
        <v>0</v>
      </c>
      <c r="E546">
        <v>1</v>
      </c>
      <c r="G546">
        <v>0.71830000000000005</v>
      </c>
      <c r="H546">
        <v>47.712200000000003</v>
      </c>
    </row>
    <row r="547" spans="1:8" x14ac:dyDescent="0.2">
      <c r="A547">
        <v>119.7312</v>
      </c>
      <c r="B547">
        <v>0.70709999999999995</v>
      </c>
      <c r="C547">
        <v>48.873800000000003</v>
      </c>
      <c r="D547">
        <v>0</v>
      </c>
      <c r="E547">
        <v>1</v>
      </c>
      <c r="G547">
        <v>0.71750000000000003</v>
      </c>
      <c r="H547">
        <v>47.601399999999998</v>
      </c>
    </row>
    <row r="548" spans="1:8" x14ac:dyDescent="0.2">
      <c r="A548">
        <v>119.9817</v>
      </c>
      <c r="B548">
        <v>0.70789999999999997</v>
      </c>
      <c r="C548">
        <v>48.924500000000002</v>
      </c>
      <c r="D548">
        <v>0</v>
      </c>
      <c r="E548">
        <v>1</v>
      </c>
      <c r="G548">
        <v>0.71640000000000004</v>
      </c>
      <c r="H548">
        <v>47.505800000000001</v>
      </c>
    </row>
    <row r="549" spans="1:8" x14ac:dyDescent="0.2">
      <c r="A549">
        <v>120.23220000000001</v>
      </c>
      <c r="B549">
        <v>0.7077</v>
      </c>
      <c r="C549">
        <v>48.966200000000001</v>
      </c>
      <c r="D549">
        <v>0</v>
      </c>
      <c r="E549">
        <v>1</v>
      </c>
      <c r="G549">
        <v>0.71740000000000004</v>
      </c>
      <c r="H549">
        <v>47.396599999999999</v>
      </c>
    </row>
    <row r="550" spans="1:8" x14ac:dyDescent="0.2">
      <c r="A550">
        <v>120.48269999999999</v>
      </c>
      <c r="B550">
        <v>0.71130000000000004</v>
      </c>
      <c r="C550">
        <v>49.9255</v>
      </c>
      <c r="D550">
        <v>0</v>
      </c>
      <c r="E550">
        <v>2</v>
      </c>
      <c r="G550">
        <v>0.71689999999999998</v>
      </c>
      <c r="H550">
        <v>47.285400000000003</v>
      </c>
    </row>
    <row r="551" spans="1:8" x14ac:dyDescent="0.2">
      <c r="A551">
        <v>120.7332</v>
      </c>
      <c r="B551">
        <v>0.71250000000000002</v>
      </c>
      <c r="C551">
        <v>49.982999999999997</v>
      </c>
      <c r="D551">
        <v>0</v>
      </c>
      <c r="E551">
        <v>2</v>
      </c>
      <c r="G551">
        <v>0.71699999999999997</v>
      </c>
      <c r="H551">
        <v>47.179299999999998</v>
      </c>
    </row>
    <row r="552" spans="1:8" x14ac:dyDescent="0.2">
      <c r="A552">
        <v>120.9837</v>
      </c>
      <c r="B552">
        <v>0.71230000000000004</v>
      </c>
      <c r="C552">
        <v>49.987699999999997</v>
      </c>
      <c r="D552">
        <v>0</v>
      </c>
      <c r="E552">
        <v>2</v>
      </c>
      <c r="G552">
        <v>0.71630000000000005</v>
      </c>
      <c r="H552">
        <v>47.080199999999998</v>
      </c>
    </row>
    <row r="553" spans="1:8" x14ac:dyDescent="0.2">
      <c r="A553">
        <v>121.2341</v>
      </c>
      <c r="B553">
        <v>0.71279999999999999</v>
      </c>
      <c r="C553">
        <v>49.987000000000002</v>
      </c>
      <c r="D553">
        <v>0</v>
      </c>
      <c r="E553">
        <v>2</v>
      </c>
      <c r="G553">
        <v>0.7147</v>
      </c>
      <c r="H553">
        <v>46.9754</v>
      </c>
    </row>
    <row r="554" spans="1:8" x14ac:dyDescent="0.2">
      <c r="A554">
        <v>121.4846</v>
      </c>
      <c r="B554">
        <v>0.71319999999999995</v>
      </c>
      <c r="C554">
        <v>49.989600000000003</v>
      </c>
      <c r="D554">
        <v>0</v>
      </c>
      <c r="E554">
        <v>2</v>
      </c>
      <c r="G554">
        <v>0.71560000000000001</v>
      </c>
      <c r="H554">
        <v>46.873699999999999</v>
      </c>
    </row>
    <row r="555" spans="1:8" x14ac:dyDescent="0.2">
      <c r="A555">
        <v>121.7351</v>
      </c>
      <c r="B555">
        <v>0.71350000000000002</v>
      </c>
      <c r="C555">
        <v>49.9861</v>
      </c>
      <c r="D555">
        <v>0</v>
      </c>
      <c r="E555">
        <v>2</v>
      </c>
      <c r="G555">
        <v>0.71440000000000003</v>
      </c>
      <c r="H555">
        <v>46.7699</v>
      </c>
    </row>
    <row r="556" spans="1:8" x14ac:dyDescent="0.2">
      <c r="A556">
        <v>121.98560000000001</v>
      </c>
      <c r="B556">
        <v>0.71389999999999998</v>
      </c>
      <c r="C556">
        <v>49.985599999999998</v>
      </c>
      <c r="D556">
        <v>0</v>
      </c>
      <c r="E556">
        <v>2</v>
      </c>
      <c r="G556">
        <v>0.71479999999999999</v>
      </c>
      <c r="H556">
        <v>46.666400000000003</v>
      </c>
    </row>
    <row r="557" spans="1:8" x14ac:dyDescent="0.2">
      <c r="A557">
        <v>122.23609999999999</v>
      </c>
      <c r="B557">
        <v>0.71489999999999998</v>
      </c>
      <c r="C557">
        <v>49.989699999999999</v>
      </c>
      <c r="D557">
        <v>0</v>
      </c>
      <c r="E557">
        <v>2</v>
      </c>
      <c r="G557">
        <v>0.71399999999999997</v>
      </c>
      <c r="H557">
        <v>46.558900000000001</v>
      </c>
    </row>
    <row r="558" spans="1:8" x14ac:dyDescent="0.2">
      <c r="A558">
        <v>122.4866</v>
      </c>
      <c r="B558">
        <v>0.71379999999999999</v>
      </c>
      <c r="C558">
        <v>49.986699999999999</v>
      </c>
      <c r="D558">
        <v>0</v>
      </c>
      <c r="E558">
        <v>2</v>
      </c>
      <c r="G558">
        <v>0.71389999999999998</v>
      </c>
      <c r="H558">
        <v>46.4557</v>
      </c>
    </row>
    <row r="559" spans="1:8" x14ac:dyDescent="0.2">
      <c r="A559">
        <v>122.73699999999999</v>
      </c>
      <c r="B559">
        <v>0.7177</v>
      </c>
      <c r="C559">
        <v>49.984000000000002</v>
      </c>
      <c r="D559">
        <v>0</v>
      </c>
      <c r="E559">
        <v>2</v>
      </c>
      <c r="G559">
        <v>0.71399999999999997</v>
      </c>
      <c r="H559">
        <v>46.348599999999998</v>
      </c>
    </row>
    <row r="560" spans="1:8" x14ac:dyDescent="0.2">
      <c r="A560">
        <v>122.9875</v>
      </c>
      <c r="B560">
        <v>0.71860000000000002</v>
      </c>
      <c r="C560">
        <v>49.983699999999999</v>
      </c>
      <c r="D560">
        <v>0</v>
      </c>
      <c r="E560">
        <v>2</v>
      </c>
      <c r="G560">
        <v>0.71279999999999999</v>
      </c>
      <c r="H560">
        <v>46.248399999999997</v>
      </c>
    </row>
    <row r="561" spans="1:8" x14ac:dyDescent="0.2">
      <c r="A561">
        <v>123.238</v>
      </c>
      <c r="B561">
        <v>0.71899999999999997</v>
      </c>
      <c r="C561">
        <v>49.988999999999997</v>
      </c>
      <c r="D561">
        <v>0</v>
      </c>
      <c r="E561">
        <v>2</v>
      </c>
      <c r="G561">
        <v>0.71199999999999997</v>
      </c>
      <c r="H561">
        <v>46.145899999999997</v>
      </c>
    </row>
    <row r="562" spans="1:8" x14ac:dyDescent="0.2">
      <c r="A562">
        <v>123.4885</v>
      </c>
      <c r="B562">
        <v>0.71950000000000003</v>
      </c>
      <c r="C562">
        <v>49.993200000000002</v>
      </c>
      <c r="D562">
        <v>0</v>
      </c>
      <c r="E562">
        <v>2</v>
      </c>
      <c r="G562">
        <v>0.71230000000000004</v>
      </c>
      <c r="H562">
        <v>46.039700000000003</v>
      </c>
    </row>
    <row r="563" spans="1:8" x14ac:dyDescent="0.2">
      <c r="A563">
        <v>123.739</v>
      </c>
      <c r="B563">
        <v>0.72060000000000002</v>
      </c>
      <c r="C563">
        <v>49.989199999999997</v>
      </c>
      <c r="D563">
        <v>0</v>
      </c>
      <c r="E563">
        <v>2</v>
      </c>
      <c r="G563">
        <v>0.71099999999999997</v>
      </c>
      <c r="H563">
        <v>45.938299999999998</v>
      </c>
    </row>
    <row r="564" spans="1:8" x14ac:dyDescent="0.2">
      <c r="A564">
        <v>123.98950000000001</v>
      </c>
      <c r="B564">
        <v>0.72150000000000003</v>
      </c>
      <c r="C564">
        <v>49.988599999999998</v>
      </c>
      <c r="D564">
        <v>0</v>
      </c>
      <c r="E564">
        <v>2</v>
      </c>
      <c r="G564">
        <v>0.7097</v>
      </c>
      <c r="H564">
        <v>45.835099999999997</v>
      </c>
    </row>
    <row r="565" spans="1:8" x14ac:dyDescent="0.2">
      <c r="A565">
        <v>124.23990000000001</v>
      </c>
      <c r="B565">
        <v>0.72099999999999997</v>
      </c>
      <c r="C565">
        <v>49.989400000000003</v>
      </c>
      <c r="D565">
        <v>0</v>
      </c>
      <c r="E565">
        <v>2</v>
      </c>
      <c r="G565">
        <v>0.71079999999999999</v>
      </c>
      <c r="H565">
        <v>45.732300000000002</v>
      </c>
    </row>
    <row r="566" spans="1:8" x14ac:dyDescent="0.2">
      <c r="A566">
        <v>124.49039999999999</v>
      </c>
      <c r="B566">
        <v>0.72209999999999996</v>
      </c>
      <c r="C566">
        <v>49.9863</v>
      </c>
      <c r="D566">
        <v>0</v>
      </c>
      <c r="E566">
        <v>2</v>
      </c>
      <c r="G566">
        <v>0.71020000000000005</v>
      </c>
      <c r="H566">
        <v>45.623699999999999</v>
      </c>
    </row>
    <row r="567" spans="1:8" x14ac:dyDescent="0.2">
      <c r="A567">
        <v>124.7409</v>
      </c>
      <c r="B567">
        <v>0.72209999999999996</v>
      </c>
      <c r="C567">
        <v>49.9876</v>
      </c>
      <c r="D567">
        <v>0</v>
      </c>
      <c r="E567">
        <v>2</v>
      </c>
      <c r="G567">
        <v>0.70930000000000004</v>
      </c>
      <c r="H567">
        <v>45.511299999999999</v>
      </c>
    </row>
    <row r="568" spans="1:8" x14ac:dyDescent="0.2">
      <c r="A568">
        <v>124.9914</v>
      </c>
      <c r="B568">
        <v>0.72119999999999995</v>
      </c>
      <c r="C568">
        <v>49.986899999999999</v>
      </c>
      <c r="D568">
        <v>0</v>
      </c>
      <c r="E568">
        <v>2</v>
      </c>
      <c r="G568">
        <v>0.70909999999999995</v>
      </c>
      <c r="H568">
        <v>45.414900000000003</v>
      </c>
    </row>
    <row r="569" spans="1:8" x14ac:dyDescent="0.2">
      <c r="A569">
        <v>125.2419</v>
      </c>
      <c r="B569">
        <v>0.72260000000000002</v>
      </c>
      <c r="C569">
        <v>49.989699999999999</v>
      </c>
      <c r="D569">
        <v>0</v>
      </c>
      <c r="E569">
        <v>2</v>
      </c>
      <c r="G569">
        <v>0.70799999999999996</v>
      </c>
      <c r="H569">
        <v>45.311399999999999</v>
      </c>
    </row>
    <row r="570" spans="1:8" x14ac:dyDescent="0.2">
      <c r="A570">
        <v>125.4924</v>
      </c>
      <c r="B570">
        <v>0.72260000000000002</v>
      </c>
      <c r="C570">
        <v>49.989899999999999</v>
      </c>
      <c r="D570">
        <v>0</v>
      </c>
      <c r="E570">
        <v>2</v>
      </c>
      <c r="G570">
        <v>0.7087</v>
      </c>
      <c r="H570">
        <v>45.2044</v>
      </c>
    </row>
    <row r="571" spans="1:8" x14ac:dyDescent="0.2">
      <c r="A571">
        <v>125.7428</v>
      </c>
      <c r="B571">
        <v>0.7228</v>
      </c>
      <c r="C571">
        <v>49.9925</v>
      </c>
      <c r="D571">
        <v>0</v>
      </c>
      <c r="E571">
        <v>2</v>
      </c>
      <c r="G571">
        <v>0.70930000000000004</v>
      </c>
      <c r="H571">
        <v>45.095599999999997</v>
      </c>
    </row>
    <row r="572" spans="1:8" x14ac:dyDescent="0.2">
      <c r="A572">
        <v>125.9933</v>
      </c>
      <c r="B572">
        <v>0.72270000000000001</v>
      </c>
      <c r="C572">
        <v>49.990099999999998</v>
      </c>
      <c r="D572">
        <v>0</v>
      </c>
      <c r="E572">
        <v>2</v>
      </c>
      <c r="G572">
        <v>0.70840000000000003</v>
      </c>
      <c r="H572">
        <v>44.992400000000004</v>
      </c>
    </row>
    <row r="573" spans="1:8" x14ac:dyDescent="0.2">
      <c r="A573">
        <v>126.24379999999999</v>
      </c>
      <c r="B573">
        <v>0.7238</v>
      </c>
      <c r="C573">
        <v>49.990499999999997</v>
      </c>
      <c r="D573">
        <v>0</v>
      </c>
      <c r="E573">
        <v>2</v>
      </c>
      <c r="G573">
        <v>0.70640000000000003</v>
      </c>
      <c r="H573">
        <v>44.890799999999999</v>
      </c>
    </row>
    <row r="574" spans="1:8" x14ac:dyDescent="0.2">
      <c r="A574">
        <v>126.4943</v>
      </c>
      <c r="B574">
        <v>0.72389999999999999</v>
      </c>
      <c r="C574">
        <v>49.984400000000001</v>
      </c>
      <c r="D574">
        <v>0</v>
      </c>
      <c r="E574">
        <v>2</v>
      </c>
      <c r="G574">
        <v>0.70650000000000002</v>
      </c>
      <c r="H574">
        <v>44.785899999999998</v>
      </c>
    </row>
    <row r="575" spans="1:8" x14ac:dyDescent="0.2">
      <c r="A575">
        <v>126.7448</v>
      </c>
      <c r="B575">
        <v>0.72409999999999997</v>
      </c>
      <c r="C575">
        <v>49.983899999999998</v>
      </c>
      <c r="D575">
        <v>0</v>
      </c>
      <c r="E575">
        <v>2</v>
      </c>
      <c r="G575">
        <v>0.70660000000000001</v>
      </c>
      <c r="H575">
        <v>44.680799999999998</v>
      </c>
    </row>
    <row r="576" spans="1:8" x14ac:dyDescent="0.2">
      <c r="A576">
        <v>126.9953</v>
      </c>
      <c r="B576">
        <v>0.72450000000000003</v>
      </c>
      <c r="C576">
        <v>49.989199999999997</v>
      </c>
      <c r="D576">
        <v>0</v>
      </c>
      <c r="E576">
        <v>2</v>
      </c>
      <c r="G576">
        <v>0.70679999999999998</v>
      </c>
      <c r="H576">
        <v>44.577100000000002</v>
      </c>
    </row>
    <row r="577" spans="1:8" x14ac:dyDescent="0.2">
      <c r="A577">
        <v>127.2457</v>
      </c>
      <c r="B577">
        <v>0.72330000000000005</v>
      </c>
      <c r="C577">
        <v>49.9893</v>
      </c>
      <c r="D577">
        <v>0</v>
      </c>
      <c r="E577">
        <v>2</v>
      </c>
      <c r="G577">
        <v>0.70489999999999997</v>
      </c>
      <c r="H577">
        <v>44.4771</v>
      </c>
    </row>
    <row r="578" spans="1:8" x14ac:dyDescent="0.2">
      <c r="A578">
        <v>127.4962</v>
      </c>
      <c r="B578">
        <v>0.72489999999999999</v>
      </c>
      <c r="C578">
        <v>49.987699999999997</v>
      </c>
      <c r="D578">
        <v>0</v>
      </c>
      <c r="E578">
        <v>2</v>
      </c>
      <c r="G578">
        <v>0.70540000000000003</v>
      </c>
      <c r="H578">
        <v>44.3705</v>
      </c>
    </row>
    <row r="579" spans="1:8" x14ac:dyDescent="0.2">
      <c r="A579">
        <v>127.7467</v>
      </c>
      <c r="B579">
        <v>0.72499999999999998</v>
      </c>
      <c r="C579">
        <v>49.991900000000001</v>
      </c>
      <c r="D579">
        <v>0</v>
      </c>
      <c r="E579">
        <v>2</v>
      </c>
      <c r="G579">
        <v>0.70399999999999996</v>
      </c>
      <c r="H579">
        <v>44.263300000000001</v>
      </c>
    </row>
    <row r="580" spans="1:8" x14ac:dyDescent="0.2">
      <c r="A580">
        <v>127.99720000000001</v>
      </c>
      <c r="B580">
        <v>0.72489999999999999</v>
      </c>
      <c r="C580">
        <v>49.987299999999998</v>
      </c>
      <c r="D580">
        <v>0</v>
      </c>
      <c r="E580">
        <v>2</v>
      </c>
      <c r="G580">
        <v>0.70450000000000002</v>
      </c>
      <c r="H580">
        <v>44.158000000000001</v>
      </c>
    </row>
    <row r="581" spans="1:8" x14ac:dyDescent="0.2">
      <c r="A581">
        <v>128.24770000000001</v>
      </c>
      <c r="B581">
        <v>0.7248</v>
      </c>
      <c r="C581">
        <v>49.991</v>
      </c>
      <c r="D581">
        <v>0</v>
      </c>
      <c r="E581">
        <v>2</v>
      </c>
      <c r="G581">
        <v>0.70309999999999995</v>
      </c>
      <c r="H581">
        <v>44.060200000000002</v>
      </c>
    </row>
    <row r="582" spans="1:8" x14ac:dyDescent="0.2">
      <c r="A582">
        <v>128.4982</v>
      </c>
      <c r="B582">
        <v>0.72660000000000002</v>
      </c>
      <c r="C582">
        <v>49.986199999999997</v>
      </c>
      <c r="D582">
        <v>0</v>
      </c>
      <c r="E582">
        <v>2</v>
      </c>
      <c r="G582">
        <v>0.70320000000000005</v>
      </c>
      <c r="H582">
        <v>43.951599999999999</v>
      </c>
    </row>
    <row r="583" spans="1:8" x14ac:dyDescent="0.2">
      <c r="A583">
        <v>128.74860000000001</v>
      </c>
      <c r="B583">
        <v>0.72509999999999997</v>
      </c>
      <c r="C583">
        <v>49.988300000000002</v>
      </c>
      <c r="D583">
        <v>0</v>
      </c>
      <c r="E583">
        <v>2</v>
      </c>
      <c r="G583">
        <v>0.70240000000000002</v>
      </c>
      <c r="H583">
        <v>43.847499999999997</v>
      </c>
    </row>
    <row r="584" spans="1:8" x14ac:dyDescent="0.2">
      <c r="A584">
        <v>128.9991</v>
      </c>
      <c r="B584">
        <v>0.72629999999999995</v>
      </c>
      <c r="C584">
        <v>49.987000000000002</v>
      </c>
      <c r="D584">
        <v>0</v>
      </c>
      <c r="E584">
        <v>2</v>
      </c>
      <c r="G584">
        <v>0.70179999999999998</v>
      </c>
      <c r="H584">
        <v>43.741799999999998</v>
      </c>
    </row>
    <row r="585" spans="1:8" x14ac:dyDescent="0.2">
      <c r="A585">
        <v>129.24959999999999</v>
      </c>
      <c r="B585">
        <v>0.72660000000000002</v>
      </c>
      <c r="C585">
        <v>49.988199999999999</v>
      </c>
      <c r="D585">
        <v>0</v>
      </c>
      <c r="E585">
        <v>2</v>
      </c>
      <c r="G585">
        <v>0.7026</v>
      </c>
      <c r="H585">
        <v>43.634399999999999</v>
      </c>
    </row>
    <row r="586" spans="1:8" x14ac:dyDescent="0.2">
      <c r="A586">
        <v>129.5001</v>
      </c>
      <c r="B586">
        <v>0.72550000000000003</v>
      </c>
      <c r="C586">
        <v>49.988700000000001</v>
      </c>
      <c r="D586">
        <v>0</v>
      </c>
      <c r="E586">
        <v>2</v>
      </c>
      <c r="G586">
        <v>0.7026</v>
      </c>
      <c r="H586">
        <v>43.534100000000002</v>
      </c>
    </row>
    <row r="587" spans="1:8" x14ac:dyDescent="0.2">
      <c r="A587">
        <v>129.75059999999999</v>
      </c>
      <c r="B587">
        <v>0.72619999999999996</v>
      </c>
      <c r="C587">
        <v>49.988799999999998</v>
      </c>
      <c r="D587">
        <v>0</v>
      </c>
      <c r="E587">
        <v>2</v>
      </c>
      <c r="G587">
        <v>0.70099999999999996</v>
      </c>
      <c r="H587">
        <v>43.432200000000002</v>
      </c>
    </row>
    <row r="588" spans="1:8" x14ac:dyDescent="0.2">
      <c r="A588">
        <v>130.00110000000001</v>
      </c>
      <c r="B588">
        <v>0.72750000000000004</v>
      </c>
      <c r="C588">
        <v>49.986600000000003</v>
      </c>
      <c r="D588">
        <v>0</v>
      </c>
      <c r="E588">
        <v>2</v>
      </c>
      <c r="G588">
        <v>0.6996</v>
      </c>
      <c r="H588">
        <v>43.328000000000003</v>
      </c>
    </row>
    <row r="589" spans="1:8" x14ac:dyDescent="0.2">
      <c r="A589">
        <v>130.2516</v>
      </c>
      <c r="B589">
        <v>0.72619999999999996</v>
      </c>
      <c r="C589">
        <v>49.990200000000002</v>
      </c>
      <c r="D589">
        <v>0</v>
      </c>
      <c r="E589">
        <v>2</v>
      </c>
      <c r="G589">
        <v>0.69899999999999995</v>
      </c>
      <c r="H589">
        <v>43.224600000000002</v>
      </c>
    </row>
    <row r="590" spans="1:8" x14ac:dyDescent="0.2">
      <c r="A590">
        <v>130.50200000000001</v>
      </c>
      <c r="B590">
        <v>0.72719999999999996</v>
      </c>
      <c r="C590">
        <v>49.990400000000001</v>
      </c>
      <c r="D590">
        <v>0</v>
      </c>
      <c r="E590">
        <v>3</v>
      </c>
      <c r="G590">
        <v>0.69899999999999995</v>
      </c>
      <c r="H590">
        <v>43.1218</v>
      </c>
    </row>
    <row r="591" spans="1:8" x14ac:dyDescent="0.2">
      <c r="A591">
        <v>130.7525</v>
      </c>
      <c r="B591">
        <v>0.72599999999999998</v>
      </c>
      <c r="C591">
        <v>49.896099999999997</v>
      </c>
      <c r="D591">
        <v>0</v>
      </c>
      <c r="E591">
        <v>3</v>
      </c>
      <c r="G591">
        <v>0.69910000000000005</v>
      </c>
      <c r="H591">
        <v>43.009300000000003</v>
      </c>
    </row>
    <row r="592" spans="1:8" x14ac:dyDescent="0.2">
      <c r="A592">
        <v>131.00299999999999</v>
      </c>
      <c r="B592">
        <v>0.72660000000000002</v>
      </c>
      <c r="C592">
        <v>49.794600000000003</v>
      </c>
      <c r="D592">
        <v>0</v>
      </c>
      <c r="E592">
        <v>3</v>
      </c>
      <c r="G592">
        <v>0.69869999999999999</v>
      </c>
      <c r="H592">
        <v>42.909599999999998</v>
      </c>
    </row>
    <row r="593" spans="1:8" x14ac:dyDescent="0.2">
      <c r="A593">
        <v>131.2535</v>
      </c>
      <c r="B593">
        <v>0.72599999999999998</v>
      </c>
      <c r="C593">
        <v>49.689399999999999</v>
      </c>
      <c r="D593">
        <v>0</v>
      </c>
      <c r="E593">
        <v>3</v>
      </c>
      <c r="G593">
        <v>0.69789999999999996</v>
      </c>
      <c r="H593">
        <v>42.8033</v>
      </c>
    </row>
    <row r="594" spans="1:8" x14ac:dyDescent="0.2">
      <c r="A594">
        <v>131.50399999999999</v>
      </c>
      <c r="B594">
        <v>0.72689999999999999</v>
      </c>
      <c r="C594">
        <v>49.581299999999999</v>
      </c>
      <c r="D594">
        <v>0</v>
      </c>
      <c r="E594">
        <v>3</v>
      </c>
      <c r="G594">
        <v>0.69689999999999996</v>
      </c>
      <c r="H594">
        <v>42.6982</v>
      </c>
    </row>
    <row r="595" spans="1:8" x14ac:dyDescent="0.2">
      <c r="A595">
        <v>131.75450000000001</v>
      </c>
      <c r="B595">
        <v>0.72529999999999994</v>
      </c>
      <c r="C595">
        <v>49.482199999999999</v>
      </c>
      <c r="D595">
        <v>0</v>
      </c>
      <c r="E595">
        <v>3</v>
      </c>
      <c r="G595">
        <v>0.6976</v>
      </c>
      <c r="H595">
        <v>42.593299999999999</v>
      </c>
    </row>
    <row r="596" spans="1:8" x14ac:dyDescent="0.2">
      <c r="A596">
        <v>132.00489999999999</v>
      </c>
      <c r="B596">
        <v>0.72609999999999997</v>
      </c>
      <c r="C596">
        <v>49.38</v>
      </c>
      <c r="D596">
        <v>0</v>
      </c>
      <c r="E596">
        <v>3</v>
      </c>
      <c r="G596">
        <v>0.69599999999999995</v>
      </c>
      <c r="H596">
        <v>42.493499999999997</v>
      </c>
    </row>
    <row r="597" spans="1:8" x14ac:dyDescent="0.2">
      <c r="A597">
        <v>132.25540000000001</v>
      </c>
      <c r="B597">
        <v>0.72360000000000002</v>
      </c>
      <c r="C597">
        <v>49.272399999999998</v>
      </c>
      <c r="D597">
        <v>0</v>
      </c>
      <c r="E597">
        <v>3</v>
      </c>
      <c r="G597">
        <v>0.69520000000000004</v>
      </c>
      <c r="H597">
        <v>42.390300000000003</v>
      </c>
    </row>
    <row r="598" spans="1:8" x14ac:dyDescent="0.2">
      <c r="A598">
        <v>132.5059</v>
      </c>
      <c r="B598">
        <v>0.72370000000000001</v>
      </c>
      <c r="C598">
        <v>49.1693</v>
      </c>
      <c r="D598">
        <v>0</v>
      </c>
      <c r="E598">
        <v>3</v>
      </c>
      <c r="G598">
        <v>0.69420000000000004</v>
      </c>
      <c r="H598">
        <v>42.284700000000001</v>
      </c>
    </row>
    <row r="599" spans="1:8" x14ac:dyDescent="0.2">
      <c r="A599">
        <v>132.75640000000001</v>
      </c>
      <c r="B599">
        <v>0.72340000000000004</v>
      </c>
      <c r="C599">
        <v>49.064700000000002</v>
      </c>
      <c r="D599">
        <v>0</v>
      </c>
      <c r="E599">
        <v>3</v>
      </c>
      <c r="G599">
        <v>0.69589999999999996</v>
      </c>
      <c r="H599">
        <v>42.174700000000001</v>
      </c>
    </row>
    <row r="600" spans="1:8" x14ac:dyDescent="0.2">
      <c r="A600">
        <v>133.0069</v>
      </c>
      <c r="B600">
        <v>0.72299999999999998</v>
      </c>
      <c r="C600">
        <v>48.959699999999998</v>
      </c>
      <c r="D600">
        <v>0</v>
      </c>
      <c r="E600">
        <v>3</v>
      </c>
      <c r="G600">
        <v>0.6946</v>
      </c>
      <c r="H600">
        <v>42.072299999999998</v>
      </c>
    </row>
    <row r="601" spans="1:8" x14ac:dyDescent="0.2">
      <c r="A601">
        <v>133.25739999999999</v>
      </c>
      <c r="B601">
        <v>0.72319999999999995</v>
      </c>
      <c r="C601">
        <v>48.855899999999998</v>
      </c>
      <c r="D601">
        <v>0</v>
      </c>
      <c r="E601">
        <v>3</v>
      </c>
      <c r="G601">
        <v>0.69450000000000001</v>
      </c>
      <c r="H601">
        <v>41.9664</v>
      </c>
    </row>
    <row r="602" spans="1:8" x14ac:dyDescent="0.2">
      <c r="A602">
        <v>133.5078</v>
      </c>
      <c r="B602">
        <v>0.72299999999999998</v>
      </c>
      <c r="C602">
        <v>48.750599999999999</v>
      </c>
      <c r="D602">
        <v>0</v>
      </c>
      <c r="E602">
        <v>3</v>
      </c>
      <c r="G602">
        <v>0.69469999999999998</v>
      </c>
      <c r="H602">
        <v>41.861199999999997</v>
      </c>
    </row>
    <row r="603" spans="1:8" x14ac:dyDescent="0.2">
      <c r="A603">
        <v>133.75829999999999</v>
      </c>
      <c r="B603">
        <v>0.72199999999999998</v>
      </c>
      <c r="C603">
        <v>48.65</v>
      </c>
      <c r="D603">
        <v>0</v>
      </c>
      <c r="E603">
        <v>3</v>
      </c>
      <c r="G603">
        <v>0.69399999999999995</v>
      </c>
      <c r="H603">
        <v>41.758699999999997</v>
      </c>
    </row>
    <row r="604" spans="1:8" x14ac:dyDescent="0.2">
      <c r="A604">
        <v>134.00880000000001</v>
      </c>
      <c r="B604">
        <v>0.72230000000000005</v>
      </c>
      <c r="C604">
        <v>48.542099999999998</v>
      </c>
      <c r="D604">
        <v>0</v>
      </c>
      <c r="E604">
        <v>3</v>
      </c>
      <c r="G604">
        <v>0.69310000000000005</v>
      </c>
      <c r="H604">
        <v>41.6584</v>
      </c>
    </row>
    <row r="605" spans="1:8" x14ac:dyDescent="0.2">
      <c r="A605">
        <v>134.2593</v>
      </c>
      <c r="B605">
        <v>0.72189999999999999</v>
      </c>
      <c r="C605">
        <v>48.440100000000001</v>
      </c>
      <c r="D605">
        <v>0</v>
      </c>
      <c r="E605">
        <v>3</v>
      </c>
      <c r="G605">
        <v>0.69189999999999996</v>
      </c>
      <c r="H605">
        <v>41.5535</v>
      </c>
    </row>
    <row r="606" spans="1:8" x14ac:dyDescent="0.2">
      <c r="A606">
        <v>134.50980000000001</v>
      </c>
      <c r="B606">
        <v>0.72030000000000005</v>
      </c>
      <c r="C606">
        <v>48.336500000000001</v>
      </c>
      <c r="D606">
        <v>0</v>
      </c>
      <c r="E606">
        <v>3</v>
      </c>
      <c r="G606">
        <v>0.69230000000000003</v>
      </c>
      <c r="H606">
        <v>41.445399999999999</v>
      </c>
    </row>
    <row r="607" spans="1:8" x14ac:dyDescent="0.2">
      <c r="A607">
        <v>134.7603</v>
      </c>
      <c r="B607">
        <v>0.72009999999999996</v>
      </c>
      <c r="C607">
        <v>48.229700000000001</v>
      </c>
      <c r="D607">
        <v>0</v>
      </c>
      <c r="E607">
        <v>3</v>
      </c>
      <c r="G607">
        <v>0.69099999999999995</v>
      </c>
      <c r="H607">
        <v>41.345700000000001</v>
      </c>
    </row>
    <row r="608" spans="1:8" x14ac:dyDescent="0.2">
      <c r="A608">
        <v>135.01070000000001</v>
      </c>
      <c r="B608">
        <v>0.7208</v>
      </c>
      <c r="C608">
        <v>48.1233</v>
      </c>
      <c r="D608">
        <v>0</v>
      </c>
      <c r="E608">
        <v>3</v>
      </c>
      <c r="G608">
        <v>0.6905</v>
      </c>
      <c r="H608">
        <v>41.242600000000003</v>
      </c>
    </row>
    <row r="609" spans="1:8" x14ac:dyDescent="0.2">
      <c r="A609">
        <v>135.2612</v>
      </c>
      <c r="B609">
        <v>0.72040000000000004</v>
      </c>
      <c r="C609">
        <v>48.019199999999998</v>
      </c>
      <c r="D609">
        <v>0</v>
      </c>
      <c r="E609">
        <v>3</v>
      </c>
      <c r="G609">
        <v>0.69179999999999997</v>
      </c>
      <c r="H609">
        <v>41.133800000000001</v>
      </c>
    </row>
    <row r="610" spans="1:8" x14ac:dyDescent="0.2">
      <c r="A610">
        <v>135.51169999999999</v>
      </c>
      <c r="B610">
        <v>0.71970000000000001</v>
      </c>
      <c r="C610">
        <v>47.9163</v>
      </c>
      <c r="D610">
        <v>0</v>
      </c>
      <c r="E610">
        <v>3</v>
      </c>
      <c r="G610">
        <v>0.6895</v>
      </c>
      <c r="H610">
        <v>41.027500000000003</v>
      </c>
    </row>
    <row r="611" spans="1:8" x14ac:dyDescent="0.2">
      <c r="A611">
        <v>135.76220000000001</v>
      </c>
      <c r="B611">
        <v>0.71899999999999997</v>
      </c>
      <c r="C611">
        <v>47.814300000000003</v>
      </c>
      <c r="D611">
        <v>0</v>
      </c>
      <c r="E611">
        <v>3</v>
      </c>
      <c r="G611">
        <v>0.69079999999999997</v>
      </c>
      <c r="H611">
        <v>40.923400000000001</v>
      </c>
    </row>
    <row r="612" spans="1:8" x14ac:dyDescent="0.2">
      <c r="A612">
        <v>136.0127</v>
      </c>
      <c r="B612">
        <v>0.71830000000000005</v>
      </c>
      <c r="C612">
        <v>47.712200000000003</v>
      </c>
      <c r="D612">
        <v>0</v>
      </c>
      <c r="E612">
        <v>3</v>
      </c>
      <c r="G612">
        <v>0.68859999999999999</v>
      </c>
      <c r="H612">
        <v>40.824199999999998</v>
      </c>
    </row>
    <row r="613" spans="1:8" x14ac:dyDescent="0.2">
      <c r="A613">
        <v>136.26320000000001</v>
      </c>
      <c r="B613">
        <v>0.71750000000000003</v>
      </c>
      <c r="C613">
        <v>47.601399999999998</v>
      </c>
      <c r="D613">
        <v>0</v>
      </c>
      <c r="E613">
        <v>3</v>
      </c>
      <c r="G613">
        <v>0.68779999999999997</v>
      </c>
      <c r="H613">
        <v>40.722799999999999</v>
      </c>
    </row>
    <row r="614" spans="1:8" x14ac:dyDescent="0.2">
      <c r="A614">
        <v>136.5136</v>
      </c>
      <c r="B614">
        <v>0.71640000000000004</v>
      </c>
      <c r="C614">
        <v>47.505800000000001</v>
      </c>
      <c r="D614">
        <v>0</v>
      </c>
      <c r="E614">
        <v>3</v>
      </c>
      <c r="G614">
        <v>0.68810000000000004</v>
      </c>
      <c r="H614">
        <v>40.613700000000001</v>
      </c>
    </row>
    <row r="615" spans="1:8" x14ac:dyDescent="0.2">
      <c r="A615">
        <v>136.76410000000001</v>
      </c>
      <c r="B615">
        <v>0.71740000000000004</v>
      </c>
      <c r="C615">
        <v>47.396599999999999</v>
      </c>
      <c r="D615">
        <v>0</v>
      </c>
      <c r="E615">
        <v>3</v>
      </c>
      <c r="G615">
        <v>0.68759999999999999</v>
      </c>
      <c r="H615">
        <v>40.5107</v>
      </c>
    </row>
    <row r="616" spans="1:8" x14ac:dyDescent="0.2">
      <c r="A616">
        <v>137.0146</v>
      </c>
      <c r="B616">
        <v>0.71689999999999998</v>
      </c>
      <c r="C616">
        <v>47.285400000000003</v>
      </c>
      <c r="D616">
        <v>0</v>
      </c>
      <c r="E616">
        <v>3</v>
      </c>
      <c r="G616">
        <v>0.68730000000000002</v>
      </c>
      <c r="H616">
        <v>40.399900000000002</v>
      </c>
    </row>
    <row r="617" spans="1:8" x14ac:dyDescent="0.2">
      <c r="A617">
        <v>137.26509999999999</v>
      </c>
      <c r="B617">
        <v>0.71699999999999997</v>
      </c>
      <c r="C617">
        <v>47.179299999999998</v>
      </c>
      <c r="D617">
        <v>0</v>
      </c>
      <c r="E617">
        <v>3</v>
      </c>
      <c r="G617">
        <v>0.68689999999999996</v>
      </c>
      <c r="H617">
        <v>40.2971</v>
      </c>
    </row>
    <row r="618" spans="1:8" x14ac:dyDescent="0.2">
      <c r="A618">
        <v>137.51560000000001</v>
      </c>
      <c r="B618">
        <v>0.71630000000000005</v>
      </c>
      <c r="C618">
        <v>47.080199999999998</v>
      </c>
      <c r="D618">
        <v>0</v>
      </c>
      <c r="E618">
        <v>3</v>
      </c>
      <c r="G618">
        <v>0.68640000000000001</v>
      </c>
      <c r="H618">
        <v>40.194499999999998</v>
      </c>
    </row>
    <row r="619" spans="1:8" x14ac:dyDescent="0.2">
      <c r="A619">
        <v>137.76609999999999</v>
      </c>
      <c r="B619">
        <v>0.7147</v>
      </c>
      <c r="C619">
        <v>46.9754</v>
      </c>
      <c r="D619">
        <v>0</v>
      </c>
      <c r="E619">
        <v>3</v>
      </c>
      <c r="G619">
        <v>0.68620000000000003</v>
      </c>
      <c r="H619">
        <v>40.093000000000004</v>
      </c>
    </row>
    <row r="620" spans="1:8" x14ac:dyDescent="0.2">
      <c r="A620">
        <v>138.01650000000001</v>
      </c>
      <c r="B620">
        <v>0.71560000000000001</v>
      </c>
      <c r="C620">
        <v>46.873699999999999</v>
      </c>
      <c r="D620">
        <v>0</v>
      </c>
      <c r="E620">
        <v>3</v>
      </c>
      <c r="G620">
        <v>0.68410000000000004</v>
      </c>
      <c r="H620">
        <v>39.99</v>
      </c>
    </row>
    <row r="621" spans="1:8" x14ac:dyDescent="0.2">
      <c r="A621">
        <v>138.267</v>
      </c>
      <c r="B621">
        <v>0.71440000000000003</v>
      </c>
      <c r="C621">
        <v>46.7699</v>
      </c>
      <c r="D621">
        <v>0</v>
      </c>
      <c r="E621">
        <v>3</v>
      </c>
      <c r="G621">
        <v>0.68440000000000001</v>
      </c>
      <c r="H621">
        <v>39.883200000000002</v>
      </c>
    </row>
    <row r="622" spans="1:8" x14ac:dyDescent="0.2">
      <c r="A622">
        <v>138.51750000000001</v>
      </c>
      <c r="B622">
        <v>0.71479999999999999</v>
      </c>
      <c r="C622">
        <v>46.666400000000003</v>
      </c>
      <c r="D622">
        <v>0</v>
      </c>
      <c r="E622">
        <v>3</v>
      </c>
      <c r="G622">
        <v>0.68500000000000005</v>
      </c>
      <c r="H622">
        <v>39.778199999999998</v>
      </c>
    </row>
    <row r="623" spans="1:8" x14ac:dyDescent="0.2">
      <c r="A623">
        <v>138.768</v>
      </c>
      <c r="B623">
        <v>0.71399999999999997</v>
      </c>
      <c r="C623">
        <v>46.558900000000001</v>
      </c>
      <c r="D623">
        <v>0</v>
      </c>
      <c r="E623">
        <v>3</v>
      </c>
      <c r="G623">
        <v>0.68379999999999996</v>
      </c>
      <c r="H623">
        <v>39.673400000000001</v>
      </c>
    </row>
    <row r="624" spans="1:8" x14ac:dyDescent="0.2">
      <c r="A624">
        <v>139.01849999999999</v>
      </c>
      <c r="B624">
        <v>0.71389999999999998</v>
      </c>
      <c r="C624">
        <v>46.4557</v>
      </c>
      <c r="D624">
        <v>0</v>
      </c>
      <c r="E624">
        <v>3</v>
      </c>
      <c r="G624">
        <v>0.6825</v>
      </c>
      <c r="H624">
        <v>39.566400000000002</v>
      </c>
    </row>
    <row r="625" spans="1:8" x14ac:dyDescent="0.2">
      <c r="A625">
        <v>139.26900000000001</v>
      </c>
      <c r="B625">
        <v>0.71399999999999997</v>
      </c>
      <c r="C625">
        <v>46.348599999999998</v>
      </c>
      <c r="D625">
        <v>0</v>
      </c>
      <c r="E625">
        <v>3</v>
      </c>
      <c r="G625">
        <v>0.68340000000000001</v>
      </c>
      <c r="H625">
        <v>39.462200000000003</v>
      </c>
    </row>
    <row r="626" spans="1:8" x14ac:dyDescent="0.2">
      <c r="A626">
        <v>139.51949999999999</v>
      </c>
      <c r="B626">
        <v>0.71279999999999999</v>
      </c>
      <c r="C626">
        <v>46.248399999999997</v>
      </c>
      <c r="D626">
        <v>0</v>
      </c>
      <c r="E626">
        <v>3</v>
      </c>
      <c r="G626">
        <v>0.68120000000000003</v>
      </c>
      <c r="H626">
        <v>39.360100000000003</v>
      </c>
    </row>
    <row r="627" spans="1:8" x14ac:dyDescent="0.2">
      <c r="A627">
        <v>139.76990000000001</v>
      </c>
      <c r="B627">
        <v>0.71199999999999997</v>
      </c>
      <c r="C627">
        <v>46.145899999999997</v>
      </c>
      <c r="D627">
        <v>0</v>
      </c>
      <c r="E627">
        <v>3</v>
      </c>
      <c r="G627">
        <v>0.68110000000000004</v>
      </c>
      <c r="H627">
        <v>39.261600000000001</v>
      </c>
    </row>
    <row r="628" spans="1:8" x14ac:dyDescent="0.2">
      <c r="A628">
        <v>140.0204</v>
      </c>
      <c r="B628">
        <v>0.71230000000000004</v>
      </c>
      <c r="C628">
        <v>46.039700000000003</v>
      </c>
      <c r="D628">
        <v>0</v>
      </c>
      <c r="E628">
        <v>3</v>
      </c>
      <c r="G628">
        <v>0.68140000000000001</v>
      </c>
      <c r="H628">
        <v>39.1524</v>
      </c>
    </row>
    <row r="629" spans="1:8" x14ac:dyDescent="0.2">
      <c r="A629">
        <v>140.27090000000001</v>
      </c>
      <c r="B629">
        <v>0.71099999999999997</v>
      </c>
      <c r="C629">
        <v>45.938299999999998</v>
      </c>
      <c r="D629">
        <v>0</v>
      </c>
      <c r="E629">
        <v>3</v>
      </c>
      <c r="G629">
        <v>0.68169999999999997</v>
      </c>
      <c r="H629">
        <v>39.045299999999997</v>
      </c>
    </row>
    <row r="630" spans="1:8" x14ac:dyDescent="0.2">
      <c r="A630">
        <v>140.5214</v>
      </c>
      <c r="B630">
        <v>0.7097</v>
      </c>
      <c r="C630">
        <v>45.835099999999997</v>
      </c>
      <c r="D630">
        <v>0</v>
      </c>
      <c r="E630">
        <v>3</v>
      </c>
      <c r="G630">
        <v>0.68010000000000004</v>
      </c>
      <c r="H630">
        <v>38.9437</v>
      </c>
    </row>
    <row r="631" spans="1:8" x14ac:dyDescent="0.2">
      <c r="A631">
        <v>140.77189999999999</v>
      </c>
      <c r="B631">
        <v>0.71079999999999999</v>
      </c>
      <c r="C631">
        <v>45.732300000000002</v>
      </c>
      <c r="D631">
        <v>0</v>
      </c>
      <c r="E631">
        <v>3</v>
      </c>
      <c r="G631">
        <v>0.67969999999999997</v>
      </c>
      <c r="H631">
        <v>38.835099999999997</v>
      </c>
    </row>
    <row r="632" spans="1:8" x14ac:dyDescent="0.2">
      <c r="A632">
        <v>141.0224</v>
      </c>
      <c r="B632">
        <v>0.71020000000000005</v>
      </c>
      <c r="C632">
        <v>45.623699999999999</v>
      </c>
      <c r="D632">
        <v>0</v>
      </c>
      <c r="E632">
        <v>3</v>
      </c>
      <c r="G632">
        <v>0.67859999999999998</v>
      </c>
      <c r="H632">
        <v>38.735999999999997</v>
      </c>
    </row>
    <row r="633" spans="1:8" x14ac:dyDescent="0.2">
      <c r="A633">
        <v>141.27279999999999</v>
      </c>
      <c r="B633">
        <v>0.70930000000000004</v>
      </c>
      <c r="C633">
        <v>45.511299999999999</v>
      </c>
      <c r="D633">
        <v>0</v>
      </c>
      <c r="E633">
        <v>3</v>
      </c>
      <c r="G633">
        <v>0.67910000000000004</v>
      </c>
      <c r="H633">
        <v>38.634099999999997</v>
      </c>
    </row>
    <row r="634" spans="1:8" x14ac:dyDescent="0.2">
      <c r="A634">
        <v>141.52330000000001</v>
      </c>
      <c r="B634">
        <v>0.70909999999999995</v>
      </c>
      <c r="C634">
        <v>45.414900000000003</v>
      </c>
      <c r="D634">
        <v>0</v>
      </c>
      <c r="E634">
        <v>3</v>
      </c>
      <c r="G634">
        <v>0.67830000000000001</v>
      </c>
      <c r="H634">
        <v>38.524900000000002</v>
      </c>
    </row>
    <row r="635" spans="1:8" x14ac:dyDescent="0.2">
      <c r="A635">
        <v>141.77379999999999</v>
      </c>
      <c r="B635">
        <v>0.70799999999999996</v>
      </c>
      <c r="C635">
        <v>45.311399999999999</v>
      </c>
      <c r="D635">
        <v>0</v>
      </c>
      <c r="E635">
        <v>3</v>
      </c>
      <c r="G635">
        <v>0.67800000000000005</v>
      </c>
      <c r="H635">
        <v>38.422699999999999</v>
      </c>
    </row>
    <row r="636" spans="1:8" x14ac:dyDescent="0.2">
      <c r="A636">
        <v>142.02430000000001</v>
      </c>
      <c r="B636">
        <v>0.7087</v>
      </c>
      <c r="C636">
        <v>45.2044</v>
      </c>
      <c r="D636">
        <v>0</v>
      </c>
      <c r="E636">
        <v>3</v>
      </c>
      <c r="G636">
        <v>0.67689999999999995</v>
      </c>
      <c r="H636">
        <v>38.3125</v>
      </c>
    </row>
    <row r="637" spans="1:8" x14ac:dyDescent="0.2">
      <c r="A637">
        <v>142.2748</v>
      </c>
      <c r="B637">
        <v>0.70930000000000004</v>
      </c>
      <c r="C637">
        <v>45.095599999999997</v>
      </c>
      <c r="D637">
        <v>0</v>
      </c>
      <c r="E637">
        <v>3</v>
      </c>
      <c r="G637">
        <v>0.67659999999999998</v>
      </c>
      <c r="H637">
        <v>38.210799999999999</v>
      </c>
    </row>
    <row r="638" spans="1:8" x14ac:dyDescent="0.2">
      <c r="A638">
        <v>142.52529999999999</v>
      </c>
      <c r="B638">
        <v>0.70840000000000003</v>
      </c>
      <c r="C638">
        <v>44.992400000000004</v>
      </c>
      <c r="D638">
        <v>0</v>
      </c>
      <c r="E638">
        <v>3</v>
      </c>
      <c r="G638">
        <v>0.67730000000000001</v>
      </c>
      <c r="H638">
        <v>38.103099999999998</v>
      </c>
    </row>
    <row r="639" spans="1:8" x14ac:dyDescent="0.2">
      <c r="A639">
        <v>142.7757</v>
      </c>
      <c r="B639">
        <v>0.70640000000000003</v>
      </c>
      <c r="C639">
        <v>44.890799999999999</v>
      </c>
      <c r="D639">
        <v>0</v>
      </c>
      <c r="E639">
        <v>3</v>
      </c>
      <c r="G639">
        <v>0.67589999999999995</v>
      </c>
      <c r="H639">
        <v>38.003999999999998</v>
      </c>
    </row>
    <row r="640" spans="1:8" x14ac:dyDescent="0.2">
      <c r="A640">
        <v>143.02619999999999</v>
      </c>
      <c r="B640">
        <v>0.70650000000000002</v>
      </c>
      <c r="C640">
        <v>44.785899999999998</v>
      </c>
      <c r="D640">
        <v>0</v>
      </c>
      <c r="E640">
        <v>3</v>
      </c>
      <c r="G640">
        <v>0.67520000000000002</v>
      </c>
      <c r="H640">
        <v>37.895899999999997</v>
      </c>
    </row>
    <row r="641" spans="1:8" x14ac:dyDescent="0.2">
      <c r="A641">
        <v>143.27670000000001</v>
      </c>
      <c r="B641">
        <v>0.70660000000000001</v>
      </c>
      <c r="C641">
        <v>44.680799999999998</v>
      </c>
      <c r="D641">
        <v>0</v>
      </c>
      <c r="E641">
        <v>3</v>
      </c>
      <c r="G641">
        <v>0.6754</v>
      </c>
      <c r="H641">
        <v>37.792999999999999</v>
      </c>
    </row>
    <row r="642" spans="1:8" x14ac:dyDescent="0.2">
      <c r="A642">
        <v>143.52719999999999</v>
      </c>
      <c r="B642">
        <v>0.70679999999999998</v>
      </c>
      <c r="C642">
        <v>44.577100000000002</v>
      </c>
      <c r="D642">
        <v>0</v>
      </c>
      <c r="E642">
        <v>3</v>
      </c>
      <c r="G642">
        <v>0.67359999999999998</v>
      </c>
      <c r="H642">
        <v>37.692900000000002</v>
      </c>
    </row>
    <row r="643" spans="1:8" x14ac:dyDescent="0.2">
      <c r="A643">
        <v>143.77770000000001</v>
      </c>
      <c r="B643">
        <v>0.70489999999999997</v>
      </c>
      <c r="C643">
        <v>44.4771</v>
      </c>
      <c r="D643">
        <v>0</v>
      </c>
      <c r="E643">
        <v>3</v>
      </c>
      <c r="G643">
        <v>0.67400000000000004</v>
      </c>
      <c r="H643">
        <v>37.587400000000002</v>
      </c>
    </row>
    <row r="644" spans="1:8" x14ac:dyDescent="0.2">
      <c r="A644">
        <v>144.0282</v>
      </c>
      <c r="B644">
        <v>0.70540000000000003</v>
      </c>
      <c r="C644">
        <v>44.3705</v>
      </c>
      <c r="D644">
        <v>0</v>
      </c>
      <c r="E644">
        <v>3</v>
      </c>
      <c r="G644">
        <v>0.67349999999999999</v>
      </c>
      <c r="H644">
        <v>37.480600000000003</v>
      </c>
    </row>
    <row r="645" spans="1:8" x14ac:dyDescent="0.2">
      <c r="A645">
        <v>144.27860000000001</v>
      </c>
      <c r="B645">
        <v>0.70399999999999996</v>
      </c>
      <c r="C645">
        <v>44.263300000000001</v>
      </c>
      <c r="D645">
        <v>0</v>
      </c>
      <c r="E645">
        <v>3</v>
      </c>
      <c r="G645">
        <v>0.67259999999999998</v>
      </c>
      <c r="H645">
        <v>37.377000000000002</v>
      </c>
    </row>
    <row r="646" spans="1:8" x14ac:dyDescent="0.2">
      <c r="A646">
        <v>144.5291</v>
      </c>
      <c r="B646">
        <v>0.70450000000000002</v>
      </c>
      <c r="C646">
        <v>44.158000000000001</v>
      </c>
      <c r="D646">
        <v>0</v>
      </c>
      <c r="E646">
        <v>3</v>
      </c>
      <c r="G646">
        <v>0.6724</v>
      </c>
      <c r="H646">
        <v>37.2727</v>
      </c>
    </row>
    <row r="647" spans="1:8" x14ac:dyDescent="0.2">
      <c r="A647">
        <v>144.77959999999999</v>
      </c>
      <c r="B647">
        <v>0.70309999999999995</v>
      </c>
      <c r="C647">
        <v>44.060200000000002</v>
      </c>
      <c r="D647">
        <v>0</v>
      </c>
      <c r="E647">
        <v>3</v>
      </c>
      <c r="G647">
        <v>0.67110000000000003</v>
      </c>
      <c r="H647">
        <v>37.170400000000001</v>
      </c>
    </row>
    <row r="648" spans="1:8" x14ac:dyDescent="0.2">
      <c r="A648">
        <v>145.0301</v>
      </c>
      <c r="B648">
        <v>0.70320000000000005</v>
      </c>
      <c r="C648">
        <v>43.951599999999999</v>
      </c>
      <c r="D648">
        <v>0</v>
      </c>
      <c r="E648">
        <v>3</v>
      </c>
      <c r="G648">
        <v>0.67069999999999996</v>
      </c>
      <c r="H648">
        <v>37.067700000000002</v>
      </c>
    </row>
    <row r="649" spans="1:8" x14ac:dyDescent="0.2">
      <c r="A649">
        <v>145.28059999999999</v>
      </c>
      <c r="B649">
        <v>0.70240000000000002</v>
      </c>
      <c r="C649">
        <v>43.847499999999997</v>
      </c>
      <c r="D649">
        <v>0</v>
      </c>
      <c r="E649">
        <v>3</v>
      </c>
      <c r="G649">
        <v>0.67059999999999997</v>
      </c>
      <c r="H649">
        <v>36.962000000000003</v>
      </c>
    </row>
    <row r="650" spans="1:8" x14ac:dyDescent="0.2">
      <c r="A650">
        <v>145.53110000000001</v>
      </c>
      <c r="B650">
        <v>0.70179999999999998</v>
      </c>
      <c r="C650">
        <v>43.741799999999998</v>
      </c>
      <c r="D650">
        <v>0</v>
      </c>
      <c r="E650">
        <v>3</v>
      </c>
      <c r="G650">
        <v>0.66959999999999997</v>
      </c>
      <c r="H650">
        <v>36.856400000000001</v>
      </c>
    </row>
    <row r="651" spans="1:8" x14ac:dyDescent="0.2">
      <c r="A651">
        <v>145.78149999999999</v>
      </c>
      <c r="B651">
        <v>0.7026</v>
      </c>
      <c r="C651">
        <v>43.634399999999999</v>
      </c>
      <c r="D651">
        <v>0</v>
      </c>
      <c r="E651">
        <v>3</v>
      </c>
      <c r="G651">
        <v>0.66969999999999996</v>
      </c>
      <c r="H651">
        <v>36.753900000000002</v>
      </c>
    </row>
    <row r="652" spans="1:8" x14ac:dyDescent="0.2">
      <c r="A652">
        <v>146.03200000000001</v>
      </c>
      <c r="B652">
        <v>0.7026</v>
      </c>
      <c r="C652">
        <v>43.534100000000002</v>
      </c>
      <c r="D652">
        <v>0</v>
      </c>
      <c r="E652">
        <v>3</v>
      </c>
      <c r="G652">
        <v>0.66830000000000001</v>
      </c>
      <c r="H652">
        <v>36.6449</v>
      </c>
    </row>
    <row r="653" spans="1:8" x14ac:dyDescent="0.2">
      <c r="A653">
        <v>146.2825</v>
      </c>
      <c r="B653">
        <v>0.70099999999999996</v>
      </c>
      <c r="C653">
        <v>43.432200000000002</v>
      </c>
      <c r="D653">
        <v>0</v>
      </c>
      <c r="E653">
        <v>3</v>
      </c>
      <c r="G653">
        <v>0.66839999999999999</v>
      </c>
      <c r="H653">
        <v>36.5428</v>
      </c>
    </row>
    <row r="654" spans="1:8" x14ac:dyDescent="0.2">
      <c r="A654">
        <v>146.53299999999999</v>
      </c>
      <c r="B654">
        <v>0.6996</v>
      </c>
      <c r="C654">
        <v>43.328000000000003</v>
      </c>
      <c r="D654">
        <v>0</v>
      </c>
      <c r="E654">
        <v>3</v>
      </c>
      <c r="G654">
        <v>0.66790000000000005</v>
      </c>
      <c r="H654">
        <v>36.439300000000003</v>
      </c>
    </row>
    <row r="655" spans="1:8" x14ac:dyDescent="0.2">
      <c r="A655">
        <v>146.7835</v>
      </c>
      <c r="B655">
        <v>0.69899999999999995</v>
      </c>
      <c r="C655">
        <v>43.224600000000002</v>
      </c>
      <c r="D655">
        <v>0</v>
      </c>
      <c r="E655">
        <v>3</v>
      </c>
      <c r="G655">
        <v>0.66790000000000005</v>
      </c>
      <c r="H655">
        <v>36.3339</v>
      </c>
    </row>
    <row r="656" spans="1:8" x14ac:dyDescent="0.2">
      <c r="A656">
        <v>147.03399999999999</v>
      </c>
      <c r="B656">
        <v>0.69899999999999995</v>
      </c>
      <c r="C656">
        <v>43.1218</v>
      </c>
      <c r="D656">
        <v>0</v>
      </c>
      <c r="E656">
        <v>3</v>
      </c>
      <c r="G656">
        <v>0.66649999999999998</v>
      </c>
      <c r="H656">
        <v>36.2318</v>
      </c>
    </row>
    <row r="657" spans="1:8" x14ac:dyDescent="0.2">
      <c r="A657">
        <v>147.28440000000001</v>
      </c>
      <c r="B657">
        <v>0.69910000000000005</v>
      </c>
      <c r="C657">
        <v>43.009300000000003</v>
      </c>
      <c r="D657">
        <v>0</v>
      </c>
      <c r="E657">
        <v>3</v>
      </c>
      <c r="G657">
        <v>0.66659999999999997</v>
      </c>
      <c r="H657">
        <v>36.122500000000002</v>
      </c>
    </row>
    <row r="658" spans="1:8" x14ac:dyDescent="0.2">
      <c r="A658">
        <v>147.53489999999999</v>
      </c>
      <c r="B658">
        <v>0.69869999999999999</v>
      </c>
      <c r="C658">
        <v>42.909599999999998</v>
      </c>
      <c r="D658">
        <v>0</v>
      </c>
      <c r="E658">
        <v>3</v>
      </c>
      <c r="G658">
        <v>0.66510000000000002</v>
      </c>
      <c r="H658">
        <v>36.025199999999998</v>
      </c>
    </row>
    <row r="659" spans="1:8" x14ac:dyDescent="0.2">
      <c r="A659">
        <v>147.78540000000001</v>
      </c>
      <c r="B659">
        <v>0.69789999999999996</v>
      </c>
      <c r="C659">
        <v>42.8033</v>
      </c>
      <c r="D659">
        <v>0</v>
      </c>
      <c r="E659">
        <v>3</v>
      </c>
      <c r="G659">
        <v>0.66449999999999998</v>
      </c>
      <c r="H659">
        <v>35.917999999999999</v>
      </c>
    </row>
    <row r="660" spans="1:8" x14ac:dyDescent="0.2">
      <c r="A660">
        <v>148.0359</v>
      </c>
      <c r="B660">
        <v>0.69689999999999996</v>
      </c>
      <c r="C660">
        <v>42.6982</v>
      </c>
      <c r="D660">
        <v>0</v>
      </c>
      <c r="E660">
        <v>3</v>
      </c>
      <c r="G660">
        <v>0.66420000000000001</v>
      </c>
      <c r="H660">
        <v>35.814500000000002</v>
      </c>
    </row>
    <row r="661" spans="1:8" x14ac:dyDescent="0.2">
      <c r="A661">
        <v>148.28639999999999</v>
      </c>
      <c r="B661">
        <v>0.6976</v>
      </c>
      <c r="C661">
        <v>42.593299999999999</v>
      </c>
      <c r="D661">
        <v>0</v>
      </c>
      <c r="E661">
        <v>3</v>
      </c>
      <c r="G661">
        <v>0.66410000000000002</v>
      </c>
      <c r="H661">
        <v>35.712600000000002</v>
      </c>
    </row>
    <row r="662" spans="1:8" x14ac:dyDescent="0.2">
      <c r="A662">
        <v>148.5369</v>
      </c>
      <c r="B662">
        <v>0.69599999999999995</v>
      </c>
      <c r="C662">
        <v>42.493499999999997</v>
      </c>
      <c r="D662">
        <v>0</v>
      </c>
      <c r="E662">
        <v>3</v>
      </c>
      <c r="G662">
        <v>0.66379999999999995</v>
      </c>
      <c r="H662">
        <v>35.605200000000004</v>
      </c>
    </row>
    <row r="663" spans="1:8" x14ac:dyDescent="0.2">
      <c r="A663">
        <v>148.78739999999999</v>
      </c>
      <c r="B663">
        <v>0.69520000000000004</v>
      </c>
      <c r="C663">
        <v>42.390300000000003</v>
      </c>
      <c r="D663">
        <v>0</v>
      </c>
      <c r="E663">
        <v>3</v>
      </c>
      <c r="G663">
        <v>0.6633</v>
      </c>
      <c r="H663">
        <v>35.4998</v>
      </c>
    </row>
    <row r="664" spans="1:8" x14ac:dyDescent="0.2">
      <c r="A664">
        <v>149.0378</v>
      </c>
      <c r="B664">
        <v>0.69420000000000004</v>
      </c>
      <c r="C664">
        <v>42.284700000000001</v>
      </c>
      <c r="D664">
        <v>0</v>
      </c>
      <c r="E664">
        <v>3</v>
      </c>
      <c r="G664">
        <v>0.66259999999999997</v>
      </c>
      <c r="H664">
        <v>35.395400000000002</v>
      </c>
    </row>
    <row r="665" spans="1:8" x14ac:dyDescent="0.2">
      <c r="A665">
        <v>149.28829999999999</v>
      </c>
      <c r="B665">
        <v>0.69589999999999996</v>
      </c>
      <c r="C665">
        <v>42.174700000000001</v>
      </c>
      <c r="D665">
        <v>0</v>
      </c>
      <c r="E665">
        <v>3</v>
      </c>
      <c r="G665">
        <v>0.66210000000000002</v>
      </c>
      <c r="H665">
        <v>35.288800000000002</v>
      </c>
    </row>
    <row r="666" spans="1:8" x14ac:dyDescent="0.2">
      <c r="A666">
        <v>149.53880000000001</v>
      </c>
      <c r="B666">
        <v>0.6946</v>
      </c>
      <c r="C666">
        <v>42.072299999999998</v>
      </c>
      <c r="D666">
        <v>0</v>
      </c>
      <c r="E666">
        <v>3</v>
      </c>
      <c r="G666">
        <v>0.66180000000000005</v>
      </c>
      <c r="H666">
        <v>35.187100000000001</v>
      </c>
    </row>
    <row r="667" spans="1:8" x14ac:dyDescent="0.2">
      <c r="A667">
        <v>149.7893</v>
      </c>
      <c r="B667">
        <v>0.69450000000000001</v>
      </c>
      <c r="C667">
        <v>41.9664</v>
      </c>
      <c r="D667">
        <v>0</v>
      </c>
      <c r="E667">
        <v>3</v>
      </c>
      <c r="G667">
        <v>0.66159999999999997</v>
      </c>
      <c r="H667">
        <v>35.080100000000002</v>
      </c>
    </row>
    <row r="668" spans="1:8" x14ac:dyDescent="0.2">
      <c r="A668">
        <v>150.03980000000001</v>
      </c>
      <c r="B668">
        <v>0.69469999999999998</v>
      </c>
      <c r="C668">
        <v>41.861199999999997</v>
      </c>
      <c r="D668">
        <v>0</v>
      </c>
      <c r="E668">
        <v>3</v>
      </c>
      <c r="G668">
        <v>0.66149999999999998</v>
      </c>
      <c r="H668">
        <v>34.973100000000002</v>
      </c>
    </row>
    <row r="669" spans="1:8" x14ac:dyDescent="0.2">
      <c r="A669">
        <v>150.2903</v>
      </c>
      <c r="B669">
        <v>0.69399999999999995</v>
      </c>
      <c r="C669">
        <v>41.758699999999997</v>
      </c>
      <c r="D669">
        <v>0</v>
      </c>
      <c r="E669">
        <v>3</v>
      </c>
      <c r="G669">
        <v>0.66</v>
      </c>
      <c r="H669">
        <v>34.877000000000002</v>
      </c>
    </row>
    <row r="670" spans="1:8" x14ac:dyDescent="0.2">
      <c r="A670">
        <v>150.54069999999999</v>
      </c>
      <c r="B670">
        <v>0.69310000000000005</v>
      </c>
      <c r="C670">
        <v>41.6584</v>
      </c>
      <c r="D670">
        <v>0</v>
      </c>
      <c r="E670">
        <v>3</v>
      </c>
      <c r="G670">
        <v>0.66039999999999999</v>
      </c>
      <c r="H670">
        <v>34.767899999999997</v>
      </c>
    </row>
    <row r="671" spans="1:8" x14ac:dyDescent="0.2">
      <c r="A671">
        <v>150.7912</v>
      </c>
      <c r="B671">
        <v>0.69189999999999996</v>
      </c>
      <c r="C671">
        <v>41.5535</v>
      </c>
      <c r="D671">
        <v>0</v>
      </c>
      <c r="E671">
        <v>3</v>
      </c>
      <c r="G671">
        <v>0.65939999999999999</v>
      </c>
      <c r="H671">
        <v>34.667999999999999</v>
      </c>
    </row>
    <row r="672" spans="1:8" x14ac:dyDescent="0.2">
      <c r="A672">
        <v>151.04169999999999</v>
      </c>
      <c r="B672">
        <v>0.69230000000000003</v>
      </c>
      <c r="C672">
        <v>41.445399999999999</v>
      </c>
      <c r="D672">
        <v>0</v>
      </c>
      <c r="E672">
        <v>3</v>
      </c>
      <c r="G672">
        <v>0.65910000000000002</v>
      </c>
      <c r="H672">
        <v>34.562100000000001</v>
      </c>
    </row>
    <row r="673" spans="1:8" x14ac:dyDescent="0.2">
      <c r="A673">
        <v>151.29220000000001</v>
      </c>
      <c r="B673">
        <v>0.69099999999999995</v>
      </c>
      <c r="C673">
        <v>41.345700000000001</v>
      </c>
      <c r="D673">
        <v>0</v>
      </c>
      <c r="E673">
        <v>3</v>
      </c>
      <c r="G673">
        <v>0.65780000000000005</v>
      </c>
      <c r="H673">
        <v>34.449300000000001</v>
      </c>
    </row>
    <row r="674" spans="1:8" x14ac:dyDescent="0.2">
      <c r="A674">
        <v>151.5427</v>
      </c>
      <c r="B674">
        <v>0.6905</v>
      </c>
      <c r="C674">
        <v>41.242600000000003</v>
      </c>
      <c r="D674">
        <v>0</v>
      </c>
      <c r="E674">
        <v>3</v>
      </c>
      <c r="G674">
        <v>0.65849999999999997</v>
      </c>
      <c r="H674">
        <v>34.3506</v>
      </c>
    </row>
    <row r="675" spans="1:8" x14ac:dyDescent="0.2">
      <c r="A675">
        <v>151.79320000000001</v>
      </c>
      <c r="B675">
        <v>0.69179999999999997</v>
      </c>
      <c r="C675">
        <v>41.133800000000001</v>
      </c>
      <c r="D675">
        <v>0</v>
      </c>
      <c r="E675">
        <v>3</v>
      </c>
      <c r="G675">
        <v>0.65769999999999995</v>
      </c>
      <c r="H675">
        <v>34.248699999999999</v>
      </c>
    </row>
    <row r="676" spans="1:8" x14ac:dyDescent="0.2">
      <c r="A676">
        <v>152.0436</v>
      </c>
      <c r="B676">
        <v>0.6895</v>
      </c>
      <c r="C676">
        <v>41.027500000000003</v>
      </c>
      <c r="D676">
        <v>0</v>
      </c>
      <c r="E676">
        <v>3</v>
      </c>
      <c r="G676">
        <v>0.65639999999999998</v>
      </c>
      <c r="H676">
        <v>34.143099999999997</v>
      </c>
    </row>
    <row r="677" spans="1:8" x14ac:dyDescent="0.2">
      <c r="A677">
        <v>152.29409999999999</v>
      </c>
      <c r="B677">
        <v>0.69079999999999997</v>
      </c>
      <c r="C677">
        <v>40.923400000000001</v>
      </c>
      <c r="D677">
        <v>0</v>
      </c>
      <c r="E677">
        <v>3</v>
      </c>
      <c r="G677">
        <v>0.65590000000000004</v>
      </c>
      <c r="H677">
        <v>34.037999999999997</v>
      </c>
    </row>
    <row r="678" spans="1:8" x14ac:dyDescent="0.2">
      <c r="A678">
        <v>152.5446</v>
      </c>
      <c r="B678">
        <v>0.68859999999999999</v>
      </c>
      <c r="C678">
        <v>40.824199999999998</v>
      </c>
      <c r="D678">
        <v>0</v>
      </c>
      <c r="E678">
        <v>3</v>
      </c>
      <c r="G678">
        <v>0.65500000000000003</v>
      </c>
      <c r="H678">
        <v>33.935299999999998</v>
      </c>
    </row>
    <row r="679" spans="1:8" x14ac:dyDescent="0.2">
      <c r="A679">
        <v>152.79509999999999</v>
      </c>
      <c r="B679">
        <v>0.68779999999999997</v>
      </c>
      <c r="C679">
        <v>40.722799999999999</v>
      </c>
      <c r="D679">
        <v>0</v>
      </c>
      <c r="E679">
        <v>3</v>
      </c>
      <c r="G679">
        <v>0.65580000000000005</v>
      </c>
      <c r="H679">
        <v>33.835500000000003</v>
      </c>
    </row>
    <row r="680" spans="1:8" x14ac:dyDescent="0.2">
      <c r="A680">
        <v>153.04560000000001</v>
      </c>
      <c r="B680">
        <v>0.68810000000000004</v>
      </c>
      <c r="C680">
        <v>40.613700000000001</v>
      </c>
      <c r="D680">
        <v>0</v>
      </c>
      <c r="E680">
        <v>3</v>
      </c>
      <c r="G680">
        <v>0.6542</v>
      </c>
      <c r="H680">
        <v>33.721800000000002</v>
      </c>
    </row>
    <row r="681" spans="1:8" x14ac:dyDescent="0.2">
      <c r="A681">
        <v>153.2961</v>
      </c>
      <c r="B681">
        <v>0.68759999999999999</v>
      </c>
      <c r="C681">
        <v>40.5107</v>
      </c>
      <c r="D681">
        <v>0</v>
      </c>
      <c r="E681">
        <v>3</v>
      </c>
      <c r="G681">
        <v>0.65380000000000005</v>
      </c>
      <c r="H681">
        <v>33.621600000000001</v>
      </c>
    </row>
    <row r="682" spans="1:8" x14ac:dyDescent="0.2">
      <c r="A682">
        <v>153.54650000000001</v>
      </c>
      <c r="B682">
        <v>0.68730000000000002</v>
      </c>
      <c r="C682">
        <v>40.399900000000002</v>
      </c>
      <c r="D682">
        <v>0</v>
      </c>
      <c r="E682">
        <v>3</v>
      </c>
      <c r="G682">
        <v>0.6512</v>
      </c>
      <c r="H682">
        <v>33.520899999999997</v>
      </c>
    </row>
    <row r="683" spans="1:8" x14ac:dyDescent="0.2">
      <c r="A683">
        <v>153.797</v>
      </c>
      <c r="B683">
        <v>0.68689999999999996</v>
      </c>
      <c r="C683">
        <v>40.2971</v>
      </c>
      <c r="D683">
        <v>0</v>
      </c>
      <c r="E683">
        <v>3</v>
      </c>
      <c r="G683">
        <v>0.65129999999999999</v>
      </c>
      <c r="H683">
        <v>33.4131</v>
      </c>
    </row>
    <row r="684" spans="1:8" x14ac:dyDescent="0.2">
      <c r="A684">
        <v>154.04750000000001</v>
      </c>
      <c r="B684">
        <v>0.68640000000000001</v>
      </c>
      <c r="C684">
        <v>40.194499999999998</v>
      </c>
      <c r="D684">
        <v>0</v>
      </c>
      <c r="E684">
        <v>3</v>
      </c>
      <c r="G684">
        <v>0.65139999999999998</v>
      </c>
      <c r="H684">
        <v>33.308799999999998</v>
      </c>
    </row>
    <row r="685" spans="1:8" x14ac:dyDescent="0.2">
      <c r="A685">
        <v>154.298</v>
      </c>
      <c r="B685">
        <v>0.68620000000000003</v>
      </c>
      <c r="C685">
        <v>40.093000000000004</v>
      </c>
      <c r="D685">
        <v>0</v>
      </c>
      <c r="E685">
        <v>3</v>
      </c>
      <c r="G685">
        <v>0.65059999999999996</v>
      </c>
      <c r="H685">
        <v>33.201300000000003</v>
      </c>
    </row>
    <row r="686" spans="1:8" x14ac:dyDescent="0.2">
      <c r="A686">
        <v>154.54849999999999</v>
      </c>
      <c r="B686">
        <v>0.68410000000000004</v>
      </c>
      <c r="C686">
        <v>39.99</v>
      </c>
      <c r="D686">
        <v>0</v>
      </c>
      <c r="E686">
        <v>3</v>
      </c>
      <c r="G686">
        <v>0.6502</v>
      </c>
      <c r="H686">
        <v>33.102800000000002</v>
      </c>
    </row>
    <row r="687" spans="1:8" x14ac:dyDescent="0.2">
      <c r="A687">
        <v>154.79900000000001</v>
      </c>
      <c r="B687">
        <v>0.68440000000000001</v>
      </c>
      <c r="C687">
        <v>39.883200000000002</v>
      </c>
      <c r="D687">
        <v>0</v>
      </c>
      <c r="E687">
        <v>3</v>
      </c>
      <c r="G687">
        <v>0.65090000000000003</v>
      </c>
      <c r="H687">
        <v>32.994199999999999</v>
      </c>
    </row>
    <row r="688" spans="1:8" x14ac:dyDescent="0.2">
      <c r="A688">
        <v>155.04939999999999</v>
      </c>
      <c r="B688">
        <v>0.68500000000000005</v>
      </c>
      <c r="C688">
        <v>39.778199999999998</v>
      </c>
      <c r="D688">
        <v>0</v>
      </c>
      <c r="E688">
        <v>3</v>
      </c>
      <c r="G688">
        <v>0.64990000000000003</v>
      </c>
      <c r="H688">
        <v>32.889800000000001</v>
      </c>
    </row>
    <row r="689" spans="1:8" x14ac:dyDescent="0.2">
      <c r="A689">
        <v>155.29990000000001</v>
      </c>
      <c r="B689">
        <v>0.68379999999999996</v>
      </c>
      <c r="C689">
        <v>39.673400000000001</v>
      </c>
      <c r="D689">
        <v>0</v>
      </c>
      <c r="E689">
        <v>3</v>
      </c>
      <c r="G689">
        <v>0.64790000000000003</v>
      </c>
      <c r="H689">
        <v>32.7883</v>
      </c>
    </row>
    <row r="690" spans="1:8" x14ac:dyDescent="0.2">
      <c r="A690">
        <v>155.5504</v>
      </c>
      <c r="B690">
        <v>0.6825</v>
      </c>
      <c r="C690">
        <v>39.566400000000002</v>
      </c>
      <c r="D690">
        <v>0</v>
      </c>
      <c r="E690">
        <v>3</v>
      </c>
      <c r="G690">
        <v>0.64870000000000005</v>
      </c>
      <c r="H690">
        <v>32.682099999999998</v>
      </c>
    </row>
    <row r="691" spans="1:8" x14ac:dyDescent="0.2">
      <c r="A691">
        <v>155.80090000000001</v>
      </c>
      <c r="B691">
        <v>0.68340000000000001</v>
      </c>
      <c r="C691">
        <v>39.462200000000003</v>
      </c>
      <c r="D691">
        <v>0</v>
      </c>
      <c r="E691">
        <v>3</v>
      </c>
      <c r="G691">
        <v>0.64759999999999995</v>
      </c>
      <c r="H691">
        <v>32.580599999999997</v>
      </c>
    </row>
    <row r="692" spans="1:8" x14ac:dyDescent="0.2">
      <c r="A692">
        <v>156.0514</v>
      </c>
      <c r="B692">
        <v>0.68120000000000003</v>
      </c>
      <c r="C692">
        <v>39.360100000000003</v>
      </c>
      <c r="D692">
        <v>0</v>
      </c>
      <c r="E692">
        <v>3</v>
      </c>
      <c r="G692">
        <v>0.64780000000000004</v>
      </c>
      <c r="H692">
        <v>32.476799999999997</v>
      </c>
    </row>
    <row r="693" spans="1:8" x14ac:dyDescent="0.2">
      <c r="A693">
        <v>156.30189999999999</v>
      </c>
      <c r="B693">
        <v>0.68110000000000004</v>
      </c>
      <c r="C693">
        <v>39.261600000000001</v>
      </c>
      <c r="D693">
        <v>0</v>
      </c>
      <c r="E693">
        <v>3</v>
      </c>
      <c r="G693">
        <v>0.64659999999999995</v>
      </c>
      <c r="H693">
        <v>32.371499999999997</v>
      </c>
    </row>
    <row r="694" spans="1:8" x14ac:dyDescent="0.2">
      <c r="A694">
        <v>156.5523</v>
      </c>
      <c r="B694">
        <v>0.68140000000000001</v>
      </c>
      <c r="C694">
        <v>39.1524</v>
      </c>
      <c r="D694">
        <v>0</v>
      </c>
      <c r="E694">
        <v>3</v>
      </c>
      <c r="G694">
        <v>0.64600000000000002</v>
      </c>
      <c r="H694">
        <v>32.270699999999998</v>
      </c>
    </row>
    <row r="695" spans="1:8" x14ac:dyDescent="0.2">
      <c r="A695">
        <v>156.80279999999999</v>
      </c>
      <c r="B695">
        <v>0.68169999999999997</v>
      </c>
      <c r="C695">
        <v>39.045299999999997</v>
      </c>
      <c r="D695">
        <v>0</v>
      </c>
      <c r="E695">
        <v>3</v>
      </c>
      <c r="G695">
        <v>0.64710000000000001</v>
      </c>
      <c r="H695">
        <v>32.156100000000002</v>
      </c>
    </row>
    <row r="696" spans="1:8" x14ac:dyDescent="0.2">
      <c r="A696">
        <v>157.05330000000001</v>
      </c>
      <c r="B696">
        <v>0.68010000000000004</v>
      </c>
      <c r="C696">
        <v>38.9437</v>
      </c>
      <c r="D696">
        <v>0</v>
      </c>
      <c r="E696">
        <v>3</v>
      </c>
      <c r="G696">
        <v>0.64539999999999997</v>
      </c>
      <c r="H696">
        <v>32.057099999999998</v>
      </c>
    </row>
    <row r="697" spans="1:8" x14ac:dyDescent="0.2">
      <c r="A697">
        <v>157.3038</v>
      </c>
      <c r="B697">
        <v>0.67969999999999997</v>
      </c>
      <c r="C697">
        <v>38.835099999999997</v>
      </c>
      <c r="D697">
        <v>0</v>
      </c>
      <c r="E697">
        <v>3</v>
      </c>
      <c r="G697">
        <v>0.64419999999999999</v>
      </c>
      <c r="H697">
        <v>31.949000000000002</v>
      </c>
    </row>
    <row r="698" spans="1:8" x14ac:dyDescent="0.2">
      <c r="A698">
        <v>157.55430000000001</v>
      </c>
      <c r="B698">
        <v>0.67859999999999998</v>
      </c>
      <c r="C698">
        <v>38.735999999999997</v>
      </c>
      <c r="D698">
        <v>0</v>
      </c>
      <c r="E698">
        <v>3</v>
      </c>
      <c r="G698">
        <v>0.64510000000000001</v>
      </c>
      <c r="H698">
        <v>31.8477</v>
      </c>
    </row>
    <row r="699" spans="1:8" x14ac:dyDescent="0.2">
      <c r="A699">
        <v>157.8048</v>
      </c>
      <c r="B699">
        <v>0.67910000000000004</v>
      </c>
      <c r="C699">
        <v>38.634099999999997</v>
      </c>
      <c r="D699">
        <v>0</v>
      </c>
      <c r="E699">
        <v>3</v>
      </c>
      <c r="G699">
        <v>0.64280000000000004</v>
      </c>
      <c r="H699">
        <v>31.7438</v>
      </c>
    </row>
    <row r="700" spans="1:8" x14ac:dyDescent="0.2">
      <c r="A700">
        <v>158.05529999999999</v>
      </c>
      <c r="B700">
        <v>0.67830000000000001</v>
      </c>
      <c r="C700">
        <v>38.524900000000002</v>
      </c>
      <c r="D700">
        <v>0</v>
      </c>
      <c r="E700">
        <v>3</v>
      </c>
      <c r="G700">
        <v>0.64370000000000005</v>
      </c>
      <c r="H700">
        <v>31.6404</v>
      </c>
    </row>
    <row r="701" spans="1:8" x14ac:dyDescent="0.2">
      <c r="A701">
        <v>158.3057</v>
      </c>
      <c r="B701">
        <v>0.67800000000000005</v>
      </c>
      <c r="C701">
        <v>38.422699999999999</v>
      </c>
      <c r="D701">
        <v>0</v>
      </c>
      <c r="E701">
        <v>3</v>
      </c>
      <c r="G701">
        <v>0.64300000000000002</v>
      </c>
      <c r="H701">
        <v>31.536899999999999</v>
      </c>
    </row>
    <row r="702" spans="1:8" x14ac:dyDescent="0.2">
      <c r="A702">
        <v>158.55619999999999</v>
      </c>
      <c r="B702">
        <v>0.67689999999999995</v>
      </c>
      <c r="C702">
        <v>38.3125</v>
      </c>
      <c r="D702">
        <v>0</v>
      </c>
      <c r="E702">
        <v>3</v>
      </c>
      <c r="G702">
        <v>0.64180000000000004</v>
      </c>
      <c r="H702">
        <v>31.430800000000001</v>
      </c>
    </row>
    <row r="703" spans="1:8" x14ac:dyDescent="0.2">
      <c r="A703">
        <v>158.80670000000001</v>
      </c>
      <c r="B703">
        <v>0.67659999999999998</v>
      </c>
      <c r="C703">
        <v>38.210799999999999</v>
      </c>
      <c r="D703">
        <v>0</v>
      </c>
      <c r="E703">
        <v>3</v>
      </c>
      <c r="G703">
        <v>0.64180000000000004</v>
      </c>
      <c r="H703">
        <v>31.329799999999999</v>
      </c>
    </row>
    <row r="704" spans="1:8" x14ac:dyDescent="0.2">
      <c r="A704">
        <v>159.05719999999999</v>
      </c>
      <c r="B704">
        <v>0.67730000000000001</v>
      </c>
      <c r="C704">
        <v>38.103099999999998</v>
      </c>
      <c r="D704">
        <v>0</v>
      </c>
      <c r="E704">
        <v>3</v>
      </c>
      <c r="G704">
        <v>0.64249999999999996</v>
      </c>
      <c r="H704">
        <v>31.217400000000001</v>
      </c>
    </row>
    <row r="705" spans="1:8" x14ac:dyDescent="0.2">
      <c r="A705">
        <v>159.30770000000001</v>
      </c>
      <c r="B705">
        <v>0.67589999999999995</v>
      </c>
      <c r="C705">
        <v>38.003999999999998</v>
      </c>
      <c r="D705">
        <v>0</v>
      </c>
      <c r="E705">
        <v>3</v>
      </c>
      <c r="G705">
        <v>0.64</v>
      </c>
      <c r="H705">
        <v>31.115600000000001</v>
      </c>
    </row>
    <row r="706" spans="1:8" x14ac:dyDescent="0.2">
      <c r="A706">
        <v>159.5582</v>
      </c>
      <c r="B706">
        <v>0.67520000000000002</v>
      </c>
      <c r="C706">
        <v>37.895899999999997</v>
      </c>
      <c r="D706">
        <v>0</v>
      </c>
      <c r="E706">
        <v>3</v>
      </c>
      <c r="G706">
        <v>0.64059999999999995</v>
      </c>
      <c r="H706">
        <v>31.0124</v>
      </c>
    </row>
    <row r="707" spans="1:8" x14ac:dyDescent="0.2">
      <c r="A707">
        <v>159.80860000000001</v>
      </c>
      <c r="B707">
        <v>0.6754</v>
      </c>
      <c r="C707">
        <v>37.792999999999999</v>
      </c>
      <c r="D707">
        <v>0</v>
      </c>
      <c r="E707">
        <v>3</v>
      </c>
      <c r="G707">
        <v>0.6401</v>
      </c>
      <c r="H707">
        <v>30.911300000000001</v>
      </c>
    </row>
    <row r="708" spans="1:8" x14ac:dyDescent="0.2">
      <c r="A708">
        <v>160.0591</v>
      </c>
      <c r="B708">
        <v>0.67359999999999998</v>
      </c>
      <c r="C708">
        <v>37.692900000000002</v>
      </c>
      <c r="D708">
        <v>0</v>
      </c>
      <c r="E708">
        <v>3</v>
      </c>
      <c r="G708">
        <v>0.6391</v>
      </c>
      <c r="H708">
        <v>30.801400000000001</v>
      </c>
    </row>
    <row r="709" spans="1:8" x14ac:dyDescent="0.2">
      <c r="A709">
        <v>160.30959999999999</v>
      </c>
      <c r="B709">
        <v>0.67400000000000004</v>
      </c>
      <c r="C709">
        <v>37.587400000000002</v>
      </c>
      <c r="D709">
        <v>0</v>
      </c>
      <c r="E709">
        <v>3</v>
      </c>
      <c r="G709">
        <v>0.63870000000000005</v>
      </c>
      <c r="H709">
        <v>30.6952</v>
      </c>
    </row>
    <row r="710" spans="1:8" x14ac:dyDescent="0.2">
      <c r="A710">
        <v>160.56010000000001</v>
      </c>
      <c r="B710">
        <v>0.67349999999999999</v>
      </c>
      <c r="C710">
        <v>37.480600000000003</v>
      </c>
      <c r="D710">
        <v>0</v>
      </c>
      <c r="E710">
        <v>3</v>
      </c>
      <c r="G710">
        <v>0.63690000000000002</v>
      </c>
      <c r="H710">
        <v>30.599799999999998</v>
      </c>
    </row>
    <row r="711" spans="1:8" x14ac:dyDescent="0.2">
      <c r="A711">
        <v>160.81059999999999</v>
      </c>
      <c r="B711">
        <v>0.67259999999999998</v>
      </c>
      <c r="C711">
        <v>37.377000000000002</v>
      </c>
      <c r="D711">
        <v>0</v>
      </c>
      <c r="E711">
        <v>3</v>
      </c>
      <c r="G711">
        <v>0.6381</v>
      </c>
      <c r="H711">
        <v>30.488800000000001</v>
      </c>
    </row>
    <row r="712" spans="1:8" x14ac:dyDescent="0.2">
      <c r="A712">
        <v>161.06110000000001</v>
      </c>
      <c r="B712">
        <v>0.6724</v>
      </c>
      <c r="C712">
        <v>37.2727</v>
      </c>
      <c r="D712">
        <v>0</v>
      </c>
      <c r="E712">
        <v>3</v>
      </c>
      <c r="G712">
        <v>0.63670000000000004</v>
      </c>
      <c r="H712">
        <v>30.386500000000002</v>
      </c>
    </row>
    <row r="713" spans="1:8" x14ac:dyDescent="0.2">
      <c r="A713">
        <v>161.3115</v>
      </c>
      <c r="B713">
        <v>0.67110000000000003</v>
      </c>
      <c r="C713">
        <v>37.170400000000001</v>
      </c>
      <c r="D713">
        <v>0</v>
      </c>
      <c r="E713">
        <v>3</v>
      </c>
      <c r="G713">
        <v>0.63600000000000001</v>
      </c>
      <c r="H713">
        <v>30.283200000000001</v>
      </c>
    </row>
    <row r="714" spans="1:8" x14ac:dyDescent="0.2">
      <c r="A714">
        <v>161.56200000000001</v>
      </c>
      <c r="B714">
        <v>0.67069999999999996</v>
      </c>
      <c r="C714">
        <v>37.067700000000002</v>
      </c>
      <c r="D714">
        <v>0</v>
      </c>
      <c r="E714">
        <v>3</v>
      </c>
      <c r="G714">
        <v>0.6361</v>
      </c>
      <c r="H714">
        <v>30.1785</v>
      </c>
    </row>
    <row r="715" spans="1:8" x14ac:dyDescent="0.2">
      <c r="A715">
        <v>161.8125</v>
      </c>
      <c r="B715">
        <v>0.67059999999999997</v>
      </c>
      <c r="C715">
        <v>36.962000000000003</v>
      </c>
      <c r="D715">
        <v>0</v>
      </c>
      <c r="E715">
        <v>3</v>
      </c>
      <c r="G715">
        <v>0.63419999999999999</v>
      </c>
      <c r="H715">
        <v>30.077999999999999</v>
      </c>
    </row>
    <row r="716" spans="1:8" x14ac:dyDescent="0.2">
      <c r="A716">
        <v>162.06299999999999</v>
      </c>
      <c r="B716">
        <v>0.66959999999999997</v>
      </c>
      <c r="C716">
        <v>36.856400000000001</v>
      </c>
      <c r="D716">
        <v>0</v>
      </c>
      <c r="E716">
        <v>3</v>
      </c>
      <c r="G716">
        <v>0.63419999999999999</v>
      </c>
      <c r="H716">
        <v>29.971399999999999</v>
      </c>
    </row>
    <row r="717" spans="1:8" x14ac:dyDescent="0.2">
      <c r="A717">
        <v>162.3135</v>
      </c>
      <c r="B717">
        <v>0.66969999999999996</v>
      </c>
      <c r="C717">
        <v>36.753900000000002</v>
      </c>
      <c r="D717">
        <v>0</v>
      </c>
      <c r="E717">
        <v>3</v>
      </c>
      <c r="G717">
        <v>0.63380000000000003</v>
      </c>
      <c r="H717">
        <v>29.865300000000001</v>
      </c>
    </row>
    <row r="718" spans="1:8" x14ac:dyDescent="0.2">
      <c r="A718">
        <v>162.56389999999999</v>
      </c>
      <c r="B718">
        <v>0.66830000000000001</v>
      </c>
      <c r="C718">
        <v>36.6449</v>
      </c>
      <c r="D718">
        <v>0</v>
      </c>
      <c r="E718">
        <v>3</v>
      </c>
      <c r="G718">
        <v>0.63249999999999995</v>
      </c>
      <c r="H718">
        <v>29.761800000000001</v>
      </c>
    </row>
    <row r="719" spans="1:8" x14ac:dyDescent="0.2">
      <c r="A719">
        <v>162.81440000000001</v>
      </c>
      <c r="B719">
        <v>0.66839999999999999</v>
      </c>
      <c r="C719">
        <v>36.5428</v>
      </c>
      <c r="D719">
        <v>0</v>
      </c>
      <c r="E719">
        <v>3</v>
      </c>
      <c r="G719">
        <v>0.63249999999999995</v>
      </c>
      <c r="H719">
        <v>29.657699999999998</v>
      </c>
    </row>
    <row r="720" spans="1:8" x14ac:dyDescent="0.2">
      <c r="A720">
        <v>163.06489999999999</v>
      </c>
      <c r="B720">
        <v>0.66790000000000005</v>
      </c>
      <c r="C720">
        <v>36.439300000000003</v>
      </c>
      <c r="D720">
        <v>0</v>
      </c>
      <c r="E720">
        <v>3</v>
      </c>
      <c r="G720">
        <v>0.63260000000000005</v>
      </c>
      <c r="H720">
        <v>29.5532</v>
      </c>
    </row>
    <row r="721" spans="1:8" x14ac:dyDescent="0.2">
      <c r="A721">
        <v>163.31540000000001</v>
      </c>
      <c r="B721">
        <v>0.66790000000000005</v>
      </c>
      <c r="C721">
        <v>36.3339</v>
      </c>
      <c r="D721">
        <v>0</v>
      </c>
      <c r="E721">
        <v>3</v>
      </c>
      <c r="G721">
        <v>0.63180000000000003</v>
      </c>
      <c r="H721">
        <v>29.449300000000001</v>
      </c>
    </row>
    <row r="722" spans="1:8" x14ac:dyDescent="0.2">
      <c r="A722">
        <v>163.5659</v>
      </c>
      <c r="B722">
        <v>0.66649999999999998</v>
      </c>
      <c r="C722">
        <v>36.2318</v>
      </c>
      <c r="D722">
        <v>0</v>
      </c>
      <c r="E722">
        <v>3</v>
      </c>
      <c r="G722">
        <v>0.63119999999999998</v>
      </c>
      <c r="H722">
        <v>29.3445</v>
      </c>
    </row>
    <row r="723" spans="1:8" x14ac:dyDescent="0.2">
      <c r="A723">
        <v>163.81639999999999</v>
      </c>
      <c r="B723">
        <v>0.66659999999999997</v>
      </c>
      <c r="C723">
        <v>36.122500000000002</v>
      </c>
      <c r="D723">
        <v>0</v>
      </c>
      <c r="E723">
        <v>3</v>
      </c>
      <c r="G723">
        <v>0.63029999999999997</v>
      </c>
      <c r="H723">
        <v>29.2407</v>
      </c>
    </row>
    <row r="724" spans="1:8" x14ac:dyDescent="0.2">
      <c r="A724">
        <v>164.0668</v>
      </c>
      <c r="B724">
        <v>0.66510000000000002</v>
      </c>
      <c r="C724">
        <v>36.025199999999998</v>
      </c>
      <c r="D724">
        <v>0</v>
      </c>
      <c r="E724">
        <v>3</v>
      </c>
      <c r="G724">
        <v>0.629</v>
      </c>
      <c r="H724">
        <v>29.1326</v>
      </c>
    </row>
    <row r="725" spans="1:8" x14ac:dyDescent="0.2">
      <c r="A725">
        <v>164.31729999999999</v>
      </c>
      <c r="B725">
        <v>0.66449999999999998</v>
      </c>
      <c r="C725">
        <v>35.917999999999999</v>
      </c>
      <c r="D725">
        <v>0</v>
      </c>
      <c r="E725">
        <v>3</v>
      </c>
      <c r="G725">
        <v>0.63019999999999998</v>
      </c>
      <c r="H725">
        <v>29.033300000000001</v>
      </c>
    </row>
    <row r="726" spans="1:8" x14ac:dyDescent="0.2">
      <c r="A726">
        <v>164.56780000000001</v>
      </c>
      <c r="B726">
        <v>0.66420000000000001</v>
      </c>
      <c r="C726">
        <v>35.814500000000002</v>
      </c>
      <c r="D726">
        <v>0</v>
      </c>
      <c r="E726">
        <v>3</v>
      </c>
      <c r="G726">
        <v>0.62919999999999998</v>
      </c>
      <c r="H726">
        <v>28.925000000000001</v>
      </c>
    </row>
    <row r="727" spans="1:8" x14ac:dyDescent="0.2">
      <c r="A727">
        <v>164.81829999999999</v>
      </c>
      <c r="B727">
        <v>0.66410000000000002</v>
      </c>
      <c r="C727">
        <v>35.712600000000002</v>
      </c>
      <c r="D727">
        <v>0</v>
      </c>
      <c r="E727">
        <v>3</v>
      </c>
      <c r="G727">
        <v>0.62909999999999999</v>
      </c>
      <c r="H727">
        <v>28.82</v>
      </c>
    </row>
    <row r="728" spans="1:8" x14ac:dyDescent="0.2">
      <c r="A728">
        <v>165.06880000000001</v>
      </c>
      <c r="B728">
        <v>0.66379999999999995</v>
      </c>
      <c r="C728">
        <v>35.605200000000004</v>
      </c>
      <c r="D728">
        <v>0</v>
      </c>
      <c r="E728">
        <v>3</v>
      </c>
      <c r="G728">
        <v>0.628</v>
      </c>
      <c r="H728">
        <v>28.720500000000001</v>
      </c>
    </row>
    <row r="729" spans="1:8" x14ac:dyDescent="0.2">
      <c r="A729">
        <v>165.3193</v>
      </c>
      <c r="B729">
        <v>0.6633</v>
      </c>
      <c r="C729">
        <v>35.4998</v>
      </c>
      <c r="D729">
        <v>0</v>
      </c>
      <c r="E729">
        <v>3</v>
      </c>
      <c r="G729">
        <v>0.62670000000000003</v>
      </c>
      <c r="H729">
        <v>28.617000000000001</v>
      </c>
    </row>
    <row r="730" spans="1:8" x14ac:dyDescent="0.2">
      <c r="A730">
        <v>165.56979999999999</v>
      </c>
      <c r="B730">
        <v>0.66259999999999997</v>
      </c>
      <c r="C730">
        <v>35.395400000000002</v>
      </c>
      <c r="D730">
        <v>0</v>
      </c>
      <c r="E730">
        <v>3</v>
      </c>
      <c r="G730">
        <v>0.62729999999999997</v>
      </c>
      <c r="H730">
        <v>28.511900000000001</v>
      </c>
    </row>
    <row r="731" spans="1:8" x14ac:dyDescent="0.2">
      <c r="A731">
        <v>165.8202</v>
      </c>
      <c r="B731">
        <v>0.66210000000000002</v>
      </c>
      <c r="C731">
        <v>35.288800000000002</v>
      </c>
      <c r="D731">
        <v>0</v>
      </c>
      <c r="E731">
        <v>3</v>
      </c>
      <c r="G731">
        <v>0.62649999999999995</v>
      </c>
      <c r="H731">
        <v>28.403500000000001</v>
      </c>
    </row>
    <row r="732" spans="1:8" x14ac:dyDescent="0.2">
      <c r="A732">
        <v>166.07069999999999</v>
      </c>
      <c r="B732">
        <v>0.66180000000000005</v>
      </c>
      <c r="C732">
        <v>35.187100000000001</v>
      </c>
      <c r="D732">
        <v>0</v>
      </c>
      <c r="E732">
        <v>3</v>
      </c>
      <c r="G732">
        <v>0.62570000000000003</v>
      </c>
      <c r="H732">
        <v>28.2988</v>
      </c>
    </row>
    <row r="733" spans="1:8" x14ac:dyDescent="0.2">
      <c r="A733">
        <v>166.3212</v>
      </c>
      <c r="B733">
        <v>0.66159999999999997</v>
      </c>
      <c r="C733">
        <v>35.080100000000002</v>
      </c>
      <c r="D733">
        <v>0</v>
      </c>
      <c r="E733">
        <v>3</v>
      </c>
      <c r="G733">
        <v>0.62529999999999997</v>
      </c>
      <c r="H733">
        <v>28.1935</v>
      </c>
    </row>
    <row r="734" spans="1:8" x14ac:dyDescent="0.2">
      <c r="A734">
        <v>166.57169999999999</v>
      </c>
      <c r="B734">
        <v>0.66149999999999998</v>
      </c>
      <c r="C734">
        <v>34.973100000000002</v>
      </c>
      <c r="D734">
        <v>0</v>
      </c>
      <c r="E734">
        <v>3</v>
      </c>
      <c r="G734">
        <v>0.62380000000000002</v>
      </c>
      <c r="H734">
        <v>28.088200000000001</v>
      </c>
    </row>
    <row r="735" spans="1:8" x14ac:dyDescent="0.2">
      <c r="A735">
        <v>166.82220000000001</v>
      </c>
      <c r="B735">
        <v>0.66</v>
      </c>
      <c r="C735">
        <v>34.877000000000002</v>
      </c>
      <c r="D735">
        <v>0</v>
      </c>
      <c r="E735">
        <v>3</v>
      </c>
      <c r="G735">
        <v>0.62329999999999997</v>
      </c>
      <c r="H735">
        <v>27.989599999999999</v>
      </c>
    </row>
    <row r="736" spans="1:8" x14ac:dyDescent="0.2">
      <c r="A736">
        <v>167.0727</v>
      </c>
      <c r="B736">
        <v>0.66039999999999999</v>
      </c>
      <c r="C736">
        <v>34.767899999999997</v>
      </c>
      <c r="D736">
        <v>0</v>
      </c>
      <c r="E736">
        <v>3</v>
      </c>
      <c r="G736">
        <v>0.62270000000000003</v>
      </c>
      <c r="H736">
        <v>27.881900000000002</v>
      </c>
    </row>
    <row r="737" spans="1:8" x14ac:dyDescent="0.2">
      <c r="A737">
        <v>167.32320000000001</v>
      </c>
      <c r="B737">
        <v>0.65939999999999999</v>
      </c>
      <c r="C737">
        <v>34.667999999999999</v>
      </c>
      <c r="D737">
        <v>0</v>
      </c>
      <c r="E737">
        <v>3</v>
      </c>
      <c r="G737">
        <v>0.62250000000000005</v>
      </c>
      <c r="H737">
        <v>27.776299999999999</v>
      </c>
    </row>
    <row r="738" spans="1:8" x14ac:dyDescent="0.2">
      <c r="A738">
        <v>167.5736</v>
      </c>
      <c r="B738">
        <v>0.65910000000000002</v>
      </c>
      <c r="C738">
        <v>34.562100000000001</v>
      </c>
      <c r="D738">
        <v>0</v>
      </c>
      <c r="E738">
        <v>3</v>
      </c>
      <c r="G738">
        <v>0.62119999999999997</v>
      </c>
      <c r="H738">
        <v>27.677499999999998</v>
      </c>
    </row>
    <row r="739" spans="1:8" x14ac:dyDescent="0.2">
      <c r="A739">
        <v>167.82409999999999</v>
      </c>
      <c r="B739">
        <v>0.65780000000000005</v>
      </c>
      <c r="C739">
        <v>34.449300000000001</v>
      </c>
      <c r="D739">
        <v>0</v>
      </c>
      <c r="E739">
        <v>3</v>
      </c>
      <c r="G739">
        <v>0.62150000000000005</v>
      </c>
      <c r="H739">
        <v>27.569800000000001</v>
      </c>
    </row>
    <row r="740" spans="1:8" x14ac:dyDescent="0.2">
      <c r="A740">
        <v>168.0746</v>
      </c>
      <c r="B740">
        <v>0.65849999999999997</v>
      </c>
      <c r="C740">
        <v>34.3506</v>
      </c>
      <c r="D740">
        <v>0</v>
      </c>
      <c r="E740">
        <v>3</v>
      </c>
      <c r="G740">
        <v>0.62050000000000005</v>
      </c>
      <c r="H740">
        <v>27.464400000000001</v>
      </c>
    </row>
    <row r="741" spans="1:8" x14ac:dyDescent="0.2">
      <c r="A741">
        <v>168.32509999999999</v>
      </c>
      <c r="B741">
        <v>0.65769999999999995</v>
      </c>
      <c r="C741">
        <v>34.248699999999999</v>
      </c>
      <c r="D741">
        <v>0</v>
      </c>
      <c r="E741">
        <v>3</v>
      </c>
      <c r="G741">
        <v>0.62009999999999998</v>
      </c>
      <c r="H741">
        <v>27.3569</v>
      </c>
    </row>
    <row r="742" spans="1:8" x14ac:dyDescent="0.2">
      <c r="A742">
        <v>168.57560000000001</v>
      </c>
      <c r="B742">
        <v>0.65639999999999998</v>
      </c>
      <c r="C742">
        <v>34.143099999999997</v>
      </c>
      <c r="D742">
        <v>0</v>
      </c>
      <c r="E742">
        <v>3</v>
      </c>
      <c r="G742">
        <v>0.61899999999999999</v>
      </c>
      <c r="H742">
        <v>27.256399999999999</v>
      </c>
    </row>
    <row r="743" spans="1:8" x14ac:dyDescent="0.2">
      <c r="A743">
        <v>168.82599999999999</v>
      </c>
      <c r="B743">
        <v>0.65590000000000004</v>
      </c>
      <c r="C743">
        <v>34.037999999999997</v>
      </c>
      <c r="D743">
        <v>0</v>
      </c>
      <c r="E743">
        <v>3</v>
      </c>
      <c r="G743">
        <v>0.61760000000000004</v>
      </c>
      <c r="H743">
        <v>27.154199999999999</v>
      </c>
    </row>
    <row r="744" spans="1:8" x14ac:dyDescent="0.2">
      <c r="A744">
        <v>169.07650000000001</v>
      </c>
      <c r="B744">
        <v>0.65500000000000003</v>
      </c>
      <c r="C744">
        <v>33.935299999999998</v>
      </c>
      <c r="D744">
        <v>0</v>
      </c>
      <c r="E744">
        <v>3</v>
      </c>
      <c r="G744">
        <v>0.61799999999999999</v>
      </c>
      <c r="H744">
        <v>27.044599999999999</v>
      </c>
    </row>
    <row r="745" spans="1:8" x14ac:dyDescent="0.2">
      <c r="A745">
        <v>169.327</v>
      </c>
      <c r="B745">
        <v>0.65580000000000005</v>
      </c>
      <c r="C745">
        <v>33.835500000000003</v>
      </c>
      <c r="D745">
        <v>0</v>
      </c>
      <c r="E745">
        <v>3</v>
      </c>
      <c r="G745">
        <v>0.61760000000000004</v>
      </c>
      <c r="H745">
        <v>26.947700000000001</v>
      </c>
    </row>
    <row r="746" spans="1:8" x14ac:dyDescent="0.2">
      <c r="A746">
        <v>169.57749999999999</v>
      </c>
      <c r="B746">
        <v>0.6542</v>
      </c>
      <c r="C746">
        <v>33.721800000000002</v>
      </c>
      <c r="D746">
        <v>0</v>
      </c>
      <c r="E746">
        <v>3</v>
      </c>
      <c r="G746">
        <v>0.61670000000000003</v>
      </c>
      <c r="H746">
        <v>26.842500000000001</v>
      </c>
    </row>
    <row r="747" spans="1:8" x14ac:dyDescent="0.2">
      <c r="A747">
        <v>169.828</v>
      </c>
      <c r="B747">
        <v>0.65380000000000005</v>
      </c>
      <c r="C747">
        <v>33.621600000000001</v>
      </c>
      <c r="D747">
        <v>0</v>
      </c>
      <c r="E747">
        <v>3</v>
      </c>
      <c r="G747">
        <v>0.61629999999999996</v>
      </c>
      <c r="H747">
        <v>26.730499999999999</v>
      </c>
    </row>
    <row r="748" spans="1:8" x14ac:dyDescent="0.2">
      <c r="A748">
        <v>170.07849999999999</v>
      </c>
      <c r="B748">
        <v>0.6512</v>
      </c>
      <c r="C748">
        <v>33.520899999999997</v>
      </c>
      <c r="D748">
        <v>0</v>
      </c>
      <c r="E748">
        <v>3</v>
      </c>
      <c r="G748">
        <v>0.61670000000000003</v>
      </c>
      <c r="H748">
        <v>26.629799999999999</v>
      </c>
    </row>
    <row r="749" spans="1:8" x14ac:dyDescent="0.2">
      <c r="A749">
        <v>170.3289</v>
      </c>
      <c r="B749">
        <v>0.65129999999999999</v>
      </c>
      <c r="C749">
        <v>33.4131</v>
      </c>
      <c r="D749">
        <v>0</v>
      </c>
      <c r="E749">
        <v>3</v>
      </c>
      <c r="G749">
        <v>0.61439999999999995</v>
      </c>
      <c r="H749">
        <v>26.526499999999999</v>
      </c>
    </row>
    <row r="750" spans="1:8" x14ac:dyDescent="0.2">
      <c r="A750">
        <v>170.57939999999999</v>
      </c>
      <c r="B750">
        <v>0.65139999999999998</v>
      </c>
      <c r="C750">
        <v>33.308799999999998</v>
      </c>
      <c r="D750">
        <v>0</v>
      </c>
      <c r="E750">
        <v>3</v>
      </c>
      <c r="G750">
        <v>0.61570000000000003</v>
      </c>
      <c r="H750">
        <v>26.419</v>
      </c>
    </row>
    <row r="751" spans="1:8" x14ac:dyDescent="0.2">
      <c r="A751">
        <v>170.82990000000001</v>
      </c>
      <c r="B751">
        <v>0.65059999999999996</v>
      </c>
      <c r="C751">
        <v>33.201300000000003</v>
      </c>
      <c r="D751">
        <v>0</v>
      </c>
      <c r="E751">
        <v>3</v>
      </c>
      <c r="G751">
        <v>0.61470000000000002</v>
      </c>
      <c r="H751">
        <v>26.3187</v>
      </c>
    </row>
    <row r="752" spans="1:8" x14ac:dyDescent="0.2">
      <c r="A752">
        <v>171.0804</v>
      </c>
      <c r="B752">
        <v>0.6502</v>
      </c>
      <c r="C752">
        <v>33.102800000000002</v>
      </c>
      <c r="D752">
        <v>0</v>
      </c>
      <c r="E752">
        <v>3</v>
      </c>
      <c r="G752">
        <v>0.61229999999999996</v>
      </c>
      <c r="H752">
        <v>26.218299999999999</v>
      </c>
    </row>
    <row r="753" spans="1:8" x14ac:dyDescent="0.2">
      <c r="A753">
        <v>171.33090000000001</v>
      </c>
      <c r="B753">
        <v>0.65090000000000003</v>
      </c>
      <c r="C753">
        <v>32.994199999999999</v>
      </c>
      <c r="D753">
        <v>0</v>
      </c>
      <c r="E753">
        <v>3</v>
      </c>
      <c r="G753">
        <v>0.6129</v>
      </c>
      <c r="H753">
        <v>26.109300000000001</v>
      </c>
    </row>
    <row r="754" spans="1:8" x14ac:dyDescent="0.2">
      <c r="A754">
        <v>171.5814</v>
      </c>
      <c r="B754">
        <v>0.64990000000000003</v>
      </c>
      <c r="C754">
        <v>32.889800000000001</v>
      </c>
      <c r="D754">
        <v>0</v>
      </c>
      <c r="E754">
        <v>3</v>
      </c>
      <c r="G754">
        <v>0.61150000000000004</v>
      </c>
      <c r="H754">
        <v>26.010300000000001</v>
      </c>
    </row>
    <row r="755" spans="1:8" x14ac:dyDescent="0.2">
      <c r="A755">
        <v>171.83179999999999</v>
      </c>
      <c r="B755">
        <v>0.64790000000000003</v>
      </c>
      <c r="C755">
        <v>32.7883</v>
      </c>
      <c r="D755">
        <v>0</v>
      </c>
      <c r="E755">
        <v>3</v>
      </c>
      <c r="G755">
        <v>0.61199999999999999</v>
      </c>
      <c r="H755">
        <v>25.898</v>
      </c>
    </row>
    <row r="756" spans="1:8" x14ac:dyDescent="0.2">
      <c r="A756">
        <v>172.0823</v>
      </c>
      <c r="B756">
        <v>0.64870000000000005</v>
      </c>
      <c r="C756">
        <v>32.682099999999998</v>
      </c>
      <c r="D756">
        <v>0</v>
      </c>
      <c r="E756">
        <v>3</v>
      </c>
      <c r="G756">
        <v>0.61140000000000005</v>
      </c>
      <c r="H756">
        <v>25.794499999999999</v>
      </c>
    </row>
    <row r="757" spans="1:8" x14ac:dyDescent="0.2">
      <c r="A757">
        <v>172.33279999999999</v>
      </c>
      <c r="B757">
        <v>0.64759999999999995</v>
      </c>
      <c r="C757">
        <v>32.580599999999997</v>
      </c>
      <c r="D757">
        <v>0</v>
      </c>
      <c r="E757">
        <v>3</v>
      </c>
      <c r="G757">
        <v>0.60980000000000001</v>
      </c>
      <c r="H757">
        <v>25.692799999999998</v>
      </c>
    </row>
    <row r="758" spans="1:8" x14ac:dyDescent="0.2">
      <c r="A758">
        <v>172.58330000000001</v>
      </c>
      <c r="B758">
        <v>0.64780000000000004</v>
      </c>
      <c r="C758">
        <v>32.476799999999997</v>
      </c>
      <c r="D758">
        <v>0</v>
      </c>
      <c r="E758">
        <v>3</v>
      </c>
      <c r="G758">
        <v>0.60970000000000002</v>
      </c>
      <c r="H758">
        <v>25.588100000000001</v>
      </c>
    </row>
    <row r="759" spans="1:8" x14ac:dyDescent="0.2">
      <c r="A759">
        <v>172.8338</v>
      </c>
      <c r="B759">
        <v>0.64659999999999995</v>
      </c>
      <c r="C759">
        <v>32.371499999999997</v>
      </c>
      <c r="D759">
        <v>0</v>
      </c>
      <c r="E759">
        <v>3</v>
      </c>
      <c r="G759">
        <v>0.60819999999999996</v>
      </c>
      <c r="H759">
        <v>25.480599999999999</v>
      </c>
    </row>
    <row r="760" spans="1:8" x14ac:dyDescent="0.2">
      <c r="A760">
        <v>173.08430000000001</v>
      </c>
      <c r="B760">
        <v>0.64600000000000002</v>
      </c>
      <c r="C760">
        <v>32.270699999999998</v>
      </c>
      <c r="D760">
        <v>0</v>
      </c>
      <c r="E760">
        <v>3</v>
      </c>
      <c r="G760">
        <v>0.60799999999999998</v>
      </c>
      <c r="H760">
        <v>25.379100000000001</v>
      </c>
    </row>
    <row r="761" spans="1:8" x14ac:dyDescent="0.2">
      <c r="A761">
        <v>173.3348</v>
      </c>
      <c r="B761">
        <v>0.64710000000000001</v>
      </c>
      <c r="C761">
        <v>32.156100000000002</v>
      </c>
      <c r="D761">
        <v>0</v>
      </c>
      <c r="E761">
        <v>3</v>
      </c>
      <c r="G761">
        <v>0.60750000000000004</v>
      </c>
      <c r="H761">
        <v>25.2776</v>
      </c>
    </row>
    <row r="762" spans="1:8" x14ac:dyDescent="0.2">
      <c r="A762">
        <v>173.58519999999999</v>
      </c>
      <c r="B762">
        <v>0.64539999999999997</v>
      </c>
      <c r="C762">
        <v>32.057099999999998</v>
      </c>
      <c r="D762">
        <v>0</v>
      </c>
      <c r="E762">
        <v>3</v>
      </c>
      <c r="G762">
        <v>0.60709999999999997</v>
      </c>
      <c r="H762">
        <v>25.169699999999999</v>
      </c>
    </row>
    <row r="763" spans="1:8" x14ac:dyDescent="0.2">
      <c r="A763">
        <v>173.8357</v>
      </c>
      <c r="B763">
        <v>0.64419999999999999</v>
      </c>
      <c r="C763">
        <v>31.949000000000002</v>
      </c>
      <c r="D763">
        <v>0</v>
      </c>
      <c r="E763">
        <v>3</v>
      </c>
      <c r="G763">
        <v>0.60680000000000001</v>
      </c>
      <c r="H763">
        <v>25.065899999999999</v>
      </c>
    </row>
    <row r="764" spans="1:8" x14ac:dyDescent="0.2">
      <c r="A764">
        <v>174.08619999999999</v>
      </c>
      <c r="B764">
        <v>0.64510000000000001</v>
      </c>
      <c r="C764">
        <v>31.8477</v>
      </c>
      <c r="D764">
        <v>0</v>
      </c>
      <c r="E764">
        <v>3</v>
      </c>
      <c r="G764">
        <v>0.60560000000000003</v>
      </c>
      <c r="H764">
        <v>24.962599999999998</v>
      </c>
    </row>
    <row r="765" spans="1:8" x14ac:dyDescent="0.2">
      <c r="A765">
        <v>174.33670000000001</v>
      </c>
      <c r="B765">
        <v>0.64280000000000004</v>
      </c>
      <c r="C765">
        <v>31.7438</v>
      </c>
      <c r="D765">
        <v>0</v>
      </c>
      <c r="E765">
        <v>3</v>
      </c>
      <c r="G765">
        <v>0.60529999999999995</v>
      </c>
      <c r="H765">
        <v>24.8537</v>
      </c>
    </row>
    <row r="766" spans="1:8" x14ac:dyDescent="0.2">
      <c r="A766">
        <v>174.5872</v>
      </c>
      <c r="B766">
        <v>0.64370000000000005</v>
      </c>
      <c r="C766">
        <v>31.6404</v>
      </c>
      <c r="D766">
        <v>0</v>
      </c>
      <c r="E766">
        <v>3</v>
      </c>
      <c r="G766">
        <v>0.60429999999999995</v>
      </c>
      <c r="H766">
        <v>24.7545</v>
      </c>
    </row>
    <row r="767" spans="1:8" x14ac:dyDescent="0.2">
      <c r="A767">
        <v>174.83770000000001</v>
      </c>
      <c r="B767">
        <v>0.64300000000000002</v>
      </c>
      <c r="C767">
        <v>31.536899999999999</v>
      </c>
      <c r="D767">
        <v>0</v>
      </c>
      <c r="E767">
        <v>3</v>
      </c>
      <c r="G767">
        <v>0.60419999999999996</v>
      </c>
      <c r="H767">
        <v>24.648399999999999</v>
      </c>
    </row>
    <row r="768" spans="1:8" x14ac:dyDescent="0.2">
      <c r="A768">
        <v>175.0881</v>
      </c>
      <c r="B768">
        <v>0.64180000000000004</v>
      </c>
      <c r="C768">
        <v>31.430800000000001</v>
      </c>
      <c r="D768">
        <v>0</v>
      </c>
      <c r="E768">
        <v>3</v>
      </c>
      <c r="G768">
        <v>0.60250000000000004</v>
      </c>
      <c r="H768">
        <v>24.543800000000001</v>
      </c>
    </row>
    <row r="769" spans="1:8" x14ac:dyDescent="0.2">
      <c r="A769">
        <v>175.33860000000001</v>
      </c>
      <c r="B769">
        <v>0.64180000000000004</v>
      </c>
      <c r="C769">
        <v>31.329799999999999</v>
      </c>
      <c r="D769">
        <v>0</v>
      </c>
      <c r="E769">
        <v>3</v>
      </c>
      <c r="G769">
        <v>0.60260000000000002</v>
      </c>
      <c r="H769">
        <v>24.439</v>
      </c>
    </row>
    <row r="770" spans="1:8" x14ac:dyDescent="0.2">
      <c r="A770">
        <v>175.5891</v>
      </c>
      <c r="B770">
        <v>0.64249999999999996</v>
      </c>
      <c r="C770">
        <v>31.217400000000001</v>
      </c>
      <c r="D770">
        <v>0</v>
      </c>
      <c r="E770">
        <v>3</v>
      </c>
      <c r="G770">
        <v>0.60150000000000003</v>
      </c>
      <c r="H770">
        <v>24.335999999999999</v>
      </c>
    </row>
    <row r="771" spans="1:8" x14ac:dyDescent="0.2">
      <c r="A771">
        <v>175.83959999999999</v>
      </c>
      <c r="B771">
        <v>0.64</v>
      </c>
      <c r="C771">
        <v>31.115600000000001</v>
      </c>
      <c r="D771">
        <v>0</v>
      </c>
      <c r="E771">
        <v>3</v>
      </c>
      <c r="G771">
        <v>0.60170000000000001</v>
      </c>
      <c r="H771">
        <v>24.2302</v>
      </c>
    </row>
    <row r="772" spans="1:8" x14ac:dyDescent="0.2">
      <c r="A772">
        <v>176.09010000000001</v>
      </c>
      <c r="B772">
        <v>0.64059999999999995</v>
      </c>
      <c r="C772">
        <v>31.0124</v>
      </c>
      <c r="D772">
        <v>0</v>
      </c>
      <c r="E772">
        <v>3</v>
      </c>
      <c r="G772">
        <v>0.60060000000000002</v>
      </c>
      <c r="H772">
        <v>24.126000000000001</v>
      </c>
    </row>
    <row r="773" spans="1:8" x14ac:dyDescent="0.2">
      <c r="A773">
        <v>176.34059999999999</v>
      </c>
      <c r="B773">
        <v>0.6401</v>
      </c>
      <c r="C773">
        <v>30.911300000000001</v>
      </c>
      <c r="D773">
        <v>0</v>
      </c>
      <c r="E773">
        <v>3</v>
      </c>
      <c r="G773">
        <v>0.59940000000000004</v>
      </c>
      <c r="H773">
        <v>24.025700000000001</v>
      </c>
    </row>
    <row r="774" spans="1:8" x14ac:dyDescent="0.2">
      <c r="A774">
        <v>176.59100000000001</v>
      </c>
      <c r="B774">
        <v>0.6391</v>
      </c>
      <c r="C774">
        <v>30.801400000000001</v>
      </c>
      <c r="D774">
        <v>0</v>
      </c>
      <c r="E774">
        <v>3</v>
      </c>
      <c r="G774">
        <v>0.59940000000000004</v>
      </c>
      <c r="H774">
        <v>23.919699999999999</v>
      </c>
    </row>
    <row r="775" spans="1:8" x14ac:dyDescent="0.2">
      <c r="A775">
        <v>176.8415</v>
      </c>
      <c r="B775">
        <v>0.63870000000000005</v>
      </c>
      <c r="C775">
        <v>30.6952</v>
      </c>
      <c r="D775">
        <v>0</v>
      </c>
      <c r="E775">
        <v>3</v>
      </c>
      <c r="G775">
        <v>0.59909999999999997</v>
      </c>
      <c r="H775">
        <v>23.8156</v>
      </c>
    </row>
    <row r="776" spans="1:8" x14ac:dyDescent="0.2">
      <c r="A776">
        <v>177.09200000000001</v>
      </c>
      <c r="B776">
        <v>0.63690000000000002</v>
      </c>
      <c r="C776">
        <v>30.599799999999998</v>
      </c>
      <c r="D776">
        <v>0</v>
      </c>
      <c r="E776">
        <v>3</v>
      </c>
      <c r="G776">
        <v>0.59830000000000005</v>
      </c>
      <c r="H776">
        <v>23.7149</v>
      </c>
    </row>
    <row r="777" spans="1:8" x14ac:dyDescent="0.2">
      <c r="A777">
        <v>177.3425</v>
      </c>
      <c r="B777">
        <v>0.6381</v>
      </c>
      <c r="C777">
        <v>30.488800000000001</v>
      </c>
      <c r="D777">
        <v>0</v>
      </c>
      <c r="E777">
        <v>3</v>
      </c>
      <c r="G777">
        <v>0.5978</v>
      </c>
      <c r="H777">
        <v>23.604500000000002</v>
      </c>
    </row>
    <row r="778" spans="1:8" x14ac:dyDescent="0.2">
      <c r="A778">
        <v>177.59299999999999</v>
      </c>
      <c r="B778">
        <v>0.63670000000000004</v>
      </c>
      <c r="C778">
        <v>30.386500000000002</v>
      </c>
      <c r="D778">
        <v>0</v>
      </c>
      <c r="E778">
        <v>3</v>
      </c>
      <c r="G778">
        <v>0.59719999999999995</v>
      </c>
      <c r="H778">
        <v>23.499300000000002</v>
      </c>
    </row>
    <row r="779" spans="1:8" x14ac:dyDescent="0.2">
      <c r="A779">
        <v>177.84350000000001</v>
      </c>
      <c r="B779">
        <v>0.63600000000000001</v>
      </c>
      <c r="C779">
        <v>30.283200000000001</v>
      </c>
      <c r="D779">
        <v>0</v>
      </c>
      <c r="E779">
        <v>3</v>
      </c>
      <c r="G779">
        <v>0.59660000000000002</v>
      </c>
      <c r="H779">
        <v>23.3934</v>
      </c>
    </row>
    <row r="780" spans="1:8" x14ac:dyDescent="0.2">
      <c r="A780">
        <v>178.09389999999999</v>
      </c>
      <c r="B780">
        <v>0.6361</v>
      </c>
      <c r="C780">
        <v>30.1785</v>
      </c>
      <c r="D780">
        <v>0</v>
      </c>
      <c r="E780">
        <v>3</v>
      </c>
      <c r="G780">
        <v>0.59560000000000002</v>
      </c>
      <c r="H780">
        <v>23.293500000000002</v>
      </c>
    </row>
    <row r="781" spans="1:8" x14ac:dyDescent="0.2">
      <c r="A781">
        <v>178.34440000000001</v>
      </c>
      <c r="B781">
        <v>0.63419999999999999</v>
      </c>
      <c r="C781">
        <v>30.077999999999999</v>
      </c>
      <c r="D781">
        <v>0</v>
      </c>
      <c r="E781">
        <v>3</v>
      </c>
      <c r="G781">
        <v>0.59540000000000004</v>
      </c>
      <c r="H781">
        <v>23.182600000000001</v>
      </c>
    </row>
    <row r="782" spans="1:8" x14ac:dyDescent="0.2">
      <c r="A782">
        <v>178.5949</v>
      </c>
      <c r="B782">
        <v>0.63419999999999999</v>
      </c>
      <c r="C782">
        <v>29.971399999999999</v>
      </c>
      <c r="D782">
        <v>0</v>
      </c>
      <c r="E782">
        <v>3</v>
      </c>
      <c r="G782">
        <v>0.59409999999999996</v>
      </c>
      <c r="H782">
        <v>23.083500000000001</v>
      </c>
    </row>
    <row r="783" spans="1:8" x14ac:dyDescent="0.2">
      <c r="A783">
        <v>178.84540000000001</v>
      </c>
      <c r="B783">
        <v>0.63380000000000003</v>
      </c>
      <c r="C783">
        <v>29.865300000000001</v>
      </c>
      <c r="D783">
        <v>0</v>
      </c>
      <c r="E783">
        <v>3</v>
      </c>
      <c r="G783">
        <v>0.59350000000000003</v>
      </c>
      <c r="H783">
        <v>22.978000000000002</v>
      </c>
    </row>
    <row r="784" spans="1:8" x14ac:dyDescent="0.2">
      <c r="A784">
        <v>179.0959</v>
      </c>
      <c r="B784">
        <v>0.63249999999999995</v>
      </c>
      <c r="C784">
        <v>29.761800000000001</v>
      </c>
      <c r="D784">
        <v>0</v>
      </c>
      <c r="E784">
        <v>3</v>
      </c>
      <c r="G784">
        <v>0.59260000000000002</v>
      </c>
      <c r="H784">
        <v>22.878599999999999</v>
      </c>
    </row>
    <row r="785" spans="1:8" x14ac:dyDescent="0.2">
      <c r="A785">
        <v>179.34639999999999</v>
      </c>
      <c r="B785">
        <v>0.63249999999999995</v>
      </c>
      <c r="C785">
        <v>29.657699999999998</v>
      </c>
      <c r="D785">
        <v>0</v>
      </c>
      <c r="E785">
        <v>3</v>
      </c>
      <c r="G785">
        <v>0.59250000000000003</v>
      </c>
      <c r="H785">
        <v>22.769200000000001</v>
      </c>
    </row>
    <row r="786" spans="1:8" x14ac:dyDescent="0.2">
      <c r="A786">
        <v>179.5968</v>
      </c>
      <c r="B786">
        <v>0.63260000000000005</v>
      </c>
      <c r="C786">
        <v>29.5532</v>
      </c>
      <c r="D786">
        <v>0</v>
      </c>
      <c r="E786">
        <v>3</v>
      </c>
      <c r="G786">
        <v>0.5917</v>
      </c>
      <c r="H786">
        <v>22.665800000000001</v>
      </c>
    </row>
    <row r="787" spans="1:8" x14ac:dyDescent="0.2">
      <c r="A787">
        <v>179.84729999999999</v>
      </c>
      <c r="B787">
        <v>0.63180000000000003</v>
      </c>
      <c r="C787">
        <v>29.449300000000001</v>
      </c>
      <c r="D787">
        <v>0</v>
      </c>
      <c r="E787">
        <v>3</v>
      </c>
      <c r="G787">
        <v>0.59079999999999999</v>
      </c>
      <c r="H787">
        <v>22.5627</v>
      </c>
    </row>
    <row r="788" spans="1:8" x14ac:dyDescent="0.2">
      <c r="A788">
        <v>180.09780000000001</v>
      </c>
      <c r="B788">
        <v>0.63119999999999998</v>
      </c>
      <c r="C788">
        <v>29.3445</v>
      </c>
      <c r="D788">
        <v>0</v>
      </c>
      <c r="E788">
        <v>3</v>
      </c>
      <c r="G788">
        <v>0.58979999999999999</v>
      </c>
      <c r="H788">
        <v>22.4575</v>
      </c>
    </row>
    <row r="789" spans="1:8" x14ac:dyDescent="0.2">
      <c r="A789">
        <v>180.34829999999999</v>
      </c>
      <c r="B789">
        <v>0.63029999999999997</v>
      </c>
      <c r="C789">
        <v>29.2407</v>
      </c>
      <c r="D789">
        <v>0</v>
      </c>
      <c r="E789">
        <v>3</v>
      </c>
      <c r="G789">
        <v>0.58960000000000001</v>
      </c>
      <c r="H789">
        <v>22.357900000000001</v>
      </c>
    </row>
    <row r="790" spans="1:8" x14ac:dyDescent="0.2">
      <c r="A790">
        <v>180.59880000000001</v>
      </c>
      <c r="B790">
        <v>0.629</v>
      </c>
      <c r="C790">
        <v>29.1326</v>
      </c>
      <c r="D790">
        <v>0</v>
      </c>
      <c r="E790">
        <v>3</v>
      </c>
      <c r="G790">
        <v>0.58860000000000001</v>
      </c>
      <c r="H790">
        <v>22.249500000000001</v>
      </c>
    </row>
    <row r="791" spans="1:8" x14ac:dyDescent="0.2">
      <c r="A791">
        <v>180.8493</v>
      </c>
      <c r="B791">
        <v>0.63019999999999998</v>
      </c>
      <c r="C791">
        <v>29.033300000000001</v>
      </c>
      <c r="D791">
        <v>0</v>
      </c>
      <c r="E791">
        <v>3</v>
      </c>
      <c r="G791">
        <v>0.58850000000000002</v>
      </c>
      <c r="H791">
        <v>22.144300000000001</v>
      </c>
    </row>
    <row r="792" spans="1:8" x14ac:dyDescent="0.2">
      <c r="A792">
        <v>181.09970000000001</v>
      </c>
      <c r="B792">
        <v>0.62919999999999998</v>
      </c>
      <c r="C792">
        <v>28.925000000000001</v>
      </c>
      <c r="D792">
        <v>0</v>
      </c>
      <c r="E792">
        <v>3</v>
      </c>
      <c r="G792">
        <v>0.58760000000000001</v>
      </c>
      <c r="H792">
        <v>22.038</v>
      </c>
    </row>
    <row r="793" spans="1:8" x14ac:dyDescent="0.2">
      <c r="A793">
        <v>181.3502</v>
      </c>
      <c r="B793">
        <v>0.62909999999999999</v>
      </c>
      <c r="C793">
        <v>28.82</v>
      </c>
      <c r="D793">
        <v>0</v>
      </c>
      <c r="E793">
        <v>3</v>
      </c>
      <c r="G793">
        <v>0.58740000000000003</v>
      </c>
      <c r="H793">
        <v>21.933</v>
      </c>
    </row>
    <row r="794" spans="1:8" x14ac:dyDescent="0.2">
      <c r="A794">
        <v>181.60069999999999</v>
      </c>
      <c r="B794">
        <v>0.628</v>
      </c>
      <c r="C794">
        <v>28.720500000000001</v>
      </c>
      <c r="D794">
        <v>0</v>
      </c>
      <c r="E794">
        <v>3</v>
      </c>
      <c r="G794">
        <v>0.58560000000000001</v>
      </c>
      <c r="H794">
        <v>21.832599999999999</v>
      </c>
    </row>
    <row r="795" spans="1:8" x14ac:dyDescent="0.2">
      <c r="A795">
        <v>181.85120000000001</v>
      </c>
      <c r="B795">
        <v>0.62670000000000003</v>
      </c>
      <c r="C795">
        <v>28.617000000000001</v>
      </c>
      <c r="D795">
        <v>0</v>
      </c>
      <c r="E795">
        <v>3</v>
      </c>
      <c r="G795">
        <v>0.58609999999999995</v>
      </c>
      <c r="H795">
        <v>21.729199999999999</v>
      </c>
    </row>
    <row r="796" spans="1:8" x14ac:dyDescent="0.2">
      <c r="A796">
        <v>182.10169999999999</v>
      </c>
      <c r="B796">
        <v>0.62729999999999997</v>
      </c>
      <c r="C796">
        <v>28.511900000000001</v>
      </c>
      <c r="D796">
        <v>0</v>
      </c>
      <c r="E796">
        <v>3</v>
      </c>
      <c r="G796">
        <v>0.58399999999999996</v>
      </c>
      <c r="H796">
        <v>21.6234</v>
      </c>
    </row>
    <row r="797" spans="1:8" x14ac:dyDescent="0.2">
      <c r="A797">
        <v>182.35220000000001</v>
      </c>
      <c r="B797">
        <v>0.62649999999999995</v>
      </c>
      <c r="C797">
        <v>28.403500000000001</v>
      </c>
      <c r="D797">
        <v>0</v>
      </c>
      <c r="E797">
        <v>3</v>
      </c>
      <c r="G797">
        <v>0.5847</v>
      </c>
      <c r="H797">
        <v>21.5169</v>
      </c>
    </row>
    <row r="798" spans="1:8" x14ac:dyDescent="0.2">
      <c r="A798">
        <v>182.6027</v>
      </c>
      <c r="B798">
        <v>0.62570000000000003</v>
      </c>
      <c r="C798">
        <v>28.2988</v>
      </c>
      <c r="D798">
        <v>0</v>
      </c>
      <c r="E798">
        <v>3</v>
      </c>
      <c r="G798">
        <v>0.58260000000000001</v>
      </c>
      <c r="H798">
        <v>21.415600000000001</v>
      </c>
    </row>
    <row r="799" spans="1:8" x14ac:dyDescent="0.2">
      <c r="A799">
        <v>182.85310000000001</v>
      </c>
      <c r="B799">
        <v>0.62529999999999997</v>
      </c>
      <c r="C799">
        <v>28.1935</v>
      </c>
      <c r="D799">
        <v>0</v>
      </c>
      <c r="E799">
        <v>3</v>
      </c>
      <c r="G799">
        <v>0.5827</v>
      </c>
      <c r="H799">
        <v>21.3123</v>
      </c>
    </row>
    <row r="800" spans="1:8" x14ac:dyDescent="0.2">
      <c r="A800">
        <v>183.1036</v>
      </c>
      <c r="B800">
        <v>0.62380000000000002</v>
      </c>
      <c r="C800">
        <v>28.088200000000001</v>
      </c>
      <c r="D800">
        <v>0</v>
      </c>
      <c r="E800">
        <v>3</v>
      </c>
      <c r="G800">
        <v>0.58230000000000004</v>
      </c>
      <c r="H800">
        <v>21.205300000000001</v>
      </c>
    </row>
    <row r="801" spans="1:8" x14ac:dyDescent="0.2">
      <c r="A801">
        <v>183.35409999999999</v>
      </c>
      <c r="B801">
        <v>0.62329999999999997</v>
      </c>
      <c r="C801">
        <v>27.989599999999999</v>
      </c>
      <c r="D801">
        <v>0</v>
      </c>
      <c r="E801">
        <v>3</v>
      </c>
      <c r="G801">
        <v>0.58199999999999996</v>
      </c>
      <c r="H801">
        <v>21.1</v>
      </c>
    </row>
    <row r="802" spans="1:8" x14ac:dyDescent="0.2">
      <c r="A802">
        <v>183.6046</v>
      </c>
      <c r="B802">
        <v>0.62270000000000003</v>
      </c>
      <c r="C802">
        <v>27.881900000000002</v>
      </c>
      <c r="D802">
        <v>0</v>
      </c>
      <c r="E802">
        <v>3</v>
      </c>
      <c r="G802">
        <v>0.58099999999999996</v>
      </c>
      <c r="H802">
        <v>20.995899999999999</v>
      </c>
    </row>
    <row r="803" spans="1:8" x14ac:dyDescent="0.2">
      <c r="A803">
        <v>183.85509999999999</v>
      </c>
      <c r="B803">
        <v>0.62250000000000005</v>
      </c>
      <c r="C803">
        <v>27.776299999999999</v>
      </c>
      <c r="D803">
        <v>0</v>
      </c>
      <c r="E803">
        <v>3</v>
      </c>
      <c r="G803">
        <v>0.57969999999999999</v>
      </c>
      <c r="H803">
        <v>20.8932</v>
      </c>
    </row>
    <row r="804" spans="1:8" x14ac:dyDescent="0.2">
      <c r="A804">
        <v>184.10560000000001</v>
      </c>
      <c r="B804">
        <v>0.62119999999999997</v>
      </c>
      <c r="C804">
        <v>27.677499999999998</v>
      </c>
      <c r="D804">
        <v>0</v>
      </c>
      <c r="E804">
        <v>3</v>
      </c>
      <c r="G804">
        <v>0.57789999999999997</v>
      </c>
      <c r="H804">
        <v>20.784400000000002</v>
      </c>
    </row>
    <row r="805" spans="1:8" x14ac:dyDescent="0.2">
      <c r="A805">
        <v>184.35599999999999</v>
      </c>
      <c r="B805">
        <v>0.62150000000000005</v>
      </c>
      <c r="C805">
        <v>27.569800000000001</v>
      </c>
      <c r="D805">
        <v>0</v>
      </c>
      <c r="E805">
        <v>3</v>
      </c>
      <c r="G805">
        <v>0.57840000000000003</v>
      </c>
      <c r="H805">
        <v>20.6846</v>
      </c>
    </row>
    <row r="806" spans="1:8" x14ac:dyDescent="0.2">
      <c r="A806">
        <v>184.60650000000001</v>
      </c>
      <c r="B806">
        <v>0.62050000000000005</v>
      </c>
      <c r="C806">
        <v>27.464400000000001</v>
      </c>
      <c r="D806">
        <v>0</v>
      </c>
      <c r="E806">
        <v>3</v>
      </c>
      <c r="G806">
        <v>0.57730000000000004</v>
      </c>
      <c r="H806">
        <v>20.581199999999999</v>
      </c>
    </row>
    <row r="807" spans="1:8" x14ac:dyDescent="0.2">
      <c r="A807">
        <v>184.857</v>
      </c>
      <c r="B807">
        <v>0.62009999999999998</v>
      </c>
      <c r="C807">
        <v>27.3569</v>
      </c>
      <c r="D807">
        <v>0</v>
      </c>
      <c r="E807">
        <v>3</v>
      </c>
      <c r="G807">
        <v>0.5766</v>
      </c>
      <c r="H807">
        <v>20.4757</v>
      </c>
    </row>
    <row r="808" spans="1:8" x14ac:dyDescent="0.2">
      <c r="A808">
        <v>185.10749999999999</v>
      </c>
      <c r="B808">
        <v>0.61899999999999999</v>
      </c>
      <c r="C808">
        <v>27.256399999999999</v>
      </c>
      <c r="D808">
        <v>0</v>
      </c>
      <c r="E808">
        <v>3</v>
      </c>
      <c r="G808">
        <v>0.57669999999999999</v>
      </c>
      <c r="H808">
        <v>20.3704</v>
      </c>
    </row>
    <row r="809" spans="1:8" x14ac:dyDescent="0.2">
      <c r="A809">
        <v>185.358</v>
      </c>
      <c r="B809">
        <v>0.61760000000000004</v>
      </c>
      <c r="C809">
        <v>27.154199999999999</v>
      </c>
      <c r="D809">
        <v>0</v>
      </c>
      <c r="E809">
        <v>3</v>
      </c>
      <c r="G809">
        <v>0.57689999999999997</v>
      </c>
      <c r="H809">
        <v>20.265599999999999</v>
      </c>
    </row>
    <row r="810" spans="1:8" x14ac:dyDescent="0.2">
      <c r="A810">
        <v>185.60849999999999</v>
      </c>
      <c r="B810">
        <v>0.61799999999999999</v>
      </c>
      <c r="C810">
        <v>27.044599999999999</v>
      </c>
      <c r="D810">
        <v>0</v>
      </c>
      <c r="E810">
        <v>3</v>
      </c>
      <c r="G810">
        <v>0.57509999999999994</v>
      </c>
      <c r="H810">
        <v>20.163599999999999</v>
      </c>
    </row>
    <row r="811" spans="1:8" x14ac:dyDescent="0.2">
      <c r="A811">
        <v>185.85890000000001</v>
      </c>
      <c r="B811">
        <v>0.61760000000000004</v>
      </c>
      <c r="C811">
        <v>26.947700000000001</v>
      </c>
      <c r="D811">
        <v>0</v>
      </c>
      <c r="E811">
        <v>3</v>
      </c>
      <c r="G811">
        <v>0.57469999999999999</v>
      </c>
      <c r="H811">
        <v>20.055599999999998</v>
      </c>
    </row>
    <row r="812" spans="1:8" x14ac:dyDescent="0.2">
      <c r="A812">
        <v>186.10939999999999</v>
      </c>
      <c r="B812">
        <v>0.61670000000000003</v>
      </c>
      <c r="C812">
        <v>26.842500000000001</v>
      </c>
      <c r="D812">
        <v>0</v>
      </c>
      <c r="E812">
        <v>3</v>
      </c>
      <c r="G812">
        <v>0.57289999999999996</v>
      </c>
      <c r="H812">
        <v>19.950399999999998</v>
      </c>
    </row>
    <row r="813" spans="1:8" x14ac:dyDescent="0.2">
      <c r="A813">
        <v>186.35990000000001</v>
      </c>
      <c r="B813">
        <v>0.61629999999999996</v>
      </c>
      <c r="C813">
        <v>26.730499999999999</v>
      </c>
      <c r="D813">
        <v>0</v>
      </c>
      <c r="E813">
        <v>3</v>
      </c>
      <c r="G813">
        <v>0.57269999999999999</v>
      </c>
      <c r="H813">
        <v>19.8505</v>
      </c>
    </row>
    <row r="814" spans="1:8" x14ac:dyDescent="0.2">
      <c r="A814">
        <v>186.6104</v>
      </c>
      <c r="B814">
        <v>0.61670000000000003</v>
      </c>
      <c r="C814">
        <v>26.629799999999999</v>
      </c>
      <c r="D814">
        <v>0</v>
      </c>
      <c r="E814">
        <v>3</v>
      </c>
      <c r="G814">
        <v>0.57230000000000003</v>
      </c>
      <c r="H814">
        <v>19.743200000000002</v>
      </c>
    </row>
    <row r="815" spans="1:8" x14ac:dyDescent="0.2">
      <c r="A815">
        <v>186.86089999999999</v>
      </c>
      <c r="B815">
        <v>0.61439999999999995</v>
      </c>
      <c r="C815">
        <v>26.526499999999999</v>
      </c>
      <c r="D815">
        <v>0</v>
      </c>
      <c r="E815">
        <v>3</v>
      </c>
      <c r="G815">
        <v>0.57089999999999996</v>
      </c>
      <c r="H815">
        <v>19.6419</v>
      </c>
    </row>
    <row r="816" spans="1:8" x14ac:dyDescent="0.2">
      <c r="A816">
        <v>187.1114</v>
      </c>
      <c r="B816">
        <v>0.61570000000000003</v>
      </c>
      <c r="C816">
        <v>26.419</v>
      </c>
      <c r="D816">
        <v>0</v>
      </c>
      <c r="E816">
        <v>3</v>
      </c>
      <c r="G816">
        <v>0.57010000000000005</v>
      </c>
      <c r="H816">
        <v>19.535799999999998</v>
      </c>
    </row>
    <row r="817" spans="1:8" x14ac:dyDescent="0.2">
      <c r="A817">
        <v>187.36179999999999</v>
      </c>
      <c r="B817">
        <v>0.61470000000000002</v>
      </c>
      <c r="C817">
        <v>26.3187</v>
      </c>
      <c r="D817">
        <v>0</v>
      </c>
      <c r="E817">
        <v>3</v>
      </c>
      <c r="G817">
        <v>0.57089999999999996</v>
      </c>
      <c r="H817">
        <v>19.43</v>
      </c>
    </row>
    <row r="818" spans="1:8" x14ac:dyDescent="0.2">
      <c r="A818">
        <v>187.6123</v>
      </c>
      <c r="B818">
        <v>0.61229999999999996</v>
      </c>
      <c r="C818">
        <v>26.218299999999999</v>
      </c>
      <c r="D818">
        <v>0</v>
      </c>
      <c r="E818">
        <v>3</v>
      </c>
      <c r="G818">
        <v>0.57030000000000003</v>
      </c>
      <c r="H818">
        <v>19.323499999999999</v>
      </c>
    </row>
    <row r="819" spans="1:8" x14ac:dyDescent="0.2">
      <c r="A819">
        <v>187.86279999999999</v>
      </c>
      <c r="B819">
        <v>0.6129</v>
      </c>
      <c r="C819">
        <v>26.109300000000001</v>
      </c>
      <c r="D819">
        <v>0</v>
      </c>
      <c r="E819">
        <v>3</v>
      </c>
      <c r="G819">
        <v>0.56889999999999996</v>
      </c>
      <c r="H819">
        <v>19.222200000000001</v>
      </c>
    </row>
    <row r="820" spans="1:8" x14ac:dyDescent="0.2">
      <c r="A820">
        <v>188.11330000000001</v>
      </c>
      <c r="B820">
        <v>0.61150000000000004</v>
      </c>
      <c r="C820">
        <v>26.010300000000001</v>
      </c>
      <c r="D820">
        <v>0</v>
      </c>
      <c r="E820">
        <v>3</v>
      </c>
      <c r="G820">
        <v>0.56830000000000003</v>
      </c>
      <c r="H820">
        <v>19.1128</v>
      </c>
    </row>
    <row r="821" spans="1:8" x14ac:dyDescent="0.2">
      <c r="A821">
        <v>188.3638</v>
      </c>
      <c r="B821">
        <v>0.61199999999999999</v>
      </c>
      <c r="C821">
        <v>25.898</v>
      </c>
      <c r="D821">
        <v>0</v>
      </c>
      <c r="E821">
        <v>3</v>
      </c>
      <c r="G821">
        <v>0.56679999999999997</v>
      </c>
      <c r="H821">
        <v>19.014399999999998</v>
      </c>
    </row>
    <row r="822" spans="1:8" x14ac:dyDescent="0.2">
      <c r="A822">
        <v>188.61429999999999</v>
      </c>
      <c r="B822">
        <v>0.61140000000000005</v>
      </c>
      <c r="C822">
        <v>25.794499999999999</v>
      </c>
      <c r="D822">
        <v>0</v>
      </c>
      <c r="E822">
        <v>3</v>
      </c>
      <c r="G822">
        <v>0.56710000000000005</v>
      </c>
      <c r="H822">
        <v>18.909500000000001</v>
      </c>
    </row>
    <row r="823" spans="1:8" x14ac:dyDescent="0.2">
      <c r="A823">
        <v>188.8647</v>
      </c>
      <c r="B823">
        <v>0.60980000000000001</v>
      </c>
      <c r="C823">
        <v>25.692799999999998</v>
      </c>
      <c r="D823">
        <v>0</v>
      </c>
      <c r="E823">
        <v>3</v>
      </c>
      <c r="G823">
        <v>0.56599999999999995</v>
      </c>
      <c r="H823">
        <v>18.806699999999999</v>
      </c>
    </row>
    <row r="824" spans="1:8" x14ac:dyDescent="0.2">
      <c r="A824">
        <v>189.11519999999999</v>
      </c>
      <c r="B824">
        <v>0.60970000000000002</v>
      </c>
      <c r="C824">
        <v>25.588100000000001</v>
      </c>
      <c r="D824">
        <v>0</v>
      </c>
      <c r="E824">
        <v>3</v>
      </c>
      <c r="G824">
        <v>0.5655</v>
      </c>
      <c r="H824">
        <v>18.704999999999998</v>
      </c>
    </row>
    <row r="825" spans="1:8" x14ac:dyDescent="0.2">
      <c r="A825">
        <v>189.3657</v>
      </c>
      <c r="B825">
        <v>0.60819999999999996</v>
      </c>
      <c r="C825">
        <v>25.480599999999999</v>
      </c>
      <c r="D825">
        <v>0</v>
      </c>
      <c r="E825">
        <v>3</v>
      </c>
      <c r="G825">
        <v>0.56369999999999998</v>
      </c>
      <c r="H825">
        <v>18.600899999999999</v>
      </c>
    </row>
    <row r="826" spans="1:8" x14ac:dyDescent="0.2">
      <c r="A826">
        <v>189.61619999999999</v>
      </c>
      <c r="B826">
        <v>0.60799999999999998</v>
      </c>
      <c r="C826">
        <v>25.379100000000001</v>
      </c>
      <c r="D826">
        <v>0</v>
      </c>
      <c r="E826">
        <v>3</v>
      </c>
      <c r="G826">
        <v>0.56389999999999996</v>
      </c>
      <c r="H826">
        <v>18.4892</v>
      </c>
    </row>
    <row r="827" spans="1:8" x14ac:dyDescent="0.2">
      <c r="A827">
        <v>189.86670000000001</v>
      </c>
      <c r="B827">
        <v>0.60750000000000004</v>
      </c>
      <c r="C827">
        <v>25.2776</v>
      </c>
      <c r="D827">
        <v>0</v>
      </c>
      <c r="E827">
        <v>3</v>
      </c>
      <c r="G827">
        <v>0.56369999999999998</v>
      </c>
      <c r="H827">
        <v>18.384499999999999</v>
      </c>
    </row>
    <row r="828" spans="1:8" x14ac:dyDescent="0.2">
      <c r="A828">
        <v>190.1172</v>
      </c>
      <c r="B828">
        <v>0.60709999999999997</v>
      </c>
      <c r="C828">
        <v>25.169699999999999</v>
      </c>
      <c r="D828">
        <v>0</v>
      </c>
      <c r="E828">
        <v>3</v>
      </c>
      <c r="G828">
        <v>0.56130000000000002</v>
      </c>
      <c r="H828">
        <v>18.285599999999999</v>
      </c>
    </row>
    <row r="829" spans="1:8" x14ac:dyDescent="0.2">
      <c r="A829">
        <v>190.36760000000001</v>
      </c>
      <c r="B829">
        <v>0.60680000000000001</v>
      </c>
      <c r="C829">
        <v>25.065899999999999</v>
      </c>
      <c r="D829">
        <v>0</v>
      </c>
      <c r="E829">
        <v>3</v>
      </c>
      <c r="G829">
        <v>0.56130000000000002</v>
      </c>
      <c r="H829">
        <v>18.185300000000002</v>
      </c>
    </row>
    <row r="830" spans="1:8" x14ac:dyDescent="0.2">
      <c r="A830">
        <v>190.6181</v>
      </c>
      <c r="B830">
        <v>0.60560000000000003</v>
      </c>
      <c r="C830">
        <v>24.962599999999998</v>
      </c>
      <c r="D830">
        <v>0</v>
      </c>
      <c r="E830">
        <v>3</v>
      </c>
      <c r="G830">
        <v>0.56130000000000002</v>
      </c>
      <c r="H830">
        <v>18.078700000000001</v>
      </c>
    </row>
    <row r="831" spans="1:8" x14ac:dyDescent="0.2">
      <c r="A831">
        <v>190.86859999999999</v>
      </c>
      <c r="B831">
        <v>0.60529999999999995</v>
      </c>
      <c r="C831">
        <v>24.8537</v>
      </c>
      <c r="D831">
        <v>0</v>
      </c>
      <c r="E831">
        <v>3</v>
      </c>
      <c r="G831">
        <v>0.55940000000000001</v>
      </c>
      <c r="H831">
        <v>17.971599999999999</v>
      </c>
    </row>
    <row r="832" spans="1:8" x14ac:dyDescent="0.2">
      <c r="A832">
        <v>191.1191</v>
      </c>
      <c r="B832">
        <v>0.60429999999999995</v>
      </c>
      <c r="C832">
        <v>24.7545</v>
      </c>
      <c r="D832">
        <v>0</v>
      </c>
      <c r="E832">
        <v>3</v>
      </c>
      <c r="G832">
        <v>0.55940000000000001</v>
      </c>
      <c r="H832">
        <v>17.868200000000002</v>
      </c>
    </row>
    <row r="833" spans="1:8" x14ac:dyDescent="0.2">
      <c r="A833">
        <v>191.36959999999999</v>
      </c>
      <c r="B833">
        <v>0.60419999999999996</v>
      </c>
      <c r="C833">
        <v>24.648399999999999</v>
      </c>
      <c r="D833">
        <v>0</v>
      </c>
      <c r="E833">
        <v>3</v>
      </c>
      <c r="G833">
        <v>0.55989999999999995</v>
      </c>
      <c r="H833">
        <v>17.7605</v>
      </c>
    </row>
    <row r="834" spans="1:8" x14ac:dyDescent="0.2">
      <c r="A834">
        <v>191.62010000000001</v>
      </c>
      <c r="B834">
        <v>0.60250000000000004</v>
      </c>
      <c r="C834">
        <v>24.543800000000001</v>
      </c>
      <c r="D834">
        <v>0</v>
      </c>
      <c r="E834">
        <v>3</v>
      </c>
      <c r="G834">
        <v>0.55740000000000001</v>
      </c>
      <c r="H834">
        <v>17.657299999999999</v>
      </c>
    </row>
    <row r="835" spans="1:8" x14ac:dyDescent="0.2">
      <c r="A835">
        <v>191.8706</v>
      </c>
      <c r="B835">
        <v>0.60260000000000002</v>
      </c>
      <c r="C835">
        <v>24.439</v>
      </c>
      <c r="D835">
        <v>0</v>
      </c>
      <c r="E835">
        <v>3</v>
      </c>
      <c r="G835">
        <v>0.55710000000000004</v>
      </c>
      <c r="H835">
        <v>17.558399999999999</v>
      </c>
    </row>
    <row r="836" spans="1:8" x14ac:dyDescent="0.2">
      <c r="A836">
        <v>192.12100000000001</v>
      </c>
      <c r="B836">
        <v>0.60150000000000003</v>
      </c>
      <c r="C836">
        <v>24.335999999999999</v>
      </c>
      <c r="D836">
        <v>0</v>
      </c>
      <c r="E836">
        <v>3</v>
      </c>
      <c r="G836">
        <v>0.55669999999999997</v>
      </c>
      <c r="H836">
        <v>17.449200000000001</v>
      </c>
    </row>
    <row r="837" spans="1:8" x14ac:dyDescent="0.2">
      <c r="A837">
        <v>192.3715</v>
      </c>
      <c r="B837">
        <v>0.60170000000000001</v>
      </c>
      <c r="C837">
        <v>24.2302</v>
      </c>
      <c r="D837">
        <v>0</v>
      </c>
      <c r="E837">
        <v>3</v>
      </c>
      <c r="G837">
        <v>0.55459999999999998</v>
      </c>
      <c r="H837">
        <v>17.348800000000001</v>
      </c>
    </row>
    <row r="838" spans="1:8" x14ac:dyDescent="0.2">
      <c r="A838">
        <v>192.62200000000001</v>
      </c>
      <c r="B838">
        <v>0.60060000000000002</v>
      </c>
      <c r="C838">
        <v>24.126000000000001</v>
      </c>
      <c r="D838">
        <v>0</v>
      </c>
      <c r="E838">
        <v>3</v>
      </c>
      <c r="G838">
        <v>0.5544</v>
      </c>
      <c r="H838">
        <v>17.2408</v>
      </c>
    </row>
    <row r="839" spans="1:8" x14ac:dyDescent="0.2">
      <c r="A839">
        <v>192.8725</v>
      </c>
      <c r="B839">
        <v>0.59940000000000004</v>
      </c>
      <c r="C839">
        <v>24.025700000000001</v>
      </c>
      <c r="D839">
        <v>0</v>
      </c>
      <c r="E839">
        <v>3</v>
      </c>
      <c r="G839">
        <v>0.55420000000000003</v>
      </c>
      <c r="H839">
        <v>17.137599999999999</v>
      </c>
    </row>
    <row r="840" spans="1:8" x14ac:dyDescent="0.2">
      <c r="A840">
        <v>193.12299999999999</v>
      </c>
      <c r="B840">
        <v>0.59940000000000004</v>
      </c>
      <c r="C840">
        <v>23.919699999999999</v>
      </c>
      <c r="D840">
        <v>0</v>
      </c>
      <c r="E840">
        <v>3</v>
      </c>
      <c r="G840">
        <v>0.55300000000000005</v>
      </c>
      <c r="H840">
        <v>17.031199999999998</v>
      </c>
    </row>
    <row r="841" spans="1:8" x14ac:dyDescent="0.2">
      <c r="A841">
        <v>193.37350000000001</v>
      </c>
      <c r="B841">
        <v>0.59909999999999997</v>
      </c>
      <c r="C841">
        <v>23.8156</v>
      </c>
      <c r="D841">
        <v>0</v>
      </c>
      <c r="E841">
        <v>3</v>
      </c>
      <c r="G841">
        <v>0.55230000000000001</v>
      </c>
      <c r="H841">
        <v>16.9268</v>
      </c>
    </row>
    <row r="842" spans="1:8" x14ac:dyDescent="0.2">
      <c r="A842">
        <v>193.62389999999999</v>
      </c>
      <c r="B842">
        <v>0.59830000000000005</v>
      </c>
      <c r="C842">
        <v>23.7149</v>
      </c>
      <c r="D842">
        <v>0</v>
      </c>
      <c r="E842">
        <v>3</v>
      </c>
      <c r="G842">
        <v>0.55220000000000002</v>
      </c>
      <c r="H842">
        <v>16.821899999999999</v>
      </c>
    </row>
    <row r="843" spans="1:8" x14ac:dyDescent="0.2">
      <c r="A843">
        <v>193.87440000000001</v>
      </c>
      <c r="B843">
        <v>0.5978</v>
      </c>
      <c r="C843">
        <v>23.604500000000002</v>
      </c>
      <c r="D843">
        <v>0</v>
      </c>
      <c r="E843">
        <v>3</v>
      </c>
      <c r="G843">
        <v>0.55100000000000005</v>
      </c>
      <c r="H843">
        <v>16.714600000000001</v>
      </c>
    </row>
    <row r="844" spans="1:8" x14ac:dyDescent="0.2">
      <c r="A844">
        <v>194.1249</v>
      </c>
      <c r="B844">
        <v>0.59719999999999995</v>
      </c>
      <c r="C844">
        <v>23.499300000000002</v>
      </c>
      <c r="D844">
        <v>0</v>
      </c>
      <c r="E844">
        <v>3</v>
      </c>
      <c r="G844">
        <v>0.55079999999999996</v>
      </c>
      <c r="H844">
        <v>16.616299999999999</v>
      </c>
    </row>
    <row r="845" spans="1:8" x14ac:dyDescent="0.2">
      <c r="A845">
        <v>194.37540000000001</v>
      </c>
      <c r="B845">
        <v>0.59660000000000002</v>
      </c>
      <c r="C845">
        <v>23.3934</v>
      </c>
      <c r="D845">
        <v>0</v>
      </c>
      <c r="E845">
        <v>3</v>
      </c>
      <c r="G845">
        <v>0.54979999999999996</v>
      </c>
      <c r="H845">
        <v>16.511700000000001</v>
      </c>
    </row>
    <row r="846" spans="1:8" x14ac:dyDescent="0.2">
      <c r="A846">
        <v>194.6259</v>
      </c>
      <c r="B846">
        <v>0.59560000000000002</v>
      </c>
      <c r="C846">
        <v>23.293500000000002</v>
      </c>
      <c r="D846">
        <v>0</v>
      </c>
      <c r="E846">
        <v>3</v>
      </c>
      <c r="G846">
        <v>0.54920000000000002</v>
      </c>
      <c r="H846">
        <v>16.402899999999999</v>
      </c>
    </row>
    <row r="847" spans="1:8" x14ac:dyDescent="0.2">
      <c r="A847">
        <v>194.87639999999999</v>
      </c>
      <c r="B847">
        <v>0.59540000000000004</v>
      </c>
      <c r="C847">
        <v>23.182600000000001</v>
      </c>
      <c r="D847">
        <v>0</v>
      </c>
      <c r="E847">
        <v>3</v>
      </c>
      <c r="G847">
        <v>0.54749999999999999</v>
      </c>
      <c r="H847">
        <v>16.2974</v>
      </c>
    </row>
    <row r="848" spans="1:8" x14ac:dyDescent="0.2">
      <c r="A848">
        <v>195.1268</v>
      </c>
      <c r="B848">
        <v>0.59409999999999996</v>
      </c>
      <c r="C848">
        <v>23.083500000000001</v>
      </c>
      <c r="D848">
        <v>0</v>
      </c>
      <c r="E848">
        <v>3</v>
      </c>
      <c r="G848">
        <v>0.54810000000000003</v>
      </c>
      <c r="H848">
        <v>16.1951</v>
      </c>
    </row>
    <row r="849" spans="1:8" x14ac:dyDescent="0.2">
      <c r="A849">
        <v>195.37729999999999</v>
      </c>
      <c r="B849">
        <v>0.59350000000000003</v>
      </c>
      <c r="C849">
        <v>22.978000000000002</v>
      </c>
      <c r="D849">
        <v>0</v>
      </c>
      <c r="E849">
        <v>3</v>
      </c>
      <c r="G849">
        <v>0.54579999999999995</v>
      </c>
      <c r="H849">
        <v>16.090599999999998</v>
      </c>
    </row>
    <row r="850" spans="1:8" x14ac:dyDescent="0.2">
      <c r="A850">
        <v>195.62780000000001</v>
      </c>
      <c r="B850">
        <v>0.59260000000000002</v>
      </c>
      <c r="C850">
        <v>22.878599999999999</v>
      </c>
      <c r="D850">
        <v>0</v>
      </c>
      <c r="E850">
        <v>3</v>
      </c>
      <c r="G850">
        <v>0.54630000000000001</v>
      </c>
      <c r="H850">
        <v>15.985099999999999</v>
      </c>
    </row>
    <row r="851" spans="1:8" x14ac:dyDescent="0.2">
      <c r="A851">
        <v>195.8783</v>
      </c>
      <c r="B851">
        <v>0.59250000000000003</v>
      </c>
      <c r="C851">
        <v>22.769200000000001</v>
      </c>
      <c r="D851">
        <v>0</v>
      </c>
      <c r="E851">
        <v>3</v>
      </c>
      <c r="G851">
        <v>0.54379999999999995</v>
      </c>
      <c r="H851">
        <v>15.887499999999999</v>
      </c>
    </row>
    <row r="852" spans="1:8" x14ac:dyDescent="0.2">
      <c r="A852">
        <v>196.12880000000001</v>
      </c>
      <c r="B852">
        <v>0.5917</v>
      </c>
      <c r="C852">
        <v>22.665800000000001</v>
      </c>
      <c r="D852">
        <v>0</v>
      </c>
      <c r="E852">
        <v>3</v>
      </c>
      <c r="G852">
        <v>0.54459999999999997</v>
      </c>
      <c r="H852">
        <v>15.7751</v>
      </c>
    </row>
    <row r="853" spans="1:8" x14ac:dyDescent="0.2">
      <c r="A853">
        <v>196.3793</v>
      </c>
      <c r="B853">
        <v>0.59079999999999999</v>
      </c>
      <c r="C853">
        <v>22.5627</v>
      </c>
      <c r="D853">
        <v>0</v>
      </c>
      <c r="E853">
        <v>3</v>
      </c>
      <c r="G853">
        <v>0.54290000000000005</v>
      </c>
      <c r="H853">
        <v>15.678000000000001</v>
      </c>
    </row>
    <row r="854" spans="1:8" x14ac:dyDescent="0.2">
      <c r="A854">
        <v>196.62970000000001</v>
      </c>
      <c r="B854">
        <v>0.58979999999999999</v>
      </c>
      <c r="C854">
        <v>22.4575</v>
      </c>
      <c r="D854">
        <v>0</v>
      </c>
      <c r="E854">
        <v>3</v>
      </c>
      <c r="G854">
        <v>0.54210000000000003</v>
      </c>
      <c r="H854">
        <v>15.5746</v>
      </c>
    </row>
    <row r="855" spans="1:8" x14ac:dyDescent="0.2">
      <c r="A855">
        <v>196.8802</v>
      </c>
      <c r="B855">
        <v>0.58960000000000001</v>
      </c>
      <c r="C855">
        <v>22.357900000000001</v>
      </c>
      <c r="D855">
        <v>0</v>
      </c>
      <c r="E855">
        <v>3</v>
      </c>
      <c r="G855">
        <v>0.5413</v>
      </c>
      <c r="H855">
        <v>15.4666</v>
      </c>
    </row>
    <row r="856" spans="1:8" x14ac:dyDescent="0.2">
      <c r="A856">
        <v>197.13069999999999</v>
      </c>
      <c r="B856">
        <v>0.58860000000000001</v>
      </c>
      <c r="C856">
        <v>22.249500000000001</v>
      </c>
      <c r="D856">
        <v>0</v>
      </c>
      <c r="E856">
        <v>3</v>
      </c>
      <c r="G856">
        <v>0.54179999999999995</v>
      </c>
      <c r="H856">
        <v>15.3589</v>
      </c>
    </row>
    <row r="857" spans="1:8" x14ac:dyDescent="0.2">
      <c r="A857">
        <v>197.38120000000001</v>
      </c>
      <c r="B857">
        <v>0.58850000000000002</v>
      </c>
      <c r="C857">
        <v>22.144300000000001</v>
      </c>
      <c r="D857">
        <v>0</v>
      </c>
      <c r="E857">
        <v>3</v>
      </c>
      <c r="G857">
        <v>0.54120000000000001</v>
      </c>
      <c r="H857">
        <v>15.2559</v>
      </c>
    </row>
    <row r="858" spans="1:8" x14ac:dyDescent="0.2">
      <c r="A858">
        <v>197.6317</v>
      </c>
      <c r="B858">
        <v>0.58760000000000001</v>
      </c>
      <c r="C858">
        <v>22.038</v>
      </c>
      <c r="D858">
        <v>0</v>
      </c>
      <c r="E858">
        <v>3</v>
      </c>
      <c r="G858">
        <v>0.54020000000000001</v>
      </c>
      <c r="H858">
        <v>15.1511</v>
      </c>
    </row>
    <row r="859" spans="1:8" x14ac:dyDescent="0.2">
      <c r="A859">
        <v>197.88220000000001</v>
      </c>
      <c r="B859">
        <v>0.58740000000000003</v>
      </c>
      <c r="C859">
        <v>21.933</v>
      </c>
      <c r="D859">
        <v>0</v>
      </c>
      <c r="E859">
        <v>3</v>
      </c>
      <c r="G859">
        <v>0.53839999999999999</v>
      </c>
      <c r="H859">
        <v>15.048</v>
      </c>
    </row>
    <row r="860" spans="1:8" x14ac:dyDescent="0.2">
      <c r="A860">
        <v>198.1326</v>
      </c>
      <c r="B860">
        <v>0.58560000000000001</v>
      </c>
      <c r="C860">
        <v>21.832599999999999</v>
      </c>
      <c r="D860">
        <v>0</v>
      </c>
      <c r="E860">
        <v>3</v>
      </c>
      <c r="G860">
        <v>0.53739999999999999</v>
      </c>
      <c r="H860">
        <v>14.9482</v>
      </c>
    </row>
    <row r="861" spans="1:8" x14ac:dyDescent="0.2">
      <c r="A861">
        <v>198.38310000000001</v>
      </c>
      <c r="B861">
        <v>0.58609999999999995</v>
      </c>
      <c r="C861">
        <v>21.729199999999999</v>
      </c>
      <c r="D861">
        <v>0</v>
      </c>
      <c r="E861">
        <v>3</v>
      </c>
      <c r="G861">
        <v>0.53610000000000002</v>
      </c>
      <c r="H861">
        <v>14.8453</v>
      </c>
    </row>
    <row r="862" spans="1:8" x14ac:dyDescent="0.2">
      <c r="A862">
        <v>198.6336</v>
      </c>
      <c r="B862">
        <v>0.58399999999999996</v>
      </c>
      <c r="C862">
        <v>21.6234</v>
      </c>
      <c r="D862">
        <v>0</v>
      </c>
      <c r="E862">
        <v>3</v>
      </c>
      <c r="G862">
        <v>0.53610000000000002</v>
      </c>
      <c r="H862">
        <v>14.7346</v>
      </c>
    </row>
    <row r="863" spans="1:8" x14ac:dyDescent="0.2">
      <c r="A863">
        <v>198.88409999999999</v>
      </c>
      <c r="B863">
        <v>0.5847</v>
      </c>
      <c r="C863">
        <v>21.5169</v>
      </c>
      <c r="D863">
        <v>0</v>
      </c>
      <c r="E863">
        <v>3</v>
      </c>
      <c r="G863">
        <v>0.53449999999999998</v>
      </c>
      <c r="H863">
        <v>14.6426</v>
      </c>
    </row>
    <row r="864" spans="1:8" x14ac:dyDescent="0.2">
      <c r="A864">
        <v>199.13460000000001</v>
      </c>
      <c r="B864">
        <v>0.58260000000000001</v>
      </c>
      <c r="C864">
        <v>21.415600000000001</v>
      </c>
      <c r="D864">
        <v>0</v>
      </c>
      <c r="E864">
        <v>3</v>
      </c>
      <c r="G864">
        <v>0.53549999999999998</v>
      </c>
      <c r="H864">
        <v>14.5258</v>
      </c>
    </row>
    <row r="865" spans="1:8" x14ac:dyDescent="0.2">
      <c r="A865">
        <v>199.38509999999999</v>
      </c>
      <c r="B865">
        <v>0.5827</v>
      </c>
      <c r="C865">
        <v>21.3123</v>
      </c>
      <c r="D865">
        <v>0</v>
      </c>
      <c r="E865">
        <v>3</v>
      </c>
      <c r="G865">
        <v>0.53400000000000003</v>
      </c>
      <c r="H865">
        <v>14.4215</v>
      </c>
    </row>
    <row r="866" spans="1:8" x14ac:dyDescent="0.2">
      <c r="A866">
        <v>199.63550000000001</v>
      </c>
      <c r="B866">
        <v>0.58230000000000004</v>
      </c>
      <c r="C866">
        <v>21.205300000000001</v>
      </c>
      <c r="D866">
        <v>0</v>
      </c>
      <c r="E866">
        <v>3</v>
      </c>
      <c r="G866">
        <v>0.53349999999999997</v>
      </c>
      <c r="H866">
        <v>14.3179</v>
      </c>
    </row>
    <row r="867" spans="1:8" x14ac:dyDescent="0.2">
      <c r="A867">
        <v>199.886</v>
      </c>
      <c r="B867">
        <v>0.58199999999999996</v>
      </c>
      <c r="C867">
        <v>21.1</v>
      </c>
      <c r="D867">
        <v>0</v>
      </c>
      <c r="E867">
        <v>3</v>
      </c>
      <c r="G867">
        <v>0.53210000000000002</v>
      </c>
      <c r="H867">
        <v>14.211</v>
      </c>
    </row>
    <row r="868" spans="1:8" x14ac:dyDescent="0.2">
      <c r="A868">
        <v>200.13650000000001</v>
      </c>
      <c r="B868">
        <v>0.58099999999999996</v>
      </c>
      <c r="C868">
        <v>20.995899999999999</v>
      </c>
      <c r="D868">
        <v>0</v>
      </c>
      <c r="E868">
        <v>3</v>
      </c>
      <c r="G868">
        <v>0.53139999999999998</v>
      </c>
      <c r="H868">
        <v>14.1092</v>
      </c>
    </row>
    <row r="869" spans="1:8" x14ac:dyDescent="0.2">
      <c r="A869">
        <v>200.387</v>
      </c>
      <c r="B869">
        <v>0.57969999999999999</v>
      </c>
      <c r="C869">
        <v>20.8932</v>
      </c>
      <c r="D869">
        <v>0</v>
      </c>
      <c r="E869">
        <v>3</v>
      </c>
      <c r="G869">
        <v>0.5302</v>
      </c>
      <c r="H869">
        <v>14.000400000000001</v>
      </c>
    </row>
    <row r="870" spans="1:8" x14ac:dyDescent="0.2">
      <c r="A870">
        <v>200.63749999999999</v>
      </c>
      <c r="B870">
        <v>0.57789999999999997</v>
      </c>
      <c r="C870">
        <v>20.784400000000002</v>
      </c>
      <c r="D870">
        <v>0</v>
      </c>
      <c r="E870">
        <v>3</v>
      </c>
      <c r="G870">
        <v>0.53069999999999995</v>
      </c>
      <c r="H870">
        <v>13.906000000000001</v>
      </c>
    </row>
    <row r="871" spans="1:8" x14ac:dyDescent="0.2">
      <c r="A871">
        <v>200.88800000000001</v>
      </c>
      <c r="B871">
        <v>0.57840000000000003</v>
      </c>
      <c r="C871">
        <v>20.6846</v>
      </c>
      <c r="D871">
        <v>0</v>
      </c>
      <c r="E871">
        <v>3</v>
      </c>
      <c r="G871">
        <v>0.52890000000000004</v>
      </c>
      <c r="H871">
        <v>13.7972</v>
      </c>
    </row>
    <row r="872" spans="1:8" x14ac:dyDescent="0.2">
      <c r="A872">
        <v>201.13849999999999</v>
      </c>
      <c r="B872">
        <v>0.57730000000000004</v>
      </c>
      <c r="C872">
        <v>20.581199999999999</v>
      </c>
      <c r="D872">
        <v>0</v>
      </c>
      <c r="E872">
        <v>3</v>
      </c>
      <c r="G872">
        <v>0.52900000000000003</v>
      </c>
      <c r="H872">
        <v>13.6896</v>
      </c>
    </row>
    <row r="873" spans="1:8" x14ac:dyDescent="0.2">
      <c r="A873">
        <v>201.38890000000001</v>
      </c>
      <c r="B873">
        <v>0.5766</v>
      </c>
      <c r="C873">
        <v>20.4757</v>
      </c>
      <c r="D873">
        <v>0</v>
      </c>
      <c r="E873">
        <v>3</v>
      </c>
      <c r="G873">
        <v>0.52739999999999998</v>
      </c>
      <c r="H873">
        <v>13.5852</v>
      </c>
    </row>
    <row r="874" spans="1:8" x14ac:dyDescent="0.2">
      <c r="A874">
        <v>201.63939999999999</v>
      </c>
      <c r="B874">
        <v>0.57669999999999999</v>
      </c>
      <c r="C874">
        <v>20.3704</v>
      </c>
      <c r="D874">
        <v>0</v>
      </c>
      <c r="E874">
        <v>3</v>
      </c>
      <c r="G874">
        <v>0.52680000000000005</v>
      </c>
      <c r="H874">
        <v>13.486499999999999</v>
      </c>
    </row>
    <row r="875" spans="1:8" x14ac:dyDescent="0.2">
      <c r="A875">
        <v>201.88990000000001</v>
      </c>
      <c r="B875">
        <v>0.57689999999999997</v>
      </c>
      <c r="C875">
        <v>20.265599999999999</v>
      </c>
      <c r="D875">
        <v>0</v>
      </c>
      <c r="E875">
        <v>3</v>
      </c>
      <c r="G875">
        <v>0.52590000000000003</v>
      </c>
      <c r="H875">
        <v>13.378500000000001</v>
      </c>
    </row>
    <row r="876" spans="1:8" x14ac:dyDescent="0.2">
      <c r="A876">
        <v>202.1404</v>
      </c>
      <c r="B876">
        <v>0.57509999999999994</v>
      </c>
      <c r="C876">
        <v>20.163599999999999</v>
      </c>
      <c r="D876">
        <v>0</v>
      </c>
      <c r="E876">
        <v>3</v>
      </c>
      <c r="G876">
        <v>0.52539999999999998</v>
      </c>
      <c r="H876">
        <v>13.273999999999999</v>
      </c>
    </row>
    <row r="877" spans="1:8" x14ac:dyDescent="0.2">
      <c r="A877">
        <v>202.39089999999999</v>
      </c>
      <c r="B877">
        <v>0.57469999999999999</v>
      </c>
      <c r="C877">
        <v>20.055599999999998</v>
      </c>
      <c r="D877">
        <v>0</v>
      </c>
      <c r="E877">
        <v>3</v>
      </c>
      <c r="G877">
        <v>0.52370000000000005</v>
      </c>
      <c r="H877">
        <v>13.1745</v>
      </c>
    </row>
    <row r="878" spans="1:8" x14ac:dyDescent="0.2">
      <c r="A878">
        <v>202.6414</v>
      </c>
      <c r="B878">
        <v>0.57289999999999996</v>
      </c>
      <c r="C878">
        <v>19.950399999999998</v>
      </c>
      <c r="D878">
        <v>0</v>
      </c>
      <c r="E878">
        <v>3</v>
      </c>
      <c r="G878">
        <v>0.52359999999999995</v>
      </c>
      <c r="H878">
        <v>13.0646</v>
      </c>
    </row>
    <row r="879" spans="1:8" x14ac:dyDescent="0.2">
      <c r="A879">
        <v>202.89179999999999</v>
      </c>
      <c r="B879">
        <v>0.57269999999999999</v>
      </c>
      <c r="C879">
        <v>19.8505</v>
      </c>
      <c r="D879">
        <v>0</v>
      </c>
      <c r="E879">
        <v>3</v>
      </c>
      <c r="G879">
        <v>0.52270000000000005</v>
      </c>
      <c r="H879">
        <v>12.9617</v>
      </c>
    </row>
    <row r="880" spans="1:8" x14ac:dyDescent="0.2">
      <c r="A880">
        <v>203.14230000000001</v>
      </c>
      <c r="B880">
        <v>0.57230000000000003</v>
      </c>
      <c r="C880">
        <v>19.743200000000002</v>
      </c>
      <c r="D880">
        <v>0</v>
      </c>
      <c r="E880">
        <v>3</v>
      </c>
      <c r="G880">
        <v>0.52080000000000004</v>
      </c>
      <c r="H880">
        <v>12.8575</v>
      </c>
    </row>
    <row r="881" spans="1:8" x14ac:dyDescent="0.2">
      <c r="A881">
        <v>203.39279999999999</v>
      </c>
      <c r="B881">
        <v>0.57089999999999996</v>
      </c>
      <c r="C881">
        <v>19.6419</v>
      </c>
      <c r="D881">
        <v>0</v>
      </c>
      <c r="E881">
        <v>3</v>
      </c>
      <c r="G881">
        <v>0.52149999999999996</v>
      </c>
      <c r="H881">
        <v>12.755800000000001</v>
      </c>
    </row>
    <row r="882" spans="1:8" x14ac:dyDescent="0.2">
      <c r="A882">
        <v>203.64330000000001</v>
      </c>
      <c r="B882">
        <v>0.57010000000000005</v>
      </c>
      <c r="C882">
        <v>19.535799999999998</v>
      </c>
      <c r="D882">
        <v>0</v>
      </c>
      <c r="E882">
        <v>3</v>
      </c>
      <c r="G882">
        <v>0.51970000000000005</v>
      </c>
      <c r="H882">
        <v>12.6488</v>
      </c>
    </row>
    <row r="883" spans="1:8" x14ac:dyDescent="0.2">
      <c r="A883">
        <v>203.8938</v>
      </c>
      <c r="B883">
        <v>0.57089999999999996</v>
      </c>
      <c r="C883">
        <v>19.43</v>
      </c>
      <c r="D883">
        <v>0</v>
      </c>
      <c r="E883">
        <v>3</v>
      </c>
      <c r="G883">
        <v>0.51980000000000004</v>
      </c>
      <c r="H883">
        <v>12.541700000000001</v>
      </c>
    </row>
    <row r="884" spans="1:8" x14ac:dyDescent="0.2">
      <c r="A884">
        <v>204.14429999999999</v>
      </c>
      <c r="B884">
        <v>0.57030000000000003</v>
      </c>
      <c r="C884">
        <v>19.323499999999999</v>
      </c>
      <c r="D884">
        <v>0</v>
      </c>
      <c r="E884">
        <v>3</v>
      </c>
      <c r="G884">
        <v>0.51849999999999996</v>
      </c>
      <c r="H884">
        <v>12.439399999999999</v>
      </c>
    </row>
    <row r="885" spans="1:8" x14ac:dyDescent="0.2">
      <c r="A885">
        <v>204.3947</v>
      </c>
      <c r="B885">
        <v>0.56889999999999996</v>
      </c>
      <c r="C885">
        <v>19.222200000000001</v>
      </c>
      <c r="D885">
        <v>0</v>
      </c>
      <c r="E885">
        <v>3</v>
      </c>
      <c r="G885">
        <v>0.51780000000000004</v>
      </c>
      <c r="H885">
        <v>12.3352</v>
      </c>
    </row>
    <row r="886" spans="1:8" x14ac:dyDescent="0.2">
      <c r="A886">
        <v>204.64519999999999</v>
      </c>
      <c r="B886">
        <v>0.56830000000000003</v>
      </c>
      <c r="C886">
        <v>19.1128</v>
      </c>
      <c r="D886">
        <v>0</v>
      </c>
      <c r="E886">
        <v>3</v>
      </c>
      <c r="G886">
        <v>0.51639999999999997</v>
      </c>
      <c r="H886">
        <v>12.230499999999999</v>
      </c>
    </row>
    <row r="887" spans="1:8" x14ac:dyDescent="0.2">
      <c r="A887">
        <v>204.89570000000001</v>
      </c>
      <c r="B887">
        <v>0.56679999999999997</v>
      </c>
      <c r="C887">
        <v>19.014399999999998</v>
      </c>
      <c r="D887">
        <v>0</v>
      </c>
      <c r="E887">
        <v>3</v>
      </c>
      <c r="G887">
        <v>0.51490000000000002</v>
      </c>
      <c r="H887">
        <v>12.1279</v>
      </c>
    </row>
    <row r="888" spans="1:8" x14ac:dyDescent="0.2">
      <c r="A888">
        <v>205.14619999999999</v>
      </c>
      <c r="B888">
        <v>0.56710000000000005</v>
      </c>
      <c r="C888">
        <v>18.909500000000001</v>
      </c>
      <c r="D888">
        <v>0</v>
      </c>
      <c r="E888">
        <v>3</v>
      </c>
      <c r="G888">
        <v>0.51429999999999998</v>
      </c>
      <c r="H888">
        <v>12.022500000000001</v>
      </c>
    </row>
    <row r="889" spans="1:8" x14ac:dyDescent="0.2">
      <c r="A889">
        <v>205.39670000000001</v>
      </c>
      <c r="B889">
        <v>0.56599999999999995</v>
      </c>
      <c r="C889">
        <v>18.806699999999999</v>
      </c>
      <c r="D889">
        <v>0</v>
      </c>
      <c r="E889">
        <v>3</v>
      </c>
      <c r="G889">
        <v>0.51449999999999996</v>
      </c>
      <c r="H889">
        <v>11.9198</v>
      </c>
    </row>
    <row r="890" spans="1:8" x14ac:dyDescent="0.2">
      <c r="A890">
        <v>205.6472</v>
      </c>
      <c r="B890">
        <v>0.5655</v>
      </c>
      <c r="C890">
        <v>18.704999999999998</v>
      </c>
      <c r="D890">
        <v>0</v>
      </c>
      <c r="E890">
        <v>3</v>
      </c>
      <c r="G890">
        <v>0.51349999999999996</v>
      </c>
      <c r="H890">
        <v>11.814500000000001</v>
      </c>
    </row>
    <row r="891" spans="1:8" x14ac:dyDescent="0.2">
      <c r="A891">
        <v>205.89760000000001</v>
      </c>
      <c r="B891">
        <v>0.56369999999999998</v>
      </c>
      <c r="C891">
        <v>18.600899999999999</v>
      </c>
      <c r="D891">
        <v>0</v>
      </c>
      <c r="E891">
        <v>3</v>
      </c>
      <c r="G891">
        <v>0.51280000000000003</v>
      </c>
      <c r="H891">
        <v>11.707700000000001</v>
      </c>
    </row>
    <row r="892" spans="1:8" x14ac:dyDescent="0.2">
      <c r="A892">
        <v>206.1481</v>
      </c>
      <c r="B892">
        <v>0.56389999999999996</v>
      </c>
      <c r="C892">
        <v>18.4892</v>
      </c>
      <c r="D892">
        <v>0</v>
      </c>
      <c r="E892">
        <v>3</v>
      </c>
      <c r="G892">
        <v>0.51100000000000001</v>
      </c>
      <c r="H892">
        <v>11.6088</v>
      </c>
    </row>
    <row r="893" spans="1:8" x14ac:dyDescent="0.2">
      <c r="A893">
        <v>206.39859999999999</v>
      </c>
      <c r="B893">
        <v>0.56369999999999998</v>
      </c>
      <c r="C893">
        <v>18.384499999999999</v>
      </c>
      <c r="D893">
        <v>0</v>
      </c>
      <c r="E893">
        <v>3</v>
      </c>
      <c r="G893">
        <v>0.50990000000000002</v>
      </c>
      <c r="H893">
        <v>11.5015</v>
      </c>
    </row>
    <row r="894" spans="1:8" x14ac:dyDescent="0.2">
      <c r="A894">
        <v>206.6491</v>
      </c>
      <c r="B894">
        <v>0.56130000000000002</v>
      </c>
      <c r="C894">
        <v>18.285599999999999</v>
      </c>
      <c r="D894">
        <v>0</v>
      </c>
      <c r="E894">
        <v>3</v>
      </c>
      <c r="G894">
        <v>0.50960000000000005</v>
      </c>
      <c r="H894">
        <v>11.401899999999999</v>
      </c>
    </row>
    <row r="895" spans="1:8" x14ac:dyDescent="0.2">
      <c r="A895">
        <v>206.89959999999999</v>
      </c>
      <c r="B895">
        <v>0.56130000000000002</v>
      </c>
      <c r="C895">
        <v>18.185300000000002</v>
      </c>
      <c r="D895">
        <v>0</v>
      </c>
      <c r="E895">
        <v>3</v>
      </c>
      <c r="G895">
        <v>0.5091</v>
      </c>
      <c r="H895">
        <v>11.2936</v>
      </c>
    </row>
    <row r="896" spans="1:8" x14ac:dyDescent="0.2">
      <c r="A896">
        <v>207.15010000000001</v>
      </c>
      <c r="B896">
        <v>0.56130000000000002</v>
      </c>
      <c r="C896">
        <v>18.078700000000001</v>
      </c>
      <c r="D896">
        <v>0</v>
      </c>
      <c r="E896">
        <v>3</v>
      </c>
      <c r="G896">
        <v>0.50790000000000002</v>
      </c>
      <c r="H896">
        <v>11.190899999999999</v>
      </c>
    </row>
    <row r="897" spans="1:8" x14ac:dyDescent="0.2">
      <c r="A897">
        <v>207.40049999999999</v>
      </c>
      <c r="B897">
        <v>0.55940000000000001</v>
      </c>
      <c r="C897">
        <v>17.971599999999999</v>
      </c>
      <c r="D897">
        <v>0</v>
      </c>
      <c r="E897">
        <v>3</v>
      </c>
      <c r="G897">
        <v>0.5081</v>
      </c>
      <c r="H897">
        <v>11.080299999999999</v>
      </c>
    </row>
    <row r="898" spans="1:8" x14ac:dyDescent="0.2">
      <c r="A898">
        <v>207.65100000000001</v>
      </c>
      <c r="B898">
        <v>0.55940000000000001</v>
      </c>
      <c r="C898">
        <v>17.868200000000002</v>
      </c>
      <c r="D898">
        <v>0</v>
      </c>
      <c r="E898">
        <v>3</v>
      </c>
      <c r="G898">
        <v>0.50680000000000003</v>
      </c>
      <c r="H898">
        <v>10.981</v>
      </c>
    </row>
    <row r="899" spans="1:8" x14ac:dyDescent="0.2">
      <c r="A899">
        <v>207.9015</v>
      </c>
      <c r="B899">
        <v>0.55989999999999995</v>
      </c>
      <c r="C899">
        <v>17.7605</v>
      </c>
      <c r="D899">
        <v>0</v>
      </c>
      <c r="E899">
        <v>3</v>
      </c>
      <c r="G899">
        <v>0.50649999999999995</v>
      </c>
      <c r="H899">
        <v>10.869199999999999</v>
      </c>
    </row>
    <row r="900" spans="1:8" x14ac:dyDescent="0.2">
      <c r="A900">
        <v>208.15199999999999</v>
      </c>
      <c r="B900">
        <v>0.55740000000000001</v>
      </c>
      <c r="C900">
        <v>17.657299999999999</v>
      </c>
      <c r="D900">
        <v>0</v>
      </c>
      <c r="E900">
        <v>3</v>
      </c>
      <c r="G900">
        <v>0.50480000000000003</v>
      </c>
      <c r="H900">
        <v>10.7706</v>
      </c>
    </row>
    <row r="901" spans="1:8" x14ac:dyDescent="0.2">
      <c r="A901">
        <v>208.4025</v>
      </c>
      <c r="B901">
        <v>0.55710000000000004</v>
      </c>
      <c r="C901">
        <v>17.558399999999999</v>
      </c>
      <c r="D901">
        <v>0</v>
      </c>
      <c r="E901">
        <v>3</v>
      </c>
      <c r="G901">
        <v>0.504</v>
      </c>
      <c r="H901">
        <v>10.667</v>
      </c>
    </row>
    <row r="902" spans="1:8" x14ac:dyDescent="0.2">
      <c r="A902">
        <v>208.65299999999999</v>
      </c>
      <c r="B902">
        <v>0.55669999999999997</v>
      </c>
      <c r="C902">
        <v>17.449200000000001</v>
      </c>
      <c r="D902">
        <v>0</v>
      </c>
      <c r="E902">
        <v>3</v>
      </c>
      <c r="G902">
        <v>0.50290000000000001</v>
      </c>
      <c r="H902">
        <v>10.5661</v>
      </c>
    </row>
    <row r="903" spans="1:8" x14ac:dyDescent="0.2">
      <c r="A903">
        <v>208.9034</v>
      </c>
      <c r="B903">
        <v>0.55459999999999998</v>
      </c>
      <c r="C903">
        <v>17.348800000000001</v>
      </c>
      <c r="D903">
        <v>0</v>
      </c>
      <c r="E903">
        <v>3</v>
      </c>
      <c r="G903">
        <v>0.50219999999999998</v>
      </c>
      <c r="H903">
        <v>10.4566</v>
      </c>
    </row>
    <row r="904" spans="1:8" x14ac:dyDescent="0.2">
      <c r="A904">
        <v>209.15389999999999</v>
      </c>
      <c r="B904">
        <v>0.5544</v>
      </c>
      <c r="C904">
        <v>17.2408</v>
      </c>
      <c r="D904">
        <v>0</v>
      </c>
      <c r="E904">
        <v>3</v>
      </c>
      <c r="G904">
        <v>0.50170000000000003</v>
      </c>
      <c r="H904">
        <v>10.354100000000001</v>
      </c>
    </row>
    <row r="905" spans="1:8" x14ac:dyDescent="0.2">
      <c r="A905">
        <v>209.40440000000001</v>
      </c>
      <c r="B905">
        <v>0.55420000000000003</v>
      </c>
      <c r="C905">
        <v>17.137599999999999</v>
      </c>
      <c r="D905">
        <v>0</v>
      </c>
      <c r="E905">
        <v>3</v>
      </c>
      <c r="G905">
        <v>0.5</v>
      </c>
      <c r="H905">
        <v>10.247999999999999</v>
      </c>
    </row>
    <row r="906" spans="1:8" x14ac:dyDescent="0.2">
      <c r="A906">
        <v>209.6549</v>
      </c>
      <c r="B906">
        <v>0.55300000000000005</v>
      </c>
      <c r="C906">
        <v>17.031199999999998</v>
      </c>
      <c r="D906">
        <v>0</v>
      </c>
      <c r="E906">
        <v>3</v>
      </c>
      <c r="G906">
        <v>0.49919999999999998</v>
      </c>
      <c r="H906">
        <v>10.141500000000001</v>
      </c>
    </row>
    <row r="907" spans="1:8" x14ac:dyDescent="0.2">
      <c r="A907">
        <v>209.90539999999999</v>
      </c>
      <c r="B907">
        <v>0.55230000000000001</v>
      </c>
      <c r="C907">
        <v>16.9268</v>
      </c>
      <c r="D907">
        <v>0</v>
      </c>
      <c r="E907">
        <v>3</v>
      </c>
      <c r="G907">
        <v>0.49869999999999998</v>
      </c>
      <c r="H907">
        <v>10.043200000000001</v>
      </c>
    </row>
    <row r="908" spans="1:8" x14ac:dyDescent="0.2">
      <c r="A908">
        <v>210.1559</v>
      </c>
      <c r="B908">
        <v>0.55220000000000002</v>
      </c>
      <c r="C908">
        <v>16.821899999999999</v>
      </c>
      <c r="D908">
        <v>0</v>
      </c>
      <c r="E908">
        <v>3</v>
      </c>
      <c r="G908">
        <v>0.49769999999999998</v>
      </c>
      <c r="H908">
        <v>9.9377999999999993</v>
      </c>
    </row>
    <row r="909" spans="1:8" x14ac:dyDescent="0.2">
      <c r="A909">
        <v>210.40639999999999</v>
      </c>
      <c r="B909">
        <v>0.55100000000000005</v>
      </c>
      <c r="C909">
        <v>16.714600000000001</v>
      </c>
      <c r="D909">
        <v>0</v>
      </c>
      <c r="E909">
        <v>3</v>
      </c>
      <c r="G909">
        <v>0.49640000000000001</v>
      </c>
      <c r="H909">
        <v>9.8351000000000006</v>
      </c>
    </row>
    <row r="910" spans="1:8" x14ac:dyDescent="0.2">
      <c r="A910">
        <v>210.6568</v>
      </c>
      <c r="B910">
        <v>0.55079999999999996</v>
      </c>
      <c r="C910">
        <v>16.616299999999999</v>
      </c>
      <c r="D910">
        <v>0</v>
      </c>
      <c r="E910">
        <v>3</v>
      </c>
      <c r="G910">
        <v>0.495</v>
      </c>
      <c r="H910">
        <v>9.7272999999999996</v>
      </c>
    </row>
    <row r="911" spans="1:8" x14ac:dyDescent="0.2">
      <c r="A911">
        <v>210.90729999999999</v>
      </c>
      <c r="B911">
        <v>0.54979999999999996</v>
      </c>
      <c r="C911">
        <v>16.511700000000001</v>
      </c>
      <c r="D911">
        <v>0</v>
      </c>
      <c r="E911">
        <v>3</v>
      </c>
      <c r="G911">
        <v>0.49540000000000001</v>
      </c>
      <c r="H911">
        <v>9.6181999999999999</v>
      </c>
    </row>
    <row r="912" spans="1:8" x14ac:dyDescent="0.2">
      <c r="A912">
        <v>211.15780000000001</v>
      </c>
      <c r="B912">
        <v>0.54920000000000002</v>
      </c>
      <c r="C912">
        <v>16.402899999999999</v>
      </c>
      <c r="D912">
        <v>0</v>
      </c>
      <c r="E912">
        <v>3</v>
      </c>
      <c r="G912">
        <v>0.49340000000000001</v>
      </c>
      <c r="H912">
        <v>9.5208999999999993</v>
      </c>
    </row>
    <row r="913" spans="1:8" x14ac:dyDescent="0.2">
      <c r="A913">
        <v>211.4083</v>
      </c>
      <c r="B913">
        <v>0.54749999999999999</v>
      </c>
      <c r="C913">
        <v>16.2974</v>
      </c>
      <c r="D913">
        <v>0</v>
      </c>
      <c r="E913">
        <v>3</v>
      </c>
      <c r="G913">
        <v>0.49230000000000002</v>
      </c>
      <c r="H913">
        <v>9.4152000000000005</v>
      </c>
    </row>
    <row r="914" spans="1:8" x14ac:dyDescent="0.2">
      <c r="A914">
        <v>211.65880000000001</v>
      </c>
      <c r="B914">
        <v>0.54810000000000003</v>
      </c>
      <c r="C914">
        <v>16.1951</v>
      </c>
      <c r="D914">
        <v>0</v>
      </c>
      <c r="E914">
        <v>3</v>
      </c>
      <c r="G914">
        <v>0.49170000000000003</v>
      </c>
      <c r="H914">
        <v>9.3118999999999996</v>
      </c>
    </row>
    <row r="915" spans="1:8" x14ac:dyDescent="0.2">
      <c r="A915">
        <v>211.9093</v>
      </c>
      <c r="B915">
        <v>0.54579999999999995</v>
      </c>
      <c r="C915">
        <v>16.090599999999998</v>
      </c>
      <c r="D915">
        <v>0</v>
      </c>
      <c r="E915">
        <v>3</v>
      </c>
      <c r="G915">
        <v>0.49020000000000002</v>
      </c>
      <c r="H915">
        <v>9.2105999999999995</v>
      </c>
    </row>
    <row r="916" spans="1:8" x14ac:dyDescent="0.2">
      <c r="A916">
        <v>212.15969999999999</v>
      </c>
      <c r="B916">
        <v>0.54630000000000001</v>
      </c>
      <c r="C916">
        <v>15.985099999999999</v>
      </c>
      <c r="D916">
        <v>0</v>
      </c>
      <c r="E916">
        <v>3</v>
      </c>
      <c r="G916">
        <v>0.49020000000000002</v>
      </c>
      <c r="H916">
        <v>9.0993999999999993</v>
      </c>
    </row>
    <row r="917" spans="1:8" x14ac:dyDescent="0.2">
      <c r="A917">
        <v>212.4102</v>
      </c>
      <c r="B917">
        <v>0.54379999999999995</v>
      </c>
      <c r="C917">
        <v>15.887499999999999</v>
      </c>
      <c r="D917">
        <v>0</v>
      </c>
      <c r="E917">
        <v>3</v>
      </c>
      <c r="G917">
        <v>0.4879</v>
      </c>
      <c r="H917">
        <v>8.9984000000000002</v>
      </c>
    </row>
    <row r="918" spans="1:8" x14ac:dyDescent="0.2">
      <c r="A918">
        <v>212.66069999999999</v>
      </c>
      <c r="B918">
        <v>0.54459999999999997</v>
      </c>
      <c r="C918">
        <v>15.7751</v>
      </c>
      <c r="D918">
        <v>0</v>
      </c>
      <c r="E918">
        <v>3</v>
      </c>
      <c r="G918">
        <v>0.48780000000000001</v>
      </c>
      <c r="H918">
        <v>8.8975000000000009</v>
      </c>
    </row>
    <row r="919" spans="1:8" x14ac:dyDescent="0.2">
      <c r="A919">
        <v>212.91120000000001</v>
      </c>
      <c r="B919">
        <v>0.54290000000000005</v>
      </c>
      <c r="C919">
        <v>15.678000000000001</v>
      </c>
      <c r="D919">
        <v>0</v>
      </c>
      <c r="E919">
        <v>3</v>
      </c>
      <c r="G919">
        <v>0.48709999999999998</v>
      </c>
      <c r="H919">
        <v>8.7919999999999998</v>
      </c>
    </row>
    <row r="920" spans="1:8" x14ac:dyDescent="0.2">
      <c r="A920">
        <v>213.1617</v>
      </c>
      <c r="B920">
        <v>0.54210000000000003</v>
      </c>
      <c r="C920">
        <v>15.5746</v>
      </c>
      <c r="D920">
        <v>0</v>
      </c>
      <c r="E920">
        <v>3</v>
      </c>
      <c r="G920">
        <v>0.4864</v>
      </c>
      <c r="H920">
        <v>8.6797000000000004</v>
      </c>
    </row>
    <row r="921" spans="1:8" x14ac:dyDescent="0.2">
      <c r="A921">
        <v>213.41220000000001</v>
      </c>
      <c r="B921">
        <v>0.5413</v>
      </c>
      <c r="C921">
        <v>15.4666</v>
      </c>
      <c r="D921">
        <v>0</v>
      </c>
      <c r="E921">
        <v>3</v>
      </c>
      <c r="G921">
        <v>0.48509999999999998</v>
      </c>
      <c r="H921">
        <v>8.5782000000000007</v>
      </c>
    </row>
    <row r="922" spans="1:8" x14ac:dyDescent="0.2">
      <c r="A922">
        <v>213.6626</v>
      </c>
      <c r="B922">
        <v>0.54179999999999995</v>
      </c>
      <c r="C922">
        <v>15.3589</v>
      </c>
      <c r="D922">
        <v>0</v>
      </c>
      <c r="E922">
        <v>3</v>
      </c>
      <c r="G922">
        <v>0.48359999999999997</v>
      </c>
      <c r="H922">
        <v>8.4758999999999993</v>
      </c>
    </row>
    <row r="923" spans="1:8" x14ac:dyDescent="0.2">
      <c r="A923">
        <v>213.91309999999999</v>
      </c>
      <c r="B923">
        <v>0.54120000000000001</v>
      </c>
      <c r="C923">
        <v>15.2559</v>
      </c>
      <c r="D923">
        <v>0</v>
      </c>
      <c r="E923">
        <v>3</v>
      </c>
      <c r="G923">
        <v>0.4839</v>
      </c>
      <c r="H923">
        <v>8.3721999999999994</v>
      </c>
    </row>
    <row r="924" spans="1:8" x14ac:dyDescent="0.2">
      <c r="A924">
        <v>214.1636</v>
      </c>
      <c r="B924">
        <v>0.54020000000000001</v>
      </c>
      <c r="C924">
        <v>15.1511</v>
      </c>
      <c r="D924">
        <v>0</v>
      </c>
      <c r="E924">
        <v>3</v>
      </c>
      <c r="G924">
        <v>0.48320000000000002</v>
      </c>
      <c r="H924">
        <v>8.2674000000000003</v>
      </c>
    </row>
    <row r="925" spans="1:8" x14ac:dyDescent="0.2">
      <c r="A925">
        <v>214.41409999999999</v>
      </c>
      <c r="B925">
        <v>0.53839999999999999</v>
      </c>
      <c r="C925">
        <v>15.048</v>
      </c>
      <c r="D925">
        <v>0</v>
      </c>
      <c r="E925">
        <v>3</v>
      </c>
      <c r="G925">
        <v>0.4824</v>
      </c>
      <c r="H925">
        <v>8.1585999999999999</v>
      </c>
    </row>
    <row r="926" spans="1:8" x14ac:dyDescent="0.2">
      <c r="A926">
        <v>214.66460000000001</v>
      </c>
      <c r="B926">
        <v>0.53739999999999999</v>
      </c>
      <c r="C926">
        <v>14.9482</v>
      </c>
      <c r="D926">
        <v>0</v>
      </c>
      <c r="E926">
        <v>3</v>
      </c>
      <c r="G926">
        <v>0.48039999999999999</v>
      </c>
      <c r="H926">
        <v>8.0564999999999998</v>
      </c>
    </row>
    <row r="927" spans="1:8" x14ac:dyDescent="0.2">
      <c r="A927">
        <v>214.9151</v>
      </c>
      <c r="B927">
        <v>0.53610000000000002</v>
      </c>
      <c r="C927">
        <v>14.8453</v>
      </c>
      <c r="D927">
        <v>0</v>
      </c>
      <c r="E927">
        <v>3</v>
      </c>
      <c r="G927">
        <v>0.47939999999999999</v>
      </c>
      <c r="H927">
        <v>7.9542000000000002</v>
      </c>
    </row>
    <row r="928" spans="1:8" x14ac:dyDescent="0.2">
      <c r="A928">
        <v>215.16550000000001</v>
      </c>
      <c r="B928">
        <v>0.53610000000000002</v>
      </c>
      <c r="C928">
        <v>14.7346</v>
      </c>
      <c r="D928">
        <v>0</v>
      </c>
      <c r="E928">
        <v>3</v>
      </c>
      <c r="G928">
        <v>0.47910000000000003</v>
      </c>
      <c r="H928">
        <v>7.8460000000000001</v>
      </c>
    </row>
    <row r="929" spans="1:8" x14ac:dyDescent="0.2">
      <c r="A929">
        <v>215.416</v>
      </c>
      <c r="B929">
        <v>0.53449999999999998</v>
      </c>
      <c r="C929">
        <v>14.6426</v>
      </c>
      <c r="D929">
        <v>0</v>
      </c>
      <c r="E929">
        <v>3</v>
      </c>
      <c r="G929">
        <v>0.47739999999999999</v>
      </c>
      <c r="H929">
        <v>7.7451999999999996</v>
      </c>
    </row>
    <row r="930" spans="1:8" x14ac:dyDescent="0.2">
      <c r="A930">
        <v>215.66650000000001</v>
      </c>
      <c r="B930">
        <v>0.53549999999999998</v>
      </c>
      <c r="C930">
        <v>14.5258</v>
      </c>
      <c r="D930">
        <v>0</v>
      </c>
      <c r="E930">
        <v>3</v>
      </c>
      <c r="G930">
        <v>0.47699999999999998</v>
      </c>
      <c r="H930">
        <v>7.6413000000000002</v>
      </c>
    </row>
    <row r="931" spans="1:8" x14ac:dyDescent="0.2">
      <c r="A931">
        <v>215.917</v>
      </c>
      <c r="B931">
        <v>0.53400000000000003</v>
      </c>
      <c r="C931">
        <v>14.4215</v>
      </c>
      <c r="D931">
        <v>0</v>
      </c>
      <c r="E931">
        <v>3</v>
      </c>
      <c r="G931">
        <v>0.4753</v>
      </c>
      <c r="H931">
        <v>7.54</v>
      </c>
    </row>
    <row r="932" spans="1:8" x14ac:dyDescent="0.2">
      <c r="A932">
        <v>216.16749999999999</v>
      </c>
      <c r="B932">
        <v>0.53349999999999997</v>
      </c>
      <c r="C932">
        <v>14.3179</v>
      </c>
      <c r="D932">
        <v>0</v>
      </c>
      <c r="E932">
        <v>3</v>
      </c>
      <c r="G932">
        <v>0.47539999999999999</v>
      </c>
      <c r="H932">
        <v>7.4290000000000003</v>
      </c>
    </row>
    <row r="933" spans="1:8" x14ac:dyDescent="0.2">
      <c r="A933">
        <v>216.41800000000001</v>
      </c>
      <c r="B933">
        <v>0.53210000000000002</v>
      </c>
      <c r="C933">
        <v>14.211</v>
      </c>
      <c r="D933">
        <v>0</v>
      </c>
      <c r="E933">
        <v>3</v>
      </c>
      <c r="G933">
        <v>0.4743</v>
      </c>
      <c r="H933">
        <v>7.3335999999999997</v>
      </c>
    </row>
    <row r="934" spans="1:8" x14ac:dyDescent="0.2">
      <c r="A934">
        <v>216.66839999999999</v>
      </c>
      <c r="B934">
        <v>0.53139999999999998</v>
      </c>
      <c r="C934">
        <v>14.1092</v>
      </c>
      <c r="D934">
        <v>0</v>
      </c>
      <c r="E934">
        <v>3</v>
      </c>
      <c r="G934">
        <v>0.47389999999999999</v>
      </c>
      <c r="H934">
        <v>7.2202999999999999</v>
      </c>
    </row>
    <row r="935" spans="1:8" x14ac:dyDescent="0.2">
      <c r="A935">
        <v>216.91890000000001</v>
      </c>
      <c r="B935">
        <v>0.5302</v>
      </c>
      <c r="C935">
        <v>14.000400000000001</v>
      </c>
      <c r="D935">
        <v>0</v>
      </c>
      <c r="E935">
        <v>3</v>
      </c>
      <c r="G935">
        <v>0.4718</v>
      </c>
      <c r="H935">
        <v>7.1245000000000003</v>
      </c>
    </row>
    <row r="936" spans="1:8" x14ac:dyDescent="0.2">
      <c r="A936">
        <v>217.1694</v>
      </c>
      <c r="B936">
        <v>0.53069999999999995</v>
      </c>
      <c r="C936">
        <v>13.906000000000001</v>
      </c>
      <c r="D936">
        <v>0</v>
      </c>
      <c r="E936">
        <v>3</v>
      </c>
      <c r="G936">
        <v>0.47110000000000002</v>
      </c>
      <c r="H936">
        <v>7.0118999999999998</v>
      </c>
    </row>
    <row r="937" spans="1:8" x14ac:dyDescent="0.2">
      <c r="A937">
        <v>217.41990000000001</v>
      </c>
      <c r="B937">
        <v>0.52890000000000004</v>
      </c>
      <c r="C937">
        <v>13.7972</v>
      </c>
      <c r="D937">
        <v>0</v>
      </c>
      <c r="E937">
        <v>3</v>
      </c>
      <c r="G937">
        <v>0.4708</v>
      </c>
      <c r="H937">
        <v>6.9077000000000002</v>
      </c>
    </row>
    <row r="938" spans="1:8" x14ac:dyDescent="0.2">
      <c r="A938">
        <v>217.6704</v>
      </c>
      <c r="B938">
        <v>0.52900000000000003</v>
      </c>
      <c r="C938">
        <v>13.6896</v>
      </c>
      <c r="D938">
        <v>0</v>
      </c>
      <c r="E938">
        <v>3</v>
      </c>
      <c r="G938">
        <v>0.46889999999999998</v>
      </c>
      <c r="H938">
        <v>6.8053999999999997</v>
      </c>
    </row>
    <row r="939" spans="1:8" x14ac:dyDescent="0.2">
      <c r="A939">
        <v>217.92089999999999</v>
      </c>
      <c r="B939">
        <v>0.52739999999999998</v>
      </c>
      <c r="C939">
        <v>13.5852</v>
      </c>
      <c r="D939">
        <v>0</v>
      </c>
      <c r="E939">
        <v>3</v>
      </c>
      <c r="G939">
        <v>0.46750000000000003</v>
      </c>
      <c r="H939">
        <v>6.7039</v>
      </c>
    </row>
    <row r="940" spans="1:8" x14ac:dyDescent="0.2">
      <c r="A940">
        <v>218.1713</v>
      </c>
      <c r="B940">
        <v>0.52680000000000005</v>
      </c>
      <c r="C940">
        <v>13.486499999999999</v>
      </c>
      <c r="D940">
        <v>0</v>
      </c>
      <c r="E940">
        <v>3</v>
      </c>
      <c r="G940">
        <v>0.46700000000000003</v>
      </c>
      <c r="H940">
        <v>6.5994999999999999</v>
      </c>
    </row>
    <row r="941" spans="1:8" x14ac:dyDescent="0.2">
      <c r="A941">
        <v>218.42179999999999</v>
      </c>
      <c r="B941">
        <v>0.52590000000000003</v>
      </c>
      <c r="C941">
        <v>13.378500000000001</v>
      </c>
      <c r="D941">
        <v>0</v>
      </c>
      <c r="E941">
        <v>3</v>
      </c>
      <c r="G941">
        <v>0.46560000000000001</v>
      </c>
      <c r="H941">
        <v>6.4976000000000003</v>
      </c>
    </row>
    <row r="942" spans="1:8" x14ac:dyDescent="0.2">
      <c r="A942">
        <v>218.67230000000001</v>
      </c>
      <c r="B942">
        <v>0.52539999999999998</v>
      </c>
      <c r="C942">
        <v>13.273999999999999</v>
      </c>
      <c r="D942">
        <v>0</v>
      </c>
      <c r="E942">
        <v>3</v>
      </c>
      <c r="G942">
        <v>0.46650000000000003</v>
      </c>
      <c r="H942">
        <v>6.3865999999999996</v>
      </c>
    </row>
    <row r="943" spans="1:8" x14ac:dyDescent="0.2">
      <c r="A943">
        <v>218.9228</v>
      </c>
      <c r="B943">
        <v>0.52370000000000005</v>
      </c>
      <c r="C943">
        <v>13.1745</v>
      </c>
      <c r="D943">
        <v>0</v>
      </c>
      <c r="E943">
        <v>3</v>
      </c>
      <c r="G943">
        <v>0.4647</v>
      </c>
      <c r="H943">
        <v>6.2827999999999999</v>
      </c>
    </row>
    <row r="944" spans="1:8" x14ac:dyDescent="0.2">
      <c r="A944">
        <v>219.17330000000001</v>
      </c>
      <c r="B944">
        <v>0.52359999999999995</v>
      </c>
      <c r="C944">
        <v>13.0646</v>
      </c>
      <c r="D944">
        <v>0</v>
      </c>
      <c r="E944">
        <v>3</v>
      </c>
      <c r="G944">
        <v>0.4627</v>
      </c>
      <c r="H944">
        <v>6.1856999999999998</v>
      </c>
    </row>
    <row r="945" spans="1:8" x14ac:dyDescent="0.2">
      <c r="A945">
        <v>219.4238</v>
      </c>
      <c r="B945">
        <v>0.52270000000000005</v>
      </c>
      <c r="C945">
        <v>12.9617</v>
      </c>
      <c r="D945">
        <v>0</v>
      </c>
      <c r="E945">
        <v>3</v>
      </c>
      <c r="G945">
        <v>0.46279999999999999</v>
      </c>
      <c r="H945">
        <v>6.0791000000000004</v>
      </c>
    </row>
    <row r="946" spans="1:8" x14ac:dyDescent="0.2">
      <c r="A946">
        <v>219.67429999999999</v>
      </c>
      <c r="B946">
        <v>0.52080000000000004</v>
      </c>
      <c r="C946">
        <v>12.8575</v>
      </c>
      <c r="D946">
        <v>0</v>
      </c>
      <c r="E946">
        <v>3</v>
      </c>
      <c r="G946">
        <v>0.4617</v>
      </c>
      <c r="H946">
        <v>5.9679000000000002</v>
      </c>
    </row>
    <row r="947" spans="1:8" x14ac:dyDescent="0.2">
      <c r="A947">
        <v>219.9247</v>
      </c>
      <c r="B947">
        <v>0.52149999999999996</v>
      </c>
      <c r="C947">
        <v>12.755800000000001</v>
      </c>
      <c r="D947">
        <v>0</v>
      </c>
      <c r="E947">
        <v>3</v>
      </c>
      <c r="G947">
        <v>0.4602</v>
      </c>
      <c r="H947">
        <v>5.8722000000000003</v>
      </c>
    </row>
    <row r="948" spans="1:8" x14ac:dyDescent="0.2">
      <c r="A948">
        <v>220.17519999999999</v>
      </c>
      <c r="B948">
        <v>0.51970000000000005</v>
      </c>
      <c r="C948">
        <v>12.6488</v>
      </c>
      <c r="D948">
        <v>0</v>
      </c>
      <c r="E948">
        <v>3</v>
      </c>
      <c r="G948">
        <v>0.45950000000000002</v>
      </c>
      <c r="H948">
        <v>5.7653999999999996</v>
      </c>
    </row>
    <row r="949" spans="1:8" x14ac:dyDescent="0.2">
      <c r="A949">
        <v>220.42570000000001</v>
      </c>
      <c r="B949">
        <v>0.51980000000000004</v>
      </c>
      <c r="C949">
        <v>12.541700000000001</v>
      </c>
      <c r="D949">
        <v>0</v>
      </c>
      <c r="E949">
        <v>3</v>
      </c>
      <c r="G949">
        <v>0.45810000000000001</v>
      </c>
      <c r="H949">
        <v>5.6592000000000002</v>
      </c>
    </row>
    <row r="950" spans="1:8" x14ac:dyDescent="0.2">
      <c r="A950">
        <v>220.67619999999999</v>
      </c>
      <c r="B950">
        <v>0.51849999999999996</v>
      </c>
      <c r="C950">
        <v>12.439399999999999</v>
      </c>
      <c r="D950">
        <v>0</v>
      </c>
      <c r="E950">
        <v>3</v>
      </c>
      <c r="G950">
        <v>0.45760000000000001</v>
      </c>
      <c r="H950">
        <v>5.5552999999999999</v>
      </c>
    </row>
    <row r="951" spans="1:8" x14ac:dyDescent="0.2">
      <c r="A951">
        <v>220.92670000000001</v>
      </c>
      <c r="B951">
        <v>0.51780000000000004</v>
      </c>
      <c r="C951">
        <v>12.3352</v>
      </c>
      <c r="D951">
        <v>0</v>
      </c>
      <c r="E951">
        <v>3</v>
      </c>
      <c r="G951">
        <v>0.45610000000000001</v>
      </c>
      <c r="H951">
        <v>5.4538000000000002</v>
      </c>
    </row>
    <row r="952" spans="1:8" x14ac:dyDescent="0.2">
      <c r="A952">
        <v>221.1772</v>
      </c>
      <c r="B952">
        <v>0.51639999999999997</v>
      </c>
      <c r="C952">
        <v>12.230499999999999</v>
      </c>
      <c r="D952">
        <v>0</v>
      </c>
      <c r="E952">
        <v>3</v>
      </c>
      <c r="G952">
        <v>0.45429999999999998</v>
      </c>
      <c r="H952">
        <v>5.3478000000000003</v>
      </c>
    </row>
    <row r="953" spans="1:8" x14ac:dyDescent="0.2">
      <c r="A953">
        <v>221.42760000000001</v>
      </c>
      <c r="B953">
        <v>0.51490000000000002</v>
      </c>
      <c r="C953">
        <v>12.1279</v>
      </c>
      <c r="D953">
        <v>0</v>
      </c>
      <c r="E953">
        <v>3</v>
      </c>
      <c r="G953">
        <v>0.4526</v>
      </c>
      <c r="H953">
        <v>5.2413999999999996</v>
      </c>
    </row>
    <row r="954" spans="1:8" x14ac:dyDescent="0.2">
      <c r="A954">
        <v>221.6781</v>
      </c>
      <c r="B954">
        <v>0.51429999999999998</v>
      </c>
      <c r="C954">
        <v>12.022500000000001</v>
      </c>
      <c r="D954">
        <v>0</v>
      </c>
      <c r="E954">
        <v>3</v>
      </c>
      <c r="G954">
        <v>0.45169999999999999</v>
      </c>
      <c r="H954">
        <v>5.1375000000000002</v>
      </c>
    </row>
    <row r="955" spans="1:8" x14ac:dyDescent="0.2">
      <c r="A955">
        <v>221.92859999999999</v>
      </c>
      <c r="B955">
        <v>0.51449999999999996</v>
      </c>
      <c r="C955">
        <v>11.9198</v>
      </c>
      <c r="D955">
        <v>0</v>
      </c>
      <c r="E955">
        <v>3</v>
      </c>
      <c r="G955">
        <v>0.45040000000000002</v>
      </c>
      <c r="H955">
        <v>5.0343</v>
      </c>
    </row>
    <row r="956" spans="1:8" x14ac:dyDescent="0.2">
      <c r="A956">
        <v>222.17910000000001</v>
      </c>
      <c r="B956">
        <v>0.51349999999999996</v>
      </c>
      <c r="C956">
        <v>11.814500000000001</v>
      </c>
      <c r="D956">
        <v>0</v>
      </c>
      <c r="E956">
        <v>3</v>
      </c>
      <c r="G956">
        <v>0.4491</v>
      </c>
      <c r="H956">
        <v>4.9257</v>
      </c>
    </row>
    <row r="957" spans="1:8" x14ac:dyDescent="0.2">
      <c r="A957">
        <v>222.42959999999999</v>
      </c>
      <c r="B957">
        <v>0.51280000000000003</v>
      </c>
      <c r="C957">
        <v>11.707700000000001</v>
      </c>
      <c r="D957">
        <v>0</v>
      </c>
      <c r="E957">
        <v>3</v>
      </c>
      <c r="G957">
        <v>0.44729999999999998</v>
      </c>
      <c r="H957">
        <v>4.8235000000000001</v>
      </c>
    </row>
    <row r="958" spans="1:8" x14ac:dyDescent="0.2">
      <c r="A958">
        <v>222.68010000000001</v>
      </c>
      <c r="B958">
        <v>0.51100000000000001</v>
      </c>
      <c r="C958">
        <v>11.6088</v>
      </c>
      <c r="D958">
        <v>0</v>
      </c>
      <c r="E958">
        <v>3</v>
      </c>
      <c r="G958">
        <v>0.44690000000000002</v>
      </c>
      <c r="H958">
        <v>4.7218</v>
      </c>
    </row>
    <row r="959" spans="1:8" x14ac:dyDescent="0.2">
      <c r="A959">
        <v>222.93049999999999</v>
      </c>
      <c r="B959">
        <v>0.50990000000000002</v>
      </c>
      <c r="C959">
        <v>11.5015</v>
      </c>
      <c r="D959">
        <v>0</v>
      </c>
      <c r="E959">
        <v>3</v>
      </c>
      <c r="G959">
        <v>0.44409999999999999</v>
      </c>
      <c r="H959">
        <v>4.6199000000000003</v>
      </c>
    </row>
    <row r="960" spans="1:8" x14ac:dyDescent="0.2">
      <c r="A960">
        <v>223.18100000000001</v>
      </c>
      <c r="B960">
        <v>0.50960000000000005</v>
      </c>
      <c r="C960">
        <v>11.401899999999999</v>
      </c>
      <c r="D960">
        <v>0</v>
      </c>
      <c r="E960">
        <v>3</v>
      </c>
      <c r="G960">
        <v>0.44280000000000003</v>
      </c>
      <c r="H960">
        <v>4.5132000000000003</v>
      </c>
    </row>
    <row r="961" spans="1:8" x14ac:dyDescent="0.2">
      <c r="A961">
        <v>223.4315</v>
      </c>
      <c r="B961">
        <v>0.5091</v>
      </c>
      <c r="C961">
        <v>11.2936</v>
      </c>
      <c r="D961">
        <v>0</v>
      </c>
      <c r="E961">
        <v>3</v>
      </c>
      <c r="G961">
        <v>0.44240000000000002</v>
      </c>
      <c r="H961">
        <v>4.4055999999999997</v>
      </c>
    </row>
    <row r="962" spans="1:8" x14ac:dyDescent="0.2">
      <c r="A962">
        <v>223.68199999999999</v>
      </c>
      <c r="B962">
        <v>0.50790000000000002</v>
      </c>
      <c r="C962">
        <v>11.190899999999999</v>
      </c>
      <c r="D962">
        <v>0</v>
      </c>
      <c r="E962">
        <v>3</v>
      </c>
      <c r="G962">
        <v>0.44140000000000001</v>
      </c>
      <c r="H962">
        <v>4.3030999999999997</v>
      </c>
    </row>
    <row r="963" spans="1:8" x14ac:dyDescent="0.2">
      <c r="A963">
        <v>223.9325</v>
      </c>
      <c r="B963">
        <v>0.5081</v>
      </c>
      <c r="C963">
        <v>11.080299999999999</v>
      </c>
      <c r="D963">
        <v>0</v>
      </c>
      <c r="E963">
        <v>3</v>
      </c>
      <c r="G963">
        <v>0.4405</v>
      </c>
      <c r="H963">
        <v>4.2019000000000002</v>
      </c>
    </row>
    <row r="964" spans="1:8" x14ac:dyDescent="0.2">
      <c r="A964">
        <v>224.18299999999999</v>
      </c>
      <c r="B964">
        <v>0.50680000000000003</v>
      </c>
      <c r="C964">
        <v>10.981</v>
      </c>
      <c r="D964">
        <v>0</v>
      </c>
      <c r="E964">
        <v>3</v>
      </c>
      <c r="G964">
        <v>0.43969999999999998</v>
      </c>
      <c r="H964">
        <v>4.0944000000000003</v>
      </c>
    </row>
    <row r="965" spans="1:8" x14ac:dyDescent="0.2">
      <c r="A965">
        <v>224.43340000000001</v>
      </c>
      <c r="B965">
        <v>0.50649999999999995</v>
      </c>
      <c r="C965">
        <v>10.869199999999999</v>
      </c>
      <c r="D965">
        <v>0</v>
      </c>
      <c r="E965">
        <v>3</v>
      </c>
      <c r="G965">
        <v>0.43840000000000001</v>
      </c>
      <c r="H965">
        <v>3.9904999999999999</v>
      </c>
    </row>
    <row r="966" spans="1:8" x14ac:dyDescent="0.2">
      <c r="A966">
        <v>224.68389999999999</v>
      </c>
      <c r="B966">
        <v>0.50480000000000003</v>
      </c>
      <c r="C966">
        <v>10.7706</v>
      </c>
      <c r="D966">
        <v>0</v>
      </c>
      <c r="E966">
        <v>3</v>
      </c>
      <c r="G966">
        <v>0.43609999999999999</v>
      </c>
      <c r="H966">
        <v>3.8908999999999998</v>
      </c>
    </row>
    <row r="967" spans="1:8" x14ac:dyDescent="0.2">
      <c r="A967">
        <v>224.93440000000001</v>
      </c>
      <c r="B967">
        <v>0.504</v>
      </c>
      <c r="C967">
        <v>10.667</v>
      </c>
      <c r="D967">
        <v>0</v>
      </c>
      <c r="E967">
        <v>3</v>
      </c>
      <c r="G967">
        <v>0.43580000000000002</v>
      </c>
      <c r="H967">
        <v>3.7804000000000002</v>
      </c>
    </row>
    <row r="968" spans="1:8" x14ac:dyDescent="0.2">
      <c r="A968">
        <v>225.1849</v>
      </c>
      <c r="B968">
        <v>0.50290000000000001</v>
      </c>
      <c r="C968">
        <v>10.5661</v>
      </c>
      <c r="D968">
        <v>0</v>
      </c>
      <c r="E968">
        <v>3</v>
      </c>
      <c r="G968">
        <v>0.43390000000000001</v>
      </c>
      <c r="H968">
        <v>3.6772</v>
      </c>
    </row>
    <row r="969" spans="1:8" x14ac:dyDescent="0.2">
      <c r="A969">
        <v>225.43539999999999</v>
      </c>
      <c r="B969">
        <v>0.50219999999999998</v>
      </c>
      <c r="C969">
        <v>10.4566</v>
      </c>
      <c r="D969">
        <v>0</v>
      </c>
      <c r="E969">
        <v>3</v>
      </c>
      <c r="G969">
        <v>0.43219999999999997</v>
      </c>
      <c r="H969">
        <v>3.5750000000000002</v>
      </c>
    </row>
    <row r="970" spans="1:8" x14ac:dyDescent="0.2">
      <c r="A970">
        <v>225.6859</v>
      </c>
      <c r="B970">
        <v>0.50170000000000003</v>
      </c>
      <c r="C970">
        <v>10.354100000000001</v>
      </c>
      <c r="D970">
        <v>0</v>
      </c>
      <c r="E970">
        <v>3</v>
      </c>
      <c r="G970">
        <v>0.43190000000000001</v>
      </c>
      <c r="H970">
        <v>3.4670000000000001</v>
      </c>
    </row>
    <row r="971" spans="1:8" x14ac:dyDescent="0.2">
      <c r="A971">
        <v>225.93629999999999</v>
      </c>
      <c r="B971">
        <v>0.5</v>
      </c>
      <c r="C971">
        <v>10.247999999999999</v>
      </c>
      <c r="D971">
        <v>0</v>
      </c>
      <c r="E971">
        <v>3</v>
      </c>
      <c r="G971">
        <v>0.43070000000000003</v>
      </c>
      <c r="H971">
        <v>3.3599000000000001</v>
      </c>
    </row>
    <row r="972" spans="1:8" x14ac:dyDescent="0.2">
      <c r="A972">
        <v>226.18680000000001</v>
      </c>
      <c r="B972">
        <v>0.49919999999999998</v>
      </c>
      <c r="C972">
        <v>10.141500000000001</v>
      </c>
      <c r="D972">
        <v>0</v>
      </c>
      <c r="E972">
        <v>3</v>
      </c>
      <c r="G972">
        <v>0.42920000000000003</v>
      </c>
      <c r="H972">
        <v>3.2627999999999999</v>
      </c>
    </row>
    <row r="973" spans="1:8" x14ac:dyDescent="0.2">
      <c r="A973">
        <v>226.43729999999999</v>
      </c>
      <c r="B973">
        <v>0.49869999999999998</v>
      </c>
      <c r="C973">
        <v>10.043200000000001</v>
      </c>
      <c r="D973">
        <v>0</v>
      </c>
      <c r="E973">
        <v>3</v>
      </c>
      <c r="G973">
        <v>0.42849999999999999</v>
      </c>
      <c r="H973">
        <v>3.1534</v>
      </c>
    </row>
    <row r="974" spans="1:8" x14ac:dyDescent="0.2">
      <c r="A974">
        <v>226.68780000000001</v>
      </c>
      <c r="B974">
        <v>0.49769999999999998</v>
      </c>
      <c r="C974">
        <v>9.9377999999999993</v>
      </c>
      <c r="D974">
        <v>0</v>
      </c>
      <c r="E974">
        <v>3</v>
      </c>
      <c r="G974">
        <v>0.42670000000000002</v>
      </c>
      <c r="H974">
        <v>3.0512999999999999</v>
      </c>
    </row>
    <row r="975" spans="1:8" x14ac:dyDescent="0.2">
      <c r="A975">
        <v>226.9383</v>
      </c>
      <c r="B975">
        <v>0.49640000000000001</v>
      </c>
      <c r="C975">
        <v>9.8351000000000006</v>
      </c>
      <c r="D975">
        <v>0</v>
      </c>
      <c r="E975">
        <v>3</v>
      </c>
      <c r="G975">
        <v>0.42549999999999999</v>
      </c>
      <c r="H975">
        <v>2.9514</v>
      </c>
    </row>
    <row r="976" spans="1:8" x14ac:dyDescent="0.2">
      <c r="A976">
        <v>227.18879999999999</v>
      </c>
      <c r="B976">
        <v>0.495</v>
      </c>
      <c r="C976">
        <v>9.7272999999999996</v>
      </c>
      <c r="D976">
        <v>0</v>
      </c>
      <c r="E976">
        <v>3</v>
      </c>
      <c r="G976">
        <v>0.4229</v>
      </c>
      <c r="H976">
        <v>2.8445999999999998</v>
      </c>
    </row>
    <row r="977" spans="1:8" x14ac:dyDescent="0.2">
      <c r="A977">
        <v>227.4392</v>
      </c>
      <c r="B977">
        <v>0.49540000000000001</v>
      </c>
      <c r="C977">
        <v>9.6181999999999999</v>
      </c>
      <c r="D977">
        <v>0</v>
      </c>
      <c r="E977">
        <v>3</v>
      </c>
      <c r="G977">
        <v>0.42280000000000001</v>
      </c>
      <c r="H977">
        <v>2.7347000000000001</v>
      </c>
    </row>
    <row r="978" spans="1:8" x14ac:dyDescent="0.2">
      <c r="A978">
        <v>227.68969999999999</v>
      </c>
      <c r="B978">
        <v>0.49340000000000001</v>
      </c>
      <c r="C978">
        <v>9.5208999999999993</v>
      </c>
      <c r="D978">
        <v>0</v>
      </c>
      <c r="E978">
        <v>3</v>
      </c>
      <c r="G978">
        <v>0.42020000000000002</v>
      </c>
      <c r="H978">
        <v>2.6337000000000002</v>
      </c>
    </row>
    <row r="979" spans="1:8" x14ac:dyDescent="0.2">
      <c r="A979">
        <v>227.9402</v>
      </c>
      <c r="B979">
        <v>0.49230000000000002</v>
      </c>
      <c r="C979">
        <v>9.4152000000000005</v>
      </c>
      <c r="D979">
        <v>0</v>
      </c>
      <c r="E979">
        <v>3</v>
      </c>
      <c r="G979">
        <v>0.41920000000000002</v>
      </c>
      <c r="H979">
        <v>2.5285000000000002</v>
      </c>
    </row>
    <row r="980" spans="1:8" x14ac:dyDescent="0.2">
      <c r="A980">
        <v>228.19069999999999</v>
      </c>
      <c r="B980">
        <v>0.49170000000000003</v>
      </c>
      <c r="C980">
        <v>9.3118999999999996</v>
      </c>
      <c r="D980">
        <v>0</v>
      </c>
      <c r="E980">
        <v>3</v>
      </c>
      <c r="G980">
        <v>0.41660000000000003</v>
      </c>
      <c r="H980">
        <v>2.4300000000000002</v>
      </c>
    </row>
    <row r="981" spans="1:8" x14ac:dyDescent="0.2">
      <c r="A981">
        <v>228.44120000000001</v>
      </c>
      <c r="B981">
        <v>0.49020000000000002</v>
      </c>
      <c r="C981">
        <v>9.2105999999999995</v>
      </c>
      <c r="D981">
        <v>0</v>
      </c>
      <c r="E981">
        <v>3</v>
      </c>
      <c r="G981">
        <v>0.4158</v>
      </c>
      <c r="H981">
        <v>2.3209</v>
      </c>
    </row>
    <row r="982" spans="1:8" x14ac:dyDescent="0.2">
      <c r="A982">
        <v>228.6917</v>
      </c>
      <c r="B982">
        <v>0.49020000000000002</v>
      </c>
      <c r="C982">
        <v>9.0993999999999993</v>
      </c>
      <c r="D982">
        <v>0</v>
      </c>
      <c r="E982">
        <v>3</v>
      </c>
      <c r="G982">
        <v>0.41489999999999999</v>
      </c>
      <c r="H982">
        <v>2.2195</v>
      </c>
    </row>
    <row r="983" spans="1:8" x14ac:dyDescent="0.2">
      <c r="A983">
        <v>228.94220000000001</v>
      </c>
      <c r="B983">
        <v>0.4879</v>
      </c>
      <c r="C983">
        <v>8.9984000000000002</v>
      </c>
      <c r="D983">
        <v>0</v>
      </c>
      <c r="E983">
        <v>3</v>
      </c>
      <c r="G983">
        <v>0.41339999999999999</v>
      </c>
      <c r="H983">
        <v>2.1124999999999998</v>
      </c>
    </row>
    <row r="984" spans="1:8" x14ac:dyDescent="0.2">
      <c r="A984">
        <v>229.1926</v>
      </c>
      <c r="B984">
        <v>0.48780000000000001</v>
      </c>
      <c r="C984">
        <v>8.8975000000000009</v>
      </c>
      <c r="D984">
        <v>0</v>
      </c>
      <c r="E984">
        <v>3</v>
      </c>
      <c r="G984">
        <v>0.41149999999999998</v>
      </c>
      <c r="H984">
        <v>2.0047000000000001</v>
      </c>
    </row>
    <row r="985" spans="1:8" x14ac:dyDescent="0.2">
      <c r="A985">
        <v>229.44309999999999</v>
      </c>
      <c r="B985">
        <v>0.48709999999999998</v>
      </c>
      <c r="C985">
        <v>8.7919999999999998</v>
      </c>
      <c r="D985">
        <v>0</v>
      </c>
      <c r="E985">
        <v>3</v>
      </c>
      <c r="G985">
        <v>0.40920000000000001</v>
      </c>
      <c r="H985">
        <v>1.9035</v>
      </c>
    </row>
    <row r="986" spans="1:8" x14ac:dyDescent="0.2">
      <c r="A986">
        <v>229.6936</v>
      </c>
      <c r="B986">
        <v>0.4864</v>
      </c>
      <c r="C986">
        <v>8.6797000000000004</v>
      </c>
      <c r="D986">
        <v>0</v>
      </c>
      <c r="E986">
        <v>3</v>
      </c>
      <c r="G986">
        <v>0.40949999999999998</v>
      </c>
      <c r="H986">
        <v>1.7959000000000001</v>
      </c>
    </row>
    <row r="987" spans="1:8" x14ac:dyDescent="0.2">
      <c r="A987">
        <v>229.94409999999999</v>
      </c>
      <c r="B987">
        <v>0.48509999999999998</v>
      </c>
      <c r="C987">
        <v>8.5782000000000007</v>
      </c>
      <c r="D987">
        <v>0</v>
      </c>
      <c r="E987">
        <v>3</v>
      </c>
      <c r="G987">
        <v>0.40689999999999998</v>
      </c>
      <c r="H987">
        <v>1.6942999999999999</v>
      </c>
    </row>
    <row r="988" spans="1:8" x14ac:dyDescent="0.2">
      <c r="A988">
        <v>230.19460000000001</v>
      </c>
      <c r="B988">
        <v>0.48359999999999997</v>
      </c>
      <c r="C988">
        <v>8.4758999999999993</v>
      </c>
      <c r="D988">
        <v>0</v>
      </c>
      <c r="E988">
        <v>3</v>
      </c>
      <c r="G988">
        <v>0.40489999999999998</v>
      </c>
      <c r="H988">
        <v>1.5880000000000001</v>
      </c>
    </row>
    <row r="989" spans="1:8" x14ac:dyDescent="0.2">
      <c r="A989">
        <v>230.4451</v>
      </c>
      <c r="B989">
        <v>0.4839</v>
      </c>
      <c r="C989">
        <v>8.3721999999999994</v>
      </c>
      <c r="D989">
        <v>0</v>
      </c>
      <c r="E989">
        <v>3</v>
      </c>
      <c r="G989">
        <v>0.40310000000000001</v>
      </c>
      <c r="H989">
        <v>1.4873000000000001</v>
      </c>
    </row>
    <row r="990" spans="1:8" x14ac:dyDescent="0.2">
      <c r="A990">
        <v>230.69550000000001</v>
      </c>
      <c r="B990">
        <v>0.48320000000000002</v>
      </c>
      <c r="C990">
        <v>8.2674000000000003</v>
      </c>
      <c r="D990">
        <v>0</v>
      </c>
      <c r="E990">
        <v>3</v>
      </c>
      <c r="G990">
        <v>0.40060000000000001</v>
      </c>
      <c r="H990">
        <v>1.3842000000000001</v>
      </c>
    </row>
    <row r="991" spans="1:8" x14ac:dyDescent="0.2">
      <c r="A991">
        <v>230.946</v>
      </c>
      <c r="B991">
        <v>0.4824</v>
      </c>
      <c r="C991">
        <v>8.1585999999999999</v>
      </c>
      <c r="D991">
        <v>0</v>
      </c>
      <c r="E991">
        <v>3</v>
      </c>
      <c r="G991">
        <v>0.39860000000000001</v>
      </c>
      <c r="H991">
        <v>1.2791999999999999</v>
      </c>
    </row>
    <row r="992" spans="1:8" x14ac:dyDescent="0.2">
      <c r="A992">
        <v>231.19649999999999</v>
      </c>
      <c r="B992">
        <v>0.48039999999999999</v>
      </c>
      <c r="C992">
        <v>8.0564999999999998</v>
      </c>
      <c r="D992">
        <v>0</v>
      </c>
      <c r="E992">
        <v>3</v>
      </c>
      <c r="G992">
        <v>0.39750000000000002</v>
      </c>
      <c r="H992">
        <v>1.1754</v>
      </c>
    </row>
    <row r="993" spans="1:8" x14ac:dyDescent="0.2">
      <c r="A993">
        <v>231.447</v>
      </c>
      <c r="B993">
        <v>0.47939999999999999</v>
      </c>
      <c r="C993">
        <v>7.9542000000000002</v>
      </c>
      <c r="D993">
        <v>0</v>
      </c>
      <c r="E993">
        <v>3</v>
      </c>
      <c r="G993">
        <v>0.39610000000000001</v>
      </c>
      <c r="H993">
        <v>1.0711999999999999</v>
      </c>
    </row>
    <row r="994" spans="1:8" x14ac:dyDescent="0.2">
      <c r="A994">
        <v>231.69749999999999</v>
      </c>
      <c r="B994">
        <v>0.47910000000000003</v>
      </c>
      <c r="C994">
        <v>7.8460000000000001</v>
      </c>
      <c r="D994">
        <v>0</v>
      </c>
      <c r="E994">
        <v>3</v>
      </c>
      <c r="G994">
        <v>0.39250000000000002</v>
      </c>
      <c r="H994">
        <v>0.96109999999999995</v>
      </c>
    </row>
    <row r="995" spans="1:8" x14ac:dyDescent="0.2">
      <c r="A995">
        <v>231.94800000000001</v>
      </c>
      <c r="B995">
        <v>0.47739999999999999</v>
      </c>
      <c r="C995">
        <v>7.7451999999999996</v>
      </c>
      <c r="D995">
        <v>0</v>
      </c>
      <c r="E995">
        <v>3</v>
      </c>
      <c r="G995">
        <v>0.3901</v>
      </c>
      <c r="H995">
        <v>0.86209999999999998</v>
      </c>
    </row>
    <row r="996" spans="1:8" x14ac:dyDescent="0.2">
      <c r="A996">
        <v>232.19839999999999</v>
      </c>
      <c r="B996">
        <v>0.47699999999999998</v>
      </c>
      <c r="C996">
        <v>7.6413000000000002</v>
      </c>
      <c r="D996">
        <v>0</v>
      </c>
      <c r="E996">
        <v>3</v>
      </c>
      <c r="G996">
        <v>0.3881</v>
      </c>
      <c r="H996">
        <v>0.7571</v>
      </c>
    </row>
    <row r="997" spans="1:8" x14ac:dyDescent="0.2">
      <c r="A997">
        <v>232.44890000000001</v>
      </c>
      <c r="B997">
        <v>0.4753</v>
      </c>
      <c r="C997">
        <v>7.54</v>
      </c>
      <c r="D997">
        <v>0</v>
      </c>
      <c r="E997">
        <v>3</v>
      </c>
      <c r="G997">
        <v>0.3856</v>
      </c>
      <c r="H997">
        <v>0.64980000000000004</v>
      </c>
    </row>
    <row r="998" spans="1:8" x14ac:dyDescent="0.2">
      <c r="A998">
        <v>232.6994</v>
      </c>
      <c r="B998">
        <v>0.47539999999999999</v>
      </c>
      <c r="C998">
        <v>7.4290000000000003</v>
      </c>
      <c r="D998">
        <v>0</v>
      </c>
      <c r="E998">
        <v>3</v>
      </c>
      <c r="G998">
        <v>0.38129999999999997</v>
      </c>
      <c r="H998">
        <v>0.54679999999999995</v>
      </c>
    </row>
    <row r="999" spans="1:8" x14ac:dyDescent="0.2">
      <c r="A999">
        <v>232.94990000000001</v>
      </c>
      <c r="B999">
        <v>0.4743</v>
      </c>
      <c r="C999">
        <v>7.3335999999999997</v>
      </c>
      <c r="D999">
        <v>0</v>
      </c>
      <c r="E999">
        <v>3</v>
      </c>
      <c r="G999">
        <v>0.37869999999999998</v>
      </c>
      <c r="H999">
        <v>0.4471</v>
      </c>
    </row>
    <row r="1000" spans="1:8" x14ac:dyDescent="0.2">
      <c r="A1000">
        <v>233.2004</v>
      </c>
      <c r="B1000">
        <v>0.47389999999999999</v>
      </c>
      <c r="C1000">
        <v>7.2202999999999999</v>
      </c>
      <c r="D1000">
        <v>0</v>
      </c>
      <c r="E1000">
        <v>3</v>
      </c>
      <c r="G1000">
        <v>0.37730000000000002</v>
      </c>
      <c r="H1000">
        <v>0.33550000000000002</v>
      </c>
    </row>
    <row r="1001" spans="1:8" x14ac:dyDescent="0.2">
      <c r="A1001">
        <v>233.45089999999999</v>
      </c>
      <c r="B1001">
        <v>0.4718</v>
      </c>
      <c r="C1001">
        <v>7.1245000000000003</v>
      </c>
      <c r="D1001">
        <v>0</v>
      </c>
      <c r="E1001">
        <v>3</v>
      </c>
      <c r="G1001">
        <v>0.37109999999999999</v>
      </c>
      <c r="H1001">
        <v>0.23899999999999999</v>
      </c>
    </row>
    <row r="1002" spans="1:8" x14ac:dyDescent="0.2">
      <c r="A1002">
        <v>233.7013</v>
      </c>
      <c r="B1002">
        <v>0.47110000000000002</v>
      </c>
      <c r="C1002">
        <v>7.0118999999999998</v>
      </c>
      <c r="D1002">
        <v>0</v>
      </c>
      <c r="E1002">
        <v>3</v>
      </c>
      <c r="G1002">
        <v>0.36480000000000001</v>
      </c>
      <c r="H1002">
        <v>0.1305</v>
      </c>
    </row>
    <row r="1003" spans="1:8" x14ac:dyDescent="0.2">
      <c r="A1003">
        <v>233.95179999999999</v>
      </c>
      <c r="B1003">
        <v>0.4708</v>
      </c>
      <c r="C1003">
        <v>6.9077000000000002</v>
      </c>
      <c r="D1003">
        <v>0</v>
      </c>
      <c r="E1003">
        <v>3</v>
      </c>
    </row>
    <row r="1004" spans="1:8" x14ac:dyDescent="0.2">
      <c r="A1004">
        <v>234.20230000000001</v>
      </c>
      <c r="B1004">
        <v>0.46889999999999998</v>
      </c>
      <c r="C1004">
        <v>6.8053999999999997</v>
      </c>
      <c r="D1004">
        <v>0</v>
      </c>
      <c r="E1004">
        <v>3</v>
      </c>
    </row>
    <row r="1005" spans="1:8" x14ac:dyDescent="0.2">
      <c r="A1005">
        <v>234.4528</v>
      </c>
      <c r="B1005">
        <v>0.46750000000000003</v>
      </c>
      <c r="C1005">
        <v>6.7039</v>
      </c>
      <c r="D1005">
        <v>0</v>
      </c>
      <c r="E1005">
        <v>3</v>
      </c>
    </row>
    <row r="1006" spans="1:8" x14ac:dyDescent="0.2">
      <c r="A1006">
        <v>234.70330000000001</v>
      </c>
      <c r="B1006">
        <v>0.46700000000000003</v>
      </c>
      <c r="C1006">
        <v>6.5994999999999999</v>
      </c>
      <c r="D1006">
        <v>0</v>
      </c>
      <c r="E1006">
        <v>3</v>
      </c>
    </row>
    <row r="1007" spans="1:8" x14ac:dyDescent="0.2">
      <c r="A1007">
        <v>234.9538</v>
      </c>
      <c r="B1007">
        <v>0.46560000000000001</v>
      </c>
      <c r="C1007">
        <v>6.4976000000000003</v>
      </c>
      <c r="D1007">
        <v>0</v>
      </c>
      <c r="E1007">
        <v>3</v>
      </c>
    </row>
    <row r="1008" spans="1:8" x14ac:dyDescent="0.2">
      <c r="A1008">
        <v>235.20419999999999</v>
      </c>
      <c r="B1008">
        <v>0.46650000000000003</v>
      </c>
      <c r="C1008">
        <v>6.3865999999999996</v>
      </c>
      <c r="D1008">
        <v>0</v>
      </c>
      <c r="E1008">
        <v>3</v>
      </c>
    </row>
    <row r="1009" spans="1:5" x14ac:dyDescent="0.2">
      <c r="A1009">
        <v>235.4547</v>
      </c>
      <c r="B1009">
        <v>0.4647</v>
      </c>
      <c r="C1009">
        <v>6.2827999999999999</v>
      </c>
      <c r="D1009">
        <v>0</v>
      </c>
      <c r="E1009">
        <v>3</v>
      </c>
    </row>
    <row r="1010" spans="1:5" x14ac:dyDescent="0.2">
      <c r="A1010">
        <v>235.70519999999999</v>
      </c>
      <c r="B1010">
        <v>0.4627</v>
      </c>
      <c r="C1010">
        <v>6.1856999999999998</v>
      </c>
      <c r="D1010">
        <v>0</v>
      </c>
      <c r="E1010">
        <v>3</v>
      </c>
    </row>
    <row r="1011" spans="1:5" x14ac:dyDescent="0.2">
      <c r="A1011">
        <v>235.95570000000001</v>
      </c>
      <c r="B1011">
        <v>0.46279999999999999</v>
      </c>
      <c r="C1011">
        <v>6.0791000000000004</v>
      </c>
      <c r="D1011">
        <v>0</v>
      </c>
      <c r="E1011">
        <v>3</v>
      </c>
    </row>
    <row r="1012" spans="1:5" x14ac:dyDescent="0.2">
      <c r="A1012">
        <v>236.2062</v>
      </c>
      <c r="B1012">
        <v>0.4617</v>
      </c>
      <c r="C1012">
        <v>5.9679000000000002</v>
      </c>
      <c r="D1012">
        <v>0</v>
      </c>
      <c r="E1012">
        <v>3</v>
      </c>
    </row>
    <row r="1013" spans="1:5" x14ac:dyDescent="0.2">
      <c r="A1013">
        <v>236.45670000000001</v>
      </c>
      <c r="B1013">
        <v>0.4602</v>
      </c>
      <c r="C1013">
        <v>5.8722000000000003</v>
      </c>
      <c r="D1013">
        <v>0</v>
      </c>
      <c r="E1013">
        <v>3</v>
      </c>
    </row>
    <row r="1014" spans="1:5" x14ac:dyDescent="0.2">
      <c r="A1014">
        <v>236.7071</v>
      </c>
      <c r="B1014">
        <v>0.45950000000000002</v>
      </c>
      <c r="C1014">
        <v>5.7653999999999996</v>
      </c>
      <c r="D1014">
        <v>0</v>
      </c>
      <c r="E1014">
        <v>3</v>
      </c>
    </row>
    <row r="1015" spans="1:5" x14ac:dyDescent="0.2">
      <c r="A1015">
        <v>236.95760000000001</v>
      </c>
      <c r="B1015">
        <v>0.45810000000000001</v>
      </c>
      <c r="C1015">
        <v>5.6592000000000002</v>
      </c>
      <c r="D1015">
        <v>0</v>
      </c>
      <c r="E1015">
        <v>3</v>
      </c>
    </row>
    <row r="1016" spans="1:5" x14ac:dyDescent="0.2">
      <c r="A1016">
        <v>237.2081</v>
      </c>
      <c r="B1016">
        <v>0.45760000000000001</v>
      </c>
      <c r="C1016">
        <v>5.5552999999999999</v>
      </c>
      <c r="D1016">
        <v>0</v>
      </c>
      <c r="E1016">
        <v>3</v>
      </c>
    </row>
    <row r="1017" spans="1:5" x14ac:dyDescent="0.2">
      <c r="A1017">
        <v>237.45859999999999</v>
      </c>
      <c r="B1017">
        <v>0.45610000000000001</v>
      </c>
      <c r="C1017">
        <v>5.4538000000000002</v>
      </c>
      <c r="D1017">
        <v>0</v>
      </c>
      <c r="E1017">
        <v>3</v>
      </c>
    </row>
    <row r="1018" spans="1:5" x14ac:dyDescent="0.2">
      <c r="A1018">
        <v>237.70910000000001</v>
      </c>
      <c r="B1018">
        <v>0.45429999999999998</v>
      </c>
      <c r="C1018">
        <v>5.3478000000000003</v>
      </c>
      <c r="D1018">
        <v>0</v>
      </c>
      <c r="E1018">
        <v>3</v>
      </c>
    </row>
    <row r="1019" spans="1:5" x14ac:dyDescent="0.2">
      <c r="A1019">
        <v>237.95959999999999</v>
      </c>
      <c r="B1019">
        <v>0.4526</v>
      </c>
      <c r="C1019">
        <v>5.2413999999999996</v>
      </c>
      <c r="D1019">
        <v>0</v>
      </c>
      <c r="E1019">
        <v>3</v>
      </c>
    </row>
    <row r="1020" spans="1:5" x14ac:dyDescent="0.2">
      <c r="A1020">
        <v>238.21010000000001</v>
      </c>
      <c r="B1020">
        <v>0.45169999999999999</v>
      </c>
      <c r="C1020">
        <v>5.1375000000000002</v>
      </c>
      <c r="D1020">
        <v>0</v>
      </c>
      <c r="E1020">
        <v>3</v>
      </c>
    </row>
    <row r="1021" spans="1:5" x14ac:dyDescent="0.2">
      <c r="A1021">
        <v>238.4605</v>
      </c>
      <c r="B1021">
        <v>0.45040000000000002</v>
      </c>
      <c r="C1021">
        <v>5.0343</v>
      </c>
      <c r="D1021">
        <v>0</v>
      </c>
      <c r="E1021">
        <v>3</v>
      </c>
    </row>
    <row r="1022" spans="1:5" x14ac:dyDescent="0.2">
      <c r="A1022">
        <v>238.71100000000001</v>
      </c>
      <c r="B1022">
        <v>0.4491</v>
      </c>
      <c r="C1022">
        <v>4.9257</v>
      </c>
      <c r="D1022">
        <v>0</v>
      </c>
      <c r="E1022">
        <v>3</v>
      </c>
    </row>
    <row r="1023" spans="1:5" x14ac:dyDescent="0.2">
      <c r="A1023">
        <v>238.9615</v>
      </c>
      <c r="B1023">
        <v>0.44729999999999998</v>
      </c>
      <c r="C1023">
        <v>4.8235000000000001</v>
      </c>
      <c r="D1023">
        <v>0</v>
      </c>
      <c r="E1023">
        <v>3</v>
      </c>
    </row>
    <row r="1024" spans="1:5" x14ac:dyDescent="0.2">
      <c r="A1024">
        <v>239.21199999999999</v>
      </c>
      <c r="B1024">
        <v>0.44690000000000002</v>
      </c>
      <c r="C1024">
        <v>4.7218</v>
      </c>
      <c r="D1024">
        <v>0</v>
      </c>
      <c r="E1024">
        <v>3</v>
      </c>
    </row>
    <row r="1025" spans="1:5" x14ac:dyDescent="0.2">
      <c r="A1025">
        <v>239.46250000000001</v>
      </c>
      <c r="B1025">
        <v>0.44409999999999999</v>
      </c>
      <c r="C1025">
        <v>4.6199000000000003</v>
      </c>
      <c r="D1025">
        <v>0</v>
      </c>
      <c r="E1025">
        <v>3</v>
      </c>
    </row>
    <row r="1026" spans="1:5" x14ac:dyDescent="0.2">
      <c r="A1026">
        <v>239.71299999999999</v>
      </c>
      <c r="B1026">
        <v>0.44280000000000003</v>
      </c>
      <c r="C1026">
        <v>4.5132000000000003</v>
      </c>
      <c r="D1026">
        <v>0</v>
      </c>
      <c r="E1026">
        <v>3</v>
      </c>
    </row>
    <row r="1027" spans="1:5" x14ac:dyDescent="0.2">
      <c r="A1027">
        <v>239.96340000000001</v>
      </c>
      <c r="B1027">
        <v>0.44240000000000002</v>
      </c>
      <c r="C1027">
        <v>4.4055999999999997</v>
      </c>
      <c r="D1027">
        <v>0</v>
      </c>
      <c r="E1027">
        <v>3</v>
      </c>
    </row>
    <row r="1028" spans="1:5" x14ac:dyDescent="0.2">
      <c r="A1028">
        <v>240.2139</v>
      </c>
      <c r="B1028">
        <v>0.44140000000000001</v>
      </c>
      <c r="C1028">
        <v>4.3030999999999997</v>
      </c>
      <c r="D1028">
        <v>0</v>
      </c>
      <c r="E1028">
        <v>3</v>
      </c>
    </row>
    <row r="1029" spans="1:5" x14ac:dyDescent="0.2">
      <c r="A1029">
        <v>240.46440000000001</v>
      </c>
      <c r="B1029">
        <v>0.4405</v>
      </c>
      <c r="C1029">
        <v>4.2019000000000002</v>
      </c>
      <c r="D1029">
        <v>0</v>
      </c>
      <c r="E1029">
        <v>3</v>
      </c>
    </row>
    <row r="1030" spans="1:5" x14ac:dyDescent="0.2">
      <c r="A1030">
        <v>240.7149</v>
      </c>
      <c r="B1030">
        <v>0.43969999999999998</v>
      </c>
      <c r="C1030">
        <v>4.0944000000000003</v>
      </c>
      <c r="D1030">
        <v>0</v>
      </c>
      <c r="E1030">
        <v>3</v>
      </c>
    </row>
    <row r="1031" spans="1:5" x14ac:dyDescent="0.2">
      <c r="A1031">
        <v>240.96539999999999</v>
      </c>
      <c r="B1031">
        <v>0.43840000000000001</v>
      </c>
      <c r="C1031">
        <v>3.9904999999999999</v>
      </c>
      <c r="D1031">
        <v>0</v>
      </c>
      <c r="E1031">
        <v>3</v>
      </c>
    </row>
    <row r="1032" spans="1:5" x14ac:dyDescent="0.2">
      <c r="A1032">
        <v>241.2159</v>
      </c>
      <c r="B1032">
        <v>0.43609999999999999</v>
      </c>
      <c r="C1032">
        <v>3.8908999999999998</v>
      </c>
      <c r="D1032">
        <v>0</v>
      </c>
      <c r="E1032">
        <v>3</v>
      </c>
    </row>
    <row r="1033" spans="1:5" x14ac:dyDescent="0.2">
      <c r="A1033">
        <v>241.46629999999999</v>
      </c>
      <c r="B1033">
        <v>0.43580000000000002</v>
      </c>
      <c r="C1033">
        <v>3.7804000000000002</v>
      </c>
      <c r="D1033">
        <v>0</v>
      </c>
      <c r="E1033">
        <v>3</v>
      </c>
    </row>
    <row r="1034" spans="1:5" x14ac:dyDescent="0.2">
      <c r="A1034">
        <v>241.71680000000001</v>
      </c>
      <c r="B1034">
        <v>0.43390000000000001</v>
      </c>
      <c r="C1034">
        <v>3.6772</v>
      </c>
      <c r="D1034">
        <v>0</v>
      </c>
      <c r="E1034">
        <v>3</v>
      </c>
    </row>
    <row r="1035" spans="1:5" x14ac:dyDescent="0.2">
      <c r="A1035">
        <v>241.96729999999999</v>
      </c>
      <c r="B1035">
        <v>0.43219999999999997</v>
      </c>
      <c r="C1035">
        <v>3.5750000000000002</v>
      </c>
      <c r="D1035">
        <v>0</v>
      </c>
      <c r="E1035">
        <v>3</v>
      </c>
    </row>
    <row r="1036" spans="1:5" x14ac:dyDescent="0.2">
      <c r="A1036">
        <v>242.21780000000001</v>
      </c>
      <c r="B1036">
        <v>0.43190000000000001</v>
      </c>
      <c r="C1036">
        <v>3.4670000000000001</v>
      </c>
      <c r="D1036">
        <v>0</v>
      </c>
      <c r="E1036">
        <v>3</v>
      </c>
    </row>
    <row r="1037" spans="1:5" x14ac:dyDescent="0.2">
      <c r="A1037">
        <v>242.4683</v>
      </c>
      <c r="B1037">
        <v>0.43070000000000003</v>
      </c>
      <c r="C1037">
        <v>3.3599000000000001</v>
      </c>
      <c r="D1037">
        <v>0</v>
      </c>
      <c r="E1037">
        <v>3</v>
      </c>
    </row>
    <row r="1038" spans="1:5" x14ac:dyDescent="0.2">
      <c r="A1038">
        <v>242.71879999999999</v>
      </c>
      <c r="B1038">
        <v>0.42920000000000003</v>
      </c>
      <c r="C1038">
        <v>3.2627999999999999</v>
      </c>
      <c r="D1038">
        <v>0</v>
      </c>
      <c r="E1038">
        <v>3</v>
      </c>
    </row>
    <row r="1039" spans="1:5" x14ac:dyDescent="0.2">
      <c r="A1039">
        <v>242.9692</v>
      </c>
      <c r="B1039">
        <v>0.42849999999999999</v>
      </c>
      <c r="C1039">
        <v>3.1534</v>
      </c>
      <c r="D1039">
        <v>0</v>
      </c>
      <c r="E1039">
        <v>3</v>
      </c>
    </row>
    <row r="1040" spans="1:5" x14ac:dyDescent="0.2">
      <c r="A1040">
        <v>243.21969999999999</v>
      </c>
      <c r="B1040">
        <v>0.42670000000000002</v>
      </c>
      <c r="C1040">
        <v>3.0512999999999999</v>
      </c>
      <c r="D1040">
        <v>0</v>
      </c>
      <c r="E1040">
        <v>3</v>
      </c>
    </row>
    <row r="1041" spans="1:5" x14ac:dyDescent="0.2">
      <c r="A1041">
        <v>243.47020000000001</v>
      </c>
      <c r="B1041">
        <v>0.42549999999999999</v>
      </c>
      <c r="C1041">
        <v>2.9514</v>
      </c>
      <c r="D1041">
        <v>0</v>
      </c>
      <c r="E1041">
        <v>3</v>
      </c>
    </row>
    <row r="1042" spans="1:5" x14ac:dyDescent="0.2">
      <c r="A1042">
        <v>243.72069999999999</v>
      </c>
      <c r="B1042">
        <v>0.4229</v>
      </c>
      <c r="C1042">
        <v>2.8445999999999998</v>
      </c>
      <c r="D1042">
        <v>0</v>
      </c>
      <c r="E1042">
        <v>3</v>
      </c>
    </row>
    <row r="1043" spans="1:5" x14ac:dyDescent="0.2">
      <c r="A1043">
        <v>243.97120000000001</v>
      </c>
      <c r="B1043">
        <v>0.42280000000000001</v>
      </c>
      <c r="C1043">
        <v>2.7347000000000001</v>
      </c>
      <c r="D1043">
        <v>0</v>
      </c>
      <c r="E1043">
        <v>3</v>
      </c>
    </row>
    <row r="1044" spans="1:5" x14ac:dyDescent="0.2">
      <c r="A1044">
        <v>244.2216</v>
      </c>
      <c r="B1044">
        <v>0.42020000000000002</v>
      </c>
      <c r="C1044">
        <v>2.6337000000000002</v>
      </c>
      <c r="D1044">
        <v>0</v>
      </c>
      <c r="E1044">
        <v>3</v>
      </c>
    </row>
    <row r="1045" spans="1:5" x14ac:dyDescent="0.2">
      <c r="A1045">
        <v>244.47210000000001</v>
      </c>
      <c r="B1045">
        <v>0.41920000000000002</v>
      </c>
      <c r="C1045">
        <v>2.5285000000000002</v>
      </c>
      <c r="D1045">
        <v>0</v>
      </c>
      <c r="E1045">
        <v>3</v>
      </c>
    </row>
    <row r="1046" spans="1:5" x14ac:dyDescent="0.2">
      <c r="A1046">
        <v>244.7226</v>
      </c>
      <c r="B1046">
        <v>0.41660000000000003</v>
      </c>
      <c r="C1046">
        <v>2.4300000000000002</v>
      </c>
      <c r="D1046">
        <v>0</v>
      </c>
      <c r="E1046">
        <v>3</v>
      </c>
    </row>
    <row r="1047" spans="1:5" x14ac:dyDescent="0.2">
      <c r="A1047">
        <v>244.97309999999999</v>
      </c>
      <c r="B1047">
        <v>0.4158</v>
      </c>
      <c r="C1047">
        <v>2.3209</v>
      </c>
      <c r="D1047">
        <v>0</v>
      </c>
      <c r="E1047">
        <v>3</v>
      </c>
    </row>
    <row r="1048" spans="1:5" x14ac:dyDescent="0.2">
      <c r="A1048">
        <v>245.2236</v>
      </c>
      <c r="B1048">
        <v>0.41489999999999999</v>
      </c>
      <c r="C1048">
        <v>2.2195</v>
      </c>
      <c r="D1048">
        <v>0</v>
      </c>
      <c r="E1048">
        <v>3</v>
      </c>
    </row>
    <row r="1049" spans="1:5" x14ac:dyDescent="0.2">
      <c r="A1049">
        <v>245.47409999999999</v>
      </c>
      <c r="B1049">
        <v>0.41339999999999999</v>
      </c>
      <c r="C1049">
        <v>2.1124999999999998</v>
      </c>
      <c r="D1049">
        <v>0</v>
      </c>
      <c r="E1049">
        <v>3</v>
      </c>
    </row>
    <row r="1050" spans="1:5" x14ac:dyDescent="0.2">
      <c r="A1050">
        <v>245.72460000000001</v>
      </c>
      <c r="B1050">
        <v>0.41149999999999998</v>
      </c>
      <c r="C1050">
        <v>2.0047000000000001</v>
      </c>
      <c r="D1050">
        <v>0</v>
      </c>
      <c r="E1050">
        <v>3</v>
      </c>
    </row>
    <row r="1051" spans="1:5" x14ac:dyDescent="0.2">
      <c r="A1051">
        <v>245.97499999999999</v>
      </c>
      <c r="B1051">
        <v>0.40920000000000001</v>
      </c>
      <c r="C1051">
        <v>1.9035</v>
      </c>
      <c r="D1051">
        <v>0</v>
      </c>
      <c r="E1051">
        <v>3</v>
      </c>
    </row>
    <row r="1052" spans="1:5" x14ac:dyDescent="0.2">
      <c r="A1052">
        <v>246.22550000000001</v>
      </c>
      <c r="B1052">
        <v>0.40949999999999998</v>
      </c>
      <c r="C1052">
        <v>1.7959000000000001</v>
      </c>
      <c r="D1052">
        <v>0</v>
      </c>
      <c r="E1052">
        <v>3</v>
      </c>
    </row>
    <row r="1053" spans="1:5" x14ac:dyDescent="0.2">
      <c r="A1053">
        <v>246.476</v>
      </c>
      <c r="B1053">
        <v>0.40689999999999998</v>
      </c>
      <c r="C1053">
        <v>1.6942999999999999</v>
      </c>
      <c r="D1053">
        <v>0</v>
      </c>
      <c r="E1053">
        <v>3</v>
      </c>
    </row>
    <row r="1054" spans="1:5" x14ac:dyDescent="0.2">
      <c r="A1054">
        <v>246.72649999999999</v>
      </c>
      <c r="B1054">
        <v>0.40489999999999998</v>
      </c>
      <c r="C1054">
        <v>1.5880000000000001</v>
      </c>
      <c r="D1054">
        <v>0</v>
      </c>
      <c r="E1054">
        <v>3</v>
      </c>
    </row>
    <row r="1055" spans="1:5" x14ac:dyDescent="0.2">
      <c r="A1055">
        <v>246.977</v>
      </c>
      <c r="B1055">
        <v>0.40310000000000001</v>
      </c>
      <c r="C1055">
        <v>1.4873000000000001</v>
      </c>
      <c r="D1055">
        <v>0</v>
      </c>
      <c r="E1055">
        <v>3</v>
      </c>
    </row>
    <row r="1056" spans="1:5" x14ac:dyDescent="0.2">
      <c r="A1056">
        <v>247.22749999999999</v>
      </c>
      <c r="B1056">
        <v>0.40060000000000001</v>
      </c>
      <c r="C1056">
        <v>1.3842000000000001</v>
      </c>
      <c r="D1056">
        <v>0</v>
      </c>
      <c r="E1056">
        <v>3</v>
      </c>
    </row>
    <row r="1057" spans="1:5" x14ac:dyDescent="0.2">
      <c r="A1057">
        <v>247.47800000000001</v>
      </c>
      <c r="B1057">
        <v>0.39860000000000001</v>
      </c>
      <c r="C1057">
        <v>1.2791999999999999</v>
      </c>
      <c r="D1057">
        <v>0</v>
      </c>
      <c r="E1057">
        <v>3</v>
      </c>
    </row>
    <row r="1058" spans="1:5" x14ac:dyDescent="0.2">
      <c r="A1058">
        <v>247.72839999999999</v>
      </c>
      <c r="B1058">
        <v>0.39750000000000002</v>
      </c>
      <c r="C1058">
        <v>1.1754</v>
      </c>
      <c r="D1058">
        <v>0</v>
      </c>
      <c r="E1058">
        <v>3</v>
      </c>
    </row>
    <row r="1059" spans="1:5" x14ac:dyDescent="0.2">
      <c r="A1059">
        <v>247.97890000000001</v>
      </c>
      <c r="B1059">
        <v>0.39610000000000001</v>
      </c>
      <c r="C1059">
        <v>1.0711999999999999</v>
      </c>
      <c r="D1059">
        <v>0</v>
      </c>
      <c r="E1059">
        <v>3</v>
      </c>
    </row>
    <row r="1060" spans="1:5" x14ac:dyDescent="0.2">
      <c r="A1060">
        <v>248.2294</v>
      </c>
      <c r="B1060">
        <v>0.39250000000000002</v>
      </c>
      <c r="C1060">
        <v>0.96109999999999995</v>
      </c>
      <c r="D1060">
        <v>0</v>
      </c>
      <c r="E1060">
        <v>3</v>
      </c>
    </row>
    <row r="1061" spans="1:5" x14ac:dyDescent="0.2">
      <c r="A1061">
        <v>248.47989999999999</v>
      </c>
      <c r="B1061">
        <v>0.3901</v>
      </c>
      <c r="C1061">
        <v>0.86209999999999998</v>
      </c>
      <c r="D1061">
        <v>0</v>
      </c>
      <c r="E1061">
        <v>3</v>
      </c>
    </row>
    <row r="1062" spans="1:5" x14ac:dyDescent="0.2">
      <c r="A1062">
        <v>248.7304</v>
      </c>
      <c r="B1062">
        <v>0.3881</v>
      </c>
      <c r="C1062">
        <v>0.7571</v>
      </c>
      <c r="D1062">
        <v>0</v>
      </c>
      <c r="E1062">
        <v>3</v>
      </c>
    </row>
    <row r="1063" spans="1:5" x14ac:dyDescent="0.2">
      <c r="A1063">
        <v>248.98089999999999</v>
      </c>
      <c r="B1063">
        <v>0.3856</v>
      </c>
      <c r="C1063">
        <v>0.64980000000000004</v>
      </c>
      <c r="D1063">
        <v>0</v>
      </c>
      <c r="E1063">
        <v>3</v>
      </c>
    </row>
    <row r="1064" spans="1:5" x14ac:dyDescent="0.2">
      <c r="A1064">
        <v>249.2313</v>
      </c>
      <c r="B1064">
        <v>0.38129999999999997</v>
      </c>
      <c r="C1064">
        <v>0.54679999999999995</v>
      </c>
      <c r="D1064">
        <v>0</v>
      </c>
      <c r="E1064">
        <v>3</v>
      </c>
    </row>
    <row r="1065" spans="1:5" x14ac:dyDescent="0.2">
      <c r="A1065">
        <v>249.48179999999999</v>
      </c>
      <c r="B1065">
        <v>0.37869999999999998</v>
      </c>
      <c r="C1065">
        <v>0.4471</v>
      </c>
      <c r="D1065">
        <v>0</v>
      </c>
      <c r="E1065">
        <v>3</v>
      </c>
    </row>
    <row r="1066" spans="1:5" x14ac:dyDescent="0.2">
      <c r="A1066">
        <v>249.73230000000001</v>
      </c>
      <c r="B1066">
        <v>0.37730000000000002</v>
      </c>
      <c r="C1066">
        <v>0.33550000000000002</v>
      </c>
      <c r="D1066">
        <v>0</v>
      </c>
      <c r="E1066">
        <v>3</v>
      </c>
    </row>
    <row r="1067" spans="1:5" x14ac:dyDescent="0.2">
      <c r="A1067">
        <v>249.9828</v>
      </c>
      <c r="B1067">
        <v>0.37109999999999999</v>
      </c>
      <c r="C1067">
        <v>0.23899999999999999</v>
      </c>
      <c r="D1067">
        <v>0</v>
      </c>
      <c r="E1067">
        <v>3</v>
      </c>
    </row>
    <row r="1068" spans="1:5" x14ac:dyDescent="0.2">
      <c r="A1068">
        <v>250.23330000000001</v>
      </c>
      <c r="B1068">
        <v>0.36480000000000001</v>
      </c>
      <c r="C1068">
        <v>0.1305</v>
      </c>
      <c r="D1068">
        <v>0</v>
      </c>
      <c r="E1068">
        <v>3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59"/>
  <sheetViews>
    <sheetView workbookViewId="0">
      <selection activeCell="D19" sqref="D19"/>
    </sheetView>
  </sheetViews>
  <sheetFormatPr baseColWidth="10" defaultRowHeight="16" x14ac:dyDescent="0.2"/>
  <sheetData>
    <row r="1" spans="1:10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  <c r="H1" s="2" t="s">
        <v>77</v>
      </c>
      <c r="I1" s="2" t="s">
        <v>78</v>
      </c>
      <c r="J1" s="2" t="s">
        <v>79</v>
      </c>
    </row>
    <row r="2" spans="1:10" x14ac:dyDescent="0.2">
      <c r="A2" s="2">
        <v>0</v>
      </c>
      <c r="B2" s="3">
        <v>5.5800000000000002E-9</v>
      </c>
      <c r="C2" s="3">
        <v>5.3100000000000003E-5</v>
      </c>
      <c r="D2" s="3">
        <v>17000</v>
      </c>
      <c r="E2" s="3">
        <v>82600000000</v>
      </c>
      <c r="F2" s="3">
        <v>76700000000</v>
      </c>
      <c r="G2" s="2">
        <v>0</v>
      </c>
      <c r="H2" s="3">
        <v>1570000000</v>
      </c>
      <c r="I2" s="2">
        <v>-9.1670000000000001E-2</v>
      </c>
      <c r="J2" s="3">
        <v>1.8499999999999999E-13</v>
      </c>
    </row>
    <row r="3" spans="1:10" x14ac:dyDescent="0.2">
      <c r="A3" s="2">
        <v>1</v>
      </c>
      <c r="B3" s="3">
        <v>6.65E-9</v>
      </c>
      <c r="C3" s="3">
        <v>8.3999999999999995E-5</v>
      </c>
      <c r="D3" s="3">
        <v>24600</v>
      </c>
      <c r="E3" s="3">
        <v>109000000000</v>
      </c>
      <c r="F3" s="3">
        <v>99100000000</v>
      </c>
      <c r="G3" s="3">
        <v>752000000</v>
      </c>
      <c r="H3" s="3">
        <v>1970000000</v>
      </c>
      <c r="I3" s="2">
        <v>7.5960000000000003E-3</v>
      </c>
      <c r="J3" s="3">
        <v>1.3799999999999999E-13</v>
      </c>
    </row>
    <row r="4" spans="1:10" x14ac:dyDescent="0.2">
      <c r="A4" s="2">
        <v>2</v>
      </c>
      <c r="B4" s="3">
        <v>8.4399999999999998E-9</v>
      </c>
      <c r="C4" s="2">
        <v>1.209E-4</v>
      </c>
      <c r="D4" s="3">
        <v>26300</v>
      </c>
      <c r="E4" s="3">
        <v>105000000000</v>
      </c>
      <c r="F4" s="3">
        <v>95800000000</v>
      </c>
      <c r="G4" s="3">
        <v>6960000000</v>
      </c>
      <c r="H4" s="3">
        <v>2320000000</v>
      </c>
      <c r="I4" s="2">
        <v>7.2690000000000005E-2</v>
      </c>
      <c r="J4" s="3">
        <v>1.7399999999999999E-13</v>
      </c>
    </row>
    <row r="5" spans="1:10" x14ac:dyDescent="0.2">
      <c r="A5" s="2">
        <v>3</v>
      </c>
      <c r="B5" s="3">
        <v>1.0099999999999999E-8</v>
      </c>
      <c r="C5" s="2">
        <v>1.6469999999999999E-4</v>
      </c>
      <c r="D5" s="3">
        <v>33400</v>
      </c>
      <c r="E5" s="3">
        <v>119000000000</v>
      </c>
      <c r="F5" s="3">
        <v>107000000000</v>
      </c>
      <c r="G5" s="2">
        <v>0</v>
      </c>
      <c r="H5" s="3">
        <v>2460000000</v>
      </c>
      <c r="I5" s="2">
        <v>-5.228E-3</v>
      </c>
      <c r="J5" s="3">
        <v>1.48E-13</v>
      </c>
    </row>
    <row r="6" spans="1:10" x14ac:dyDescent="0.2">
      <c r="A6" s="2">
        <v>4</v>
      </c>
      <c r="B6" s="3">
        <v>1.1700000000000001E-8</v>
      </c>
      <c r="C6" s="2">
        <v>2.1120000000000001E-4</v>
      </c>
      <c r="D6" s="3">
        <v>33800</v>
      </c>
      <c r="E6" s="3">
        <v>115000000000</v>
      </c>
      <c r="F6" s="3">
        <v>104000000000</v>
      </c>
      <c r="G6" s="3">
        <v>9340000000</v>
      </c>
      <c r="H6" s="3">
        <v>2890000000</v>
      </c>
      <c r="I6" s="2">
        <v>8.974E-2</v>
      </c>
      <c r="J6" s="3">
        <v>1.8499999999999999E-13</v>
      </c>
    </row>
    <row r="7" spans="1:10" x14ac:dyDescent="0.2">
      <c r="A7" s="2">
        <v>5</v>
      </c>
      <c r="B7" s="3">
        <v>1.3000000000000001E-8</v>
      </c>
      <c r="C7" s="2">
        <v>2.6049999999999999E-4</v>
      </c>
      <c r="D7" s="3">
        <v>35400</v>
      </c>
      <c r="E7" s="3">
        <v>117000000000</v>
      </c>
      <c r="F7" s="3">
        <v>106000000000</v>
      </c>
      <c r="G7" s="3">
        <v>16000000000</v>
      </c>
      <c r="H7" s="3">
        <v>3350000000</v>
      </c>
      <c r="I7" s="2">
        <v>0.15140000000000001</v>
      </c>
      <c r="J7" s="3">
        <v>2.08E-13</v>
      </c>
    </row>
    <row r="8" spans="1:10" x14ac:dyDescent="0.2">
      <c r="A8" s="2">
        <v>6</v>
      </c>
      <c r="B8" s="3">
        <v>1.44E-8</v>
      </c>
      <c r="C8" s="2">
        <v>3.101E-4</v>
      </c>
      <c r="D8" s="3">
        <v>52200</v>
      </c>
      <c r="E8" s="3">
        <v>154000000000</v>
      </c>
      <c r="F8" s="3">
        <v>135000000000</v>
      </c>
      <c r="G8" s="3">
        <v>12000000000</v>
      </c>
      <c r="H8" s="3">
        <v>3000000000</v>
      </c>
      <c r="I8" s="2">
        <v>8.8709999999999997E-2</v>
      </c>
      <c r="J8" s="3">
        <v>1.1399999999999999E-13</v>
      </c>
    </row>
    <row r="9" spans="1:10" x14ac:dyDescent="0.2">
      <c r="A9" s="2">
        <v>7</v>
      </c>
      <c r="B9" s="3">
        <v>1.55E-8</v>
      </c>
      <c r="C9" s="2">
        <v>3.6269999999999998E-4</v>
      </c>
      <c r="D9" s="3">
        <v>48100</v>
      </c>
      <c r="E9" s="3">
        <v>141000000000</v>
      </c>
      <c r="F9" s="3">
        <v>125000000000</v>
      </c>
      <c r="G9" s="2">
        <v>0</v>
      </c>
      <c r="H9" s="3">
        <v>3540000000</v>
      </c>
      <c r="I9" s="2">
        <v>-2.904E-2</v>
      </c>
      <c r="J9" s="3">
        <v>1.5700000000000001E-13</v>
      </c>
    </row>
    <row r="10" spans="1:10" x14ac:dyDescent="0.2">
      <c r="A10" s="2">
        <v>8</v>
      </c>
      <c r="B10" s="3">
        <v>1.66E-8</v>
      </c>
      <c r="C10" s="2">
        <v>4.127E-4</v>
      </c>
      <c r="D10" s="3">
        <v>38300</v>
      </c>
      <c r="E10" s="3">
        <v>118000000000</v>
      </c>
      <c r="F10" s="3">
        <v>106000000000</v>
      </c>
      <c r="G10" s="3">
        <v>9550000000</v>
      </c>
      <c r="H10" s="3">
        <v>4630000000</v>
      </c>
      <c r="I10" s="2">
        <v>8.9770000000000003E-2</v>
      </c>
      <c r="J10" s="3">
        <v>2.8200000000000001E-13</v>
      </c>
    </row>
    <row r="11" spans="1:10" x14ac:dyDescent="0.2">
      <c r="A11" s="2">
        <v>9</v>
      </c>
      <c r="B11" s="3">
        <v>1.7599999999999999E-8</v>
      </c>
      <c r="C11" s="2">
        <v>4.682E-4</v>
      </c>
      <c r="D11" s="3">
        <v>43200</v>
      </c>
      <c r="E11" s="3">
        <v>128000000000</v>
      </c>
      <c r="F11" s="3">
        <v>114000000000</v>
      </c>
      <c r="G11" s="3">
        <v>21400000000</v>
      </c>
      <c r="H11" s="3">
        <v>4750000000</v>
      </c>
      <c r="I11" s="2">
        <v>0.18679999999999999</v>
      </c>
      <c r="J11" s="3">
        <v>2.5099999999999999E-13</v>
      </c>
    </row>
    <row r="12" spans="1:10" x14ac:dyDescent="0.2">
      <c r="A12" s="2">
        <v>10</v>
      </c>
      <c r="B12" s="3">
        <v>1.9300000000000001E-8</v>
      </c>
      <c r="C12" s="2">
        <v>5.1979999999999995E-4</v>
      </c>
      <c r="D12" s="3">
        <v>48600</v>
      </c>
      <c r="E12" s="3">
        <v>132000000000</v>
      </c>
      <c r="F12" s="3">
        <v>118000000000</v>
      </c>
      <c r="G12" s="2">
        <v>0</v>
      </c>
      <c r="H12" s="3">
        <v>4400000000</v>
      </c>
      <c r="I12" s="2">
        <v>-1.384E-2</v>
      </c>
      <c r="J12" s="3">
        <v>2.2E-13</v>
      </c>
    </row>
    <row r="13" spans="1:10" x14ac:dyDescent="0.2">
      <c r="A13" s="2">
        <v>11</v>
      </c>
      <c r="B13" s="3">
        <v>1.9799999999999999E-8</v>
      </c>
      <c r="C13" s="2">
        <v>5.7039999999999999E-4</v>
      </c>
      <c r="D13" s="3">
        <v>46700</v>
      </c>
      <c r="E13" s="3">
        <v>131000000000</v>
      </c>
      <c r="F13" s="3">
        <v>117000000000</v>
      </c>
      <c r="G13" s="3">
        <v>1730000000</v>
      </c>
      <c r="H13" s="3">
        <v>5150000000</v>
      </c>
      <c r="I13" s="2">
        <v>1.4800000000000001E-2</v>
      </c>
      <c r="J13" s="3">
        <v>2.6199999999999999E-13</v>
      </c>
    </row>
    <row r="14" spans="1:10" x14ac:dyDescent="0.2">
      <c r="A14" s="2">
        <v>12</v>
      </c>
      <c r="B14" s="3">
        <v>2.11E-8</v>
      </c>
      <c r="C14" s="2">
        <v>6.2390000000000004E-4</v>
      </c>
      <c r="D14" s="3">
        <v>50900</v>
      </c>
      <c r="E14" s="3">
        <v>135000000000</v>
      </c>
      <c r="F14" s="3">
        <v>120000000000</v>
      </c>
      <c r="G14" s="2">
        <v>0</v>
      </c>
      <c r="H14" s="3">
        <v>5020000000</v>
      </c>
      <c r="I14" s="2">
        <v>-0.15670000000000001</v>
      </c>
      <c r="J14" s="3">
        <v>2.4099999999999998E-13</v>
      </c>
    </row>
    <row r="15" spans="1:10" x14ac:dyDescent="0.2">
      <c r="A15" s="2">
        <v>13</v>
      </c>
      <c r="B15" s="3">
        <v>2.22E-8</v>
      </c>
      <c r="C15" s="2">
        <v>6.7440000000000002E-4</v>
      </c>
      <c r="D15" s="3">
        <v>52700</v>
      </c>
      <c r="E15" s="3">
        <v>136000000000</v>
      </c>
      <c r="F15" s="3">
        <v>121000000000</v>
      </c>
      <c r="G15" s="3">
        <v>17500000000</v>
      </c>
      <c r="H15" s="3">
        <v>5140000000</v>
      </c>
      <c r="I15" s="2">
        <v>0.14480000000000001</v>
      </c>
      <c r="J15" s="3">
        <v>2.4300000000000002E-13</v>
      </c>
    </row>
    <row r="16" spans="1:10" x14ac:dyDescent="0.2">
      <c r="A16" s="2">
        <v>14</v>
      </c>
      <c r="B16" s="3">
        <v>2.3199999999999999E-8</v>
      </c>
      <c r="C16" s="2">
        <v>7.27E-4</v>
      </c>
      <c r="D16" s="3">
        <v>67000</v>
      </c>
      <c r="E16" s="3">
        <v>162000000000</v>
      </c>
      <c r="F16" s="3">
        <v>141000000000</v>
      </c>
      <c r="G16" s="2">
        <v>0</v>
      </c>
      <c r="H16" s="3">
        <v>4630000000</v>
      </c>
      <c r="I16" s="2">
        <v>-2.4279999999999999E-2</v>
      </c>
      <c r="J16" s="3">
        <v>1.6199999999999999E-13</v>
      </c>
    </row>
    <row r="17" spans="1:10" x14ac:dyDescent="0.2">
      <c r="A17" s="2">
        <v>15</v>
      </c>
      <c r="B17" s="3">
        <v>2.4200000000000002E-8</v>
      </c>
      <c r="C17" s="2">
        <v>7.8030000000000005E-4</v>
      </c>
      <c r="D17" s="3">
        <v>64600</v>
      </c>
      <c r="E17" s="3">
        <v>155000000000</v>
      </c>
      <c r="F17" s="3">
        <v>135000000000</v>
      </c>
      <c r="G17" s="3">
        <v>1170000000</v>
      </c>
      <c r="H17" s="3">
        <v>4950000000</v>
      </c>
      <c r="I17" s="2">
        <v>8.6490000000000004E-3</v>
      </c>
      <c r="J17" s="3">
        <v>1.8700000000000001E-13</v>
      </c>
    </row>
    <row r="18" spans="1:10" x14ac:dyDescent="0.2">
      <c r="A18" s="2">
        <v>16</v>
      </c>
      <c r="B18" s="3">
        <v>2.5200000000000001E-8</v>
      </c>
      <c r="C18" s="2">
        <v>8.3180000000000005E-4</v>
      </c>
      <c r="D18" s="3">
        <v>59900</v>
      </c>
      <c r="E18" s="3">
        <v>144000000000</v>
      </c>
      <c r="F18" s="3">
        <v>127000000000</v>
      </c>
      <c r="G18" s="3">
        <v>27000000000</v>
      </c>
      <c r="H18" s="3">
        <v>5400000000</v>
      </c>
      <c r="I18" s="2">
        <v>0.21299999999999999</v>
      </c>
      <c r="J18" s="3">
        <v>2.3200000000000002E-13</v>
      </c>
    </row>
    <row r="19" spans="1:10" x14ac:dyDescent="0.2">
      <c r="A19" s="2">
        <v>17</v>
      </c>
      <c r="B19" s="3">
        <v>2.59E-8</v>
      </c>
      <c r="C19" s="2">
        <v>8.8349999999999995E-4</v>
      </c>
      <c r="D19" s="3">
        <v>59300</v>
      </c>
      <c r="E19" s="3">
        <v>142000000000</v>
      </c>
      <c r="F19" s="3">
        <v>126000000000</v>
      </c>
      <c r="G19" s="3">
        <v>4510000000</v>
      </c>
      <c r="H19" s="3">
        <v>5750000000</v>
      </c>
      <c r="I19" s="2">
        <v>3.5889999999999998E-2</v>
      </c>
      <c r="J19" s="3">
        <v>2.5099999999999999E-13</v>
      </c>
    </row>
    <row r="20" spans="1:10" x14ac:dyDescent="0.2">
      <c r="A20" s="2">
        <v>18</v>
      </c>
      <c r="B20" s="3">
        <v>2.6799999999999998E-8</v>
      </c>
      <c r="C20" s="2">
        <v>9.3550000000000003E-4</v>
      </c>
      <c r="D20" s="3">
        <v>52000</v>
      </c>
      <c r="E20" s="3">
        <v>130000000000</v>
      </c>
      <c r="F20" s="3">
        <v>116000000000</v>
      </c>
      <c r="G20" s="2">
        <v>0</v>
      </c>
      <c r="H20" s="3">
        <v>6740000000</v>
      </c>
      <c r="I20" s="2">
        <v>-0.19370000000000001</v>
      </c>
      <c r="J20" s="3">
        <v>3.4699999999999999E-13</v>
      </c>
    </row>
    <row r="21" spans="1:10" x14ac:dyDescent="0.2">
      <c r="A21" s="2">
        <v>19</v>
      </c>
      <c r="B21" s="3">
        <v>2.7800000000000001E-8</v>
      </c>
      <c r="C21" s="2">
        <v>9.8520000000000009E-4</v>
      </c>
      <c r="D21" s="3">
        <v>60200</v>
      </c>
      <c r="E21" s="3">
        <v>141000000000</v>
      </c>
      <c r="F21" s="3">
        <v>125000000000</v>
      </c>
      <c r="G21" s="2">
        <v>0</v>
      </c>
      <c r="H21" s="3">
        <v>6120000000</v>
      </c>
      <c r="I21" s="2">
        <v>-0.18360000000000001</v>
      </c>
      <c r="J21" s="3">
        <v>2.72E-13</v>
      </c>
    </row>
    <row r="22" spans="1:10" x14ac:dyDescent="0.2">
      <c r="A22" s="2">
        <v>20</v>
      </c>
      <c r="B22" s="3">
        <v>2.88E-8</v>
      </c>
      <c r="C22" s="2">
        <v>1.0399999999999999E-3</v>
      </c>
      <c r="D22" s="3">
        <v>59700</v>
      </c>
      <c r="E22" s="3">
        <v>139000000000</v>
      </c>
      <c r="F22" s="3">
        <v>123000000000</v>
      </c>
      <c r="G22" s="2">
        <v>0</v>
      </c>
      <c r="H22" s="3">
        <v>6380000000</v>
      </c>
      <c r="I22" s="2">
        <v>-0.14560000000000001</v>
      </c>
      <c r="J22" s="3">
        <v>2.9200000000000002E-13</v>
      </c>
    </row>
    <row r="23" spans="1:10" x14ac:dyDescent="0.2">
      <c r="A23" s="2">
        <v>21</v>
      </c>
      <c r="B23" s="3">
        <v>2.96E-8</v>
      </c>
      <c r="C23" s="2">
        <v>1.09E-3</v>
      </c>
      <c r="D23" s="3">
        <v>54800</v>
      </c>
      <c r="E23" s="3">
        <v>130000000000</v>
      </c>
      <c r="F23" s="3">
        <v>116000000000</v>
      </c>
      <c r="G23" s="2">
        <v>0</v>
      </c>
      <c r="H23" s="3">
        <v>7110000000</v>
      </c>
      <c r="I23" s="2">
        <v>-1.0829999999999999E-2</v>
      </c>
      <c r="J23" s="3">
        <v>3.6300000000000002E-13</v>
      </c>
    </row>
    <row r="24" spans="1:10" x14ac:dyDescent="0.2">
      <c r="A24" s="2">
        <v>22</v>
      </c>
      <c r="B24" s="3">
        <v>3.0600000000000003E-8</v>
      </c>
      <c r="C24" s="2">
        <v>1.145E-3</v>
      </c>
      <c r="D24" s="3">
        <v>63600</v>
      </c>
      <c r="E24" s="3">
        <v>142000000000</v>
      </c>
      <c r="F24" s="3">
        <v>126000000000</v>
      </c>
      <c r="G24" s="2">
        <v>0</v>
      </c>
      <c r="H24" s="3">
        <v>6470000000</v>
      </c>
      <c r="I24" s="2">
        <v>-0.20269999999999999</v>
      </c>
      <c r="J24" s="3">
        <v>2.8300000000000001E-13</v>
      </c>
    </row>
    <row r="25" spans="1:10" x14ac:dyDescent="0.2">
      <c r="A25" s="2">
        <v>23</v>
      </c>
      <c r="B25" s="3">
        <v>3.1300000000000002E-8</v>
      </c>
      <c r="C25" s="2">
        <v>1.1969999999999999E-3</v>
      </c>
      <c r="D25" s="3">
        <v>64400</v>
      </c>
      <c r="E25" s="3">
        <v>143000000000</v>
      </c>
      <c r="F25" s="3">
        <v>126000000000</v>
      </c>
      <c r="G25" s="3">
        <v>8120000000</v>
      </c>
      <c r="H25" s="3">
        <v>6650000000</v>
      </c>
      <c r="I25" s="2">
        <v>6.4449999999999993E-2</v>
      </c>
      <c r="J25" s="3">
        <v>2.8899999999999998E-13</v>
      </c>
    </row>
    <row r="26" spans="1:10" x14ac:dyDescent="0.2">
      <c r="A26" s="2">
        <v>24</v>
      </c>
      <c r="B26" s="3">
        <v>3.2199999999999997E-8</v>
      </c>
      <c r="C26" s="2">
        <v>1.2470000000000001E-3</v>
      </c>
      <c r="D26" s="3">
        <v>62600</v>
      </c>
      <c r="E26" s="3">
        <v>139000000000</v>
      </c>
      <c r="F26" s="3">
        <v>123000000000</v>
      </c>
      <c r="G26" s="3">
        <v>1660000000</v>
      </c>
      <c r="H26" s="3">
        <v>6950000000</v>
      </c>
      <c r="I26" s="2">
        <v>1.3480000000000001E-2</v>
      </c>
      <c r="J26" s="3">
        <v>3.1800000000000001E-13</v>
      </c>
    </row>
    <row r="27" spans="1:10" x14ac:dyDescent="0.2">
      <c r="A27" s="2">
        <v>25</v>
      </c>
      <c r="B27" s="3">
        <v>3.2600000000000001E-8</v>
      </c>
      <c r="C27" s="2">
        <v>1.2999999999999999E-3</v>
      </c>
      <c r="D27" s="3">
        <v>64000</v>
      </c>
      <c r="E27" s="3">
        <v>142000000000</v>
      </c>
      <c r="F27" s="3">
        <v>125000000000</v>
      </c>
      <c r="G27" s="2">
        <v>0</v>
      </c>
      <c r="H27" s="3">
        <v>7200000000</v>
      </c>
      <c r="I27" s="2">
        <v>-1.393E-2</v>
      </c>
      <c r="J27" s="3">
        <v>3.1700000000000001E-13</v>
      </c>
    </row>
    <row r="28" spans="1:10" x14ac:dyDescent="0.2">
      <c r="A28" s="2">
        <v>26</v>
      </c>
      <c r="B28" s="3">
        <v>3.4E-8</v>
      </c>
      <c r="C28" s="2">
        <v>1.3519999999999999E-3</v>
      </c>
      <c r="D28" s="3">
        <v>57800</v>
      </c>
      <c r="E28" s="3">
        <v>130000000000</v>
      </c>
      <c r="F28" s="3">
        <v>116000000000</v>
      </c>
      <c r="G28" s="2">
        <v>0</v>
      </c>
      <c r="H28" s="3">
        <v>7900000000</v>
      </c>
      <c r="I28" s="2">
        <v>-7.5160000000000005E-2</v>
      </c>
      <c r="J28" s="3">
        <v>4.0499999999999999E-13</v>
      </c>
    </row>
    <row r="29" spans="1:10" x14ac:dyDescent="0.2">
      <c r="A29" s="2">
        <v>27</v>
      </c>
      <c r="B29" s="3">
        <v>3.4599999999999999E-8</v>
      </c>
      <c r="C29" s="2">
        <v>1.4040000000000001E-3</v>
      </c>
      <c r="D29" s="3">
        <v>66600</v>
      </c>
      <c r="E29" s="3">
        <v>141000000000</v>
      </c>
      <c r="F29" s="3">
        <v>125000000000</v>
      </c>
      <c r="G29" s="2">
        <v>0</v>
      </c>
      <c r="H29" s="3">
        <v>7160000000</v>
      </c>
      <c r="I29" s="2">
        <v>-8.5860000000000006E-2</v>
      </c>
      <c r="J29" s="3">
        <v>3.1700000000000001E-13</v>
      </c>
    </row>
    <row r="30" spans="1:10" x14ac:dyDescent="0.2">
      <c r="A30" s="2">
        <v>28</v>
      </c>
      <c r="B30" s="3">
        <v>3.5800000000000003E-8</v>
      </c>
      <c r="C30" s="2">
        <v>1.454E-3</v>
      </c>
      <c r="D30" s="3">
        <v>55900</v>
      </c>
      <c r="E30" s="3">
        <v>126000000000</v>
      </c>
      <c r="F30" s="3">
        <v>113000000000</v>
      </c>
      <c r="G30" s="3">
        <v>4520000000</v>
      </c>
      <c r="H30" s="3">
        <v>8610000000</v>
      </c>
      <c r="I30" s="2">
        <v>4.002E-2</v>
      </c>
      <c r="J30" s="3">
        <v>4.6600000000000003E-13</v>
      </c>
    </row>
    <row r="31" spans="1:10" x14ac:dyDescent="0.2">
      <c r="A31" s="2">
        <v>29</v>
      </c>
      <c r="B31" s="3">
        <v>3.6400000000000002E-8</v>
      </c>
      <c r="C31" s="2">
        <v>1.508E-3</v>
      </c>
      <c r="D31" s="3">
        <v>61900</v>
      </c>
      <c r="E31" s="3">
        <v>133000000000</v>
      </c>
      <c r="F31" s="3">
        <v>119000000000</v>
      </c>
      <c r="G31" s="2">
        <v>0</v>
      </c>
      <c r="H31" s="3">
        <v>8020000000</v>
      </c>
      <c r="I31" s="2">
        <v>-9.1829999999999995E-2</v>
      </c>
      <c r="J31" s="3">
        <v>3.9399999999999999E-13</v>
      </c>
    </row>
    <row r="32" spans="1:10" x14ac:dyDescent="0.2">
      <c r="A32" s="2">
        <v>30</v>
      </c>
      <c r="B32" s="3">
        <v>3.7599999999999999E-8</v>
      </c>
      <c r="C32" s="2">
        <v>1.56E-3</v>
      </c>
      <c r="D32" s="3">
        <v>74900</v>
      </c>
      <c r="E32" s="3">
        <v>143000000000</v>
      </c>
      <c r="F32" s="3">
        <v>126000000000</v>
      </c>
      <c r="G32" s="2">
        <v>0</v>
      </c>
      <c r="H32" s="3">
        <v>6430000000</v>
      </c>
      <c r="I32" s="2">
        <v>-0.12470000000000001</v>
      </c>
      <c r="J32" s="3">
        <v>2.7799999999999998E-13</v>
      </c>
    </row>
    <row r="33" spans="1:10" x14ac:dyDescent="0.2">
      <c r="A33" s="2">
        <v>31</v>
      </c>
      <c r="B33" s="3">
        <v>3.8299999999999999E-8</v>
      </c>
      <c r="C33" s="2">
        <v>1.6119999999999999E-3</v>
      </c>
      <c r="D33" s="3">
        <v>75000</v>
      </c>
      <c r="E33" s="3">
        <v>144000000000</v>
      </c>
      <c r="F33" s="3">
        <v>127000000000</v>
      </c>
      <c r="G33" s="3">
        <v>6170000000</v>
      </c>
      <c r="H33" s="3">
        <v>6660000000</v>
      </c>
      <c r="I33" s="2">
        <v>4.8719999999999999E-2</v>
      </c>
      <c r="J33" s="3">
        <v>2.8699999999999999E-13</v>
      </c>
    </row>
    <row r="34" spans="1:10" x14ac:dyDescent="0.2">
      <c r="A34" s="2">
        <v>32</v>
      </c>
      <c r="B34" s="3">
        <v>3.8899999999999998E-8</v>
      </c>
      <c r="C34" s="2">
        <v>1.6639999999999999E-3</v>
      </c>
      <c r="D34" s="3">
        <v>64800</v>
      </c>
      <c r="E34" s="3">
        <v>131000000000</v>
      </c>
      <c r="F34" s="3">
        <v>117000000000</v>
      </c>
      <c r="G34" s="2">
        <v>0</v>
      </c>
      <c r="H34" s="3">
        <v>7840000000</v>
      </c>
      <c r="I34" s="2">
        <v>-9.2099999999999994E-3</v>
      </c>
      <c r="J34" s="3">
        <v>3.9599999999999998E-13</v>
      </c>
    </row>
    <row r="35" spans="1:10" x14ac:dyDescent="0.2">
      <c r="A35" s="2">
        <v>33</v>
      </c>
      <c r="B35" s="3">
        <v>3.9799999999999999E-8</v>
      </c>
      <c r="C35" s="2">
        <v>1.7160000000000001E-3</v>
      </c>
      <c r="D35" s="3">
        <v>62500</v>
      </c>
      <c r="E35" s="3">
        <v>130000000000</v>
      </c>
      <c r="F35" s="3">
        <v>116000000000</v>
      </c>
      <c r="G35" s="3">
        <v>10300000000</v>
      </c>
      <c r="H35" s="3">
        <v>8510000000</v>
      </c>
      <c r="I35" s="2">
        <v>8.9090000000000003E-2</v>
      </c>
      <c r="J35" s="3">
        <v>4.39E-13</v>
      </c>
    </row>
    <row r="36" spans="1:10" x14ac:dyDescent="0.2">
      <c r="A36" s="2">
        <v>34</v>
      </c>
      <c r="B36" s="3">
        <v>4.06E-8</v>
      </c>
      <c r="C36" s="2">
        <v>1.7669999999999999E-3</v>
      </c>
      <c r="D36" s="3">
        <v>71200</v>
      </c>
      <c r="E36" s="3">
        <v>135000000000</v>
      </c>
      <c r="F36" s="3">
        <v>120000000000</v>
      </c>
      <c r="G36" s="2">
        <v>0</v>
      </c>
      <c r="H36" s="3">
        <v>7280000000</v>
      </c>
      <c r="I36" s="2">
        <v>-0.10150000000000001</v>
      </c>
      <c r="J36" s="3">
        <v>3.4899999999999998E-13</v>
      </c>
    </row>
    <row r="37" spans="1:10" x14ac:dyDescent="0.2">
      <c r="A37" s="2">
        <v>35</v>
      </c>
      <c r="B37" s="3">
        <v>4.1099999999999997E-8</v>
      </c>
      <c r="C37" s="2">
        <v>1.8209999999999999E-3</v>
      </c>
      <c r="D37" s="3">
        <v>78900</v>
      </c>
      <c r="E37" s="3">
        <v>150000000000</v>
      </c>
      <c r="F37" s="3">
        <v>132000000000</v>
      </c>
      <c r="G37" s="3">
        <v>14100000000</v>
      </c>
      <c r="H37" s="3">
        <v>7370000000</v>
      </c>
      <c r="I37" s="2">
        <v>0.10680000000000001</v>
      </c>
      <c r="J37" s="3">
        <v>2.9300000000000001E-13</v>
      </c>
    </row>
    <row r="38" spans="1:10" x14ac:dyDescent="0.2">
      <c r="A38" s="2">
        <v>36</v>
      </c>
      <c r="B38" s="3">
        <v>4.21E-8</v>
      </c>
      <c r="C38" s="2">
        <v>1.872E-3</v>
      </c>
      <c r="D38" s="3">
        <v>74900</v>
      </c>
      <c r="E38" s="3">
        <v>143000000000</v>
      </c>
      <c r="F38" s="3">
        <v>126000000000</v>
      </c>
      <c r="G38" s="3">
        <v>13600000000</v>
      </c>
      <c r="H38" s="3">
        <v>7690000000</v>
      </c>
      <c r="I38" s="2">
        <v>0.1074</v>
      </c>
      <c r="J38" s="3">
        <v>3.3399999999999999E-13</v>
      </c>
    </row>
    <row r="39" spans="1:10" x14ac:dyDescent="0.2">
      <c r="A39" s="2">
        <v>37</v>
      </c>
      <c r="B39" s="3">
        <v>4.2799999999999999E-8</v>
      </c>
      <c r="C39" s="2">
        <v>1.9239999999999999E-3</v>
      </c>
      <c r="D39" s="3">
        <v>69000</v>
      </c>
      <c r="E39" s="3">
        <v>130000000000</v>
      </c>
      <c r="F39" s="3">
        <v>116000000000</v>
      </c>
      <c r="G39" s="2">
        <v>0</v>
      </c>
      <c r="H39" s="3">
        <v>7910000000</v>
      </c>
      <c r="I39" s="2">
        <v>-1.1939999999999999E-2</v>
      </c>
      <c r="J39" s="3">
        <v>4.0499999999999999E-13</v>
      </c>
    </row>
    <row r="40" spans="1:10" x14ac:dyDescent="0.2">
      <c r="A40" s="2">
        <v>38</v>
      </c>
      <c r="B40" s="3">
        <v>4.3700000000000001E-8</v>
      </c>
      <c r="C40" s="2">
        <v>1.9759999999999999E-3</v>
      </c>
      <c r="D40" s="3">
        <v>66900</v>
      </c>
      <c r="E40" s="3">
        <v>126000000000</v>
      </c>
      <c r="F40" s="3">
        <v>113000000000</v>
      </c>
      <c r="G40" s="2">
        <v>0</v>
      </c>
      <c r="H40" s="3">
        <v>8100000000</v>
      </c>
      <c r="I40" s="2">
        <v>-0.13900000000000001</v>
      </c>
      <c r="J40" s="3">
        <v>4.4199999999999998E-13</v>
      </c>
    </row>
    <row r="41" spans="1:10" x14ac:dyDescent="0.2">
      <c r="A41" s="2">
        <v>39</v>
      </c>
      <c r="B41" s="3">
        <v>4.4400000000000001E-8</v>
      </c>
      <c r="C41" s="2">
        <v>2.029E-3</v>
      </c>
      <c r="D41" s="3">
        <v>75200</v>
      </c>
      <c r="E41" s="3">
        <v>141000000000</v>
      </c>
      <c r="F41" s="3">
        <v>125000000000</v>
      </c>
      <c r="G41" s="3">
        <v>7770000000</v>
      </c>
      <c r="H41" s="3">
        <v>8110000000</v>
      </c>
      <c r="I41" s="2">
        <v>6.216E-2</v>
      </c>
      <c r="J41" s="3">
        <v>3.5899999999999998E-13</v>
      </c>
    </row>
    <row r="42" spans="1:10" x14ac:dyDescent="0.2">
      <c r="A42" s="2">
        <v>40</v>
      </c>
      <c r="B42" s="3">
        <v>4.5200000000000001E-8</v>
      </c>
      <c r="C42" s="2">
        <v>2.085E-3</v>
      </c>
      <c r="D42" s="3">
        <v>70900</v>
      </c>
      <c r="E42" s="3">
        <v>135000000000</v>
      </c>
      <c r="F42" s="3">
        <v>120000000000</v>
      </c>
      <c r="G42" s="3">
        <v>11800000000</v>
      </c>
      <c r="H42" s="3">
        <v>8610000000</v>
      </c>
      <c r="I42" s="2">
        <v>9.8849999999999993E-2</v>
      </c>
      <c r="J42" s="3">
        <v>4.15E-13</v>
      </c>
    </row>
    <row r="43" spans="1:10" x14ac:dyDescent="0.2">
      <c r="A43" s="2">
        <v>41</v>
      </c>
      <c r="B43" s="3">
        <v>4.58E-8</v>
      </c>
      <c r="C43" s="2">
        <v>2.1359999999999999E-3</v>
      </c>
      <c r="D43" s="3">
        <v>71300</v>
      </c>
      <c r="E43" s="3">
        <v>135000000000</v>
      </c>
      <c r="F43" s="3">
        <v>120000000000</v>
      </c>
      <c r="G43" s="3">
        <v>5500000000</v>
      </c>
      <c r="H43" s="3">
        <v>8780000000</v>
      </c>
      <c r="I43" s="2">
        <v>4.582E-2</v>
      </c>
      <c r="J43" s="3">
        <v>4.2100000000000002E-13</v>
      </c>
    </row>
    <row r="44" spans="1:10" x14ac:dyDescent="0.2">
      <c r="A44" s="2">
        <v>42</v>
      </c>
      <c r="B44" s="3">
        <v>4.6800000000000002E-8</v>
      </c>
      <c r="C44" s="2">
        <v>2.1870000000000001E-3</v>
      </c>
      <c r="D44" s="3">
        <v>68900</v>
      </c>
      <c r="E44" s="3">
        <v>131000000000</v>
      </c>
      <c r="F44" s="3">
        <v>117000000000</v>
      </c>
      <c r="G44" s="3">
        <v>2650000000</v>
      </c>
      <c r="H44" s="3">
        <v>9070000000</v>
      </c>
      <c r="I44" s="2">
        <v>2.273E-2</v>
      </c>
      <c r="J44" s="3">
        <v>4.5999999999999996E-13</v>
      </c>
    </row>
    <row r="45" spans="1:10" x14ac:dyDescent="0.2">
      <c r="A45" s="2">
        <v>43</v>
      </c>
      <c r="B45" s="3">
        <v>4.6999999999999997E-8</v>
      </c>
      <c r="C45" s="2">
        <v>2.238E-3</v>
      </c>
      <c r="D45" s="3">
        <v>84000</v>
      </c>
      <c r="E45" s="3">
        <v>151000000000</v>
      </c>
      <c r="F45" s="3">
        <v>133000000000</v>
      </c>
      <c r="G45" s="3">
        <v>4750000000</v>
      </c>
      <c r="H45" s="3">
        <v>8100000000</v>
      </c>
      <c r="I45" s="2">
        <v>3.5770000000000003E-2</v>
      </c>
      <c r="J45" s="3">
        <v>3.1800000000000001E-13</v>
      </c>
    </row>
    <row r="46" spans="1:10" x14ac:dyDescent="0.2">
      <c r="A46" s="2">
        <v>44</v>
      </c>
      <c r="B46" s="3">
        <v>4.8300000000000002E-8</v>
      </c>
      <c r="C46" s="2">
        <v>2.2880000000000001E-3</v>
      </c>
      <c r="D46" s="3">
        <v>73700</v>
      </c>
      <c r="E46" s="3">
        <v>136000000000</v>
      </c>
      <c r="F46" s="3">
        <v>121000000000</v>
      </c>
      <c r="G46" s="2">
        <v>0</v>
      </c>
      <c r="H46" s="3">
        <v>8890000000</v>
      </c>
      <c r="I46" s="2">
        <v>-5.0950000000000002E-2</v>
      </c>
      <c r="J46" s="3">
        <v>4.2200000000000002E-13</v>
      </c>
    </row>
    <row r="47" spans="1:10" x14ac:dyDescent="0.2">
      <c r="A47" s="2">
        <v>45</v>
      </c>
      <c r="B47" s="3">
        <v>4.8900000000000001E-8</v>
      </c>
      <c r="C47" s="2">
        <v>2.343E-3</v>
      </c>
      <c r="D47" s="3">
        <v>83500</v>
      </c>
      <c r="E47" s="3">
        <v>148000000000</v>
      </c>
      <c r="F47" s="3">
        <v>130000000000</v>
      </c>
      <c r="G47" s="2">
        <v>0</v>
      </c>
      <c r="H47" s="3">
        <v>8260000000</v>
      </c>
      <c r="I47" s="2">
        <v>-6.3310000000000005E-2</v>
      </c>
      <c r="J47" s="3">
        <v>3.3599999999999998E-13</v>
      </c>
    </row>
    <row r="48" spans="1:10" x14ac:dyDescent="0.2">
      <c r="A48" s="2">
        <v>46</v>
      </c>
      <c r="B48" s="3">
        <v>4.95E-8</v>
      </c>
      <c r="C48" s="2">
        <v>2.3939999999999999E-3</v>
      </c>
      <c r="D48" s="3">
        <v>77100</v>
      </c>
      <c r="E48" s="3">
        <v>140000000000</v>
      </c>
      <c r="F48" s="3">
        <v>124000000000</v>
      </c>
      <c r="G48" s="3">
        <v>1420000000</v>
      </c>
      <c r="H48" s="3">
        <v>8930000000</v>
      </c>
      <c r="I48" s="2">
        <v>1.146E-2</v>
      </c>
      <c r="J48" s="3">
        <v>4.03E-13</v>
      </c>
    </row>
    <row r="49" spans="1:10" x14ac:dyDescent="0.2">
      <c r="A49" s="2">
        <v>47</v>
      </c>
      <c r="B49" s="3">
        <v>5.03E-8</v>
      </c>
      <c r="C49" s="2">
        <v>2.4459999999999998E-3</v>
      </c>
      <c r="D49" s="3">
        <v>82500</v>
      </c>
      <c r="E49" s="3">
        <v>146000000000</v>
      </c>
      <c r="F49" s="3">
        <v>128000000000</v>
      </c>
      <c r="G49" s="3">
        <v>15300000000</v>
      </c>
      <c r="H49" s="3">
        <v>8550000000</v>
      </c>
      <c r="I49" s="2">
        <v>0.1192</v>
      </c>
      <c r="J49" s="3">
        <v>3.5899999999999998E-13</v>
      </c>
    </row>
    <row r="50" spans="1:10" x14ac:dyDescent="0.2">
      <c r="A50" s="2">
        <v>48</v>
      </c>
      <c r="B50" s="3">
        <v>5.1100000000000001E-8</v>
      </c>
      <c r="C50" s="2">
        <v>2.4970000000000001E-3</v>
      </c>
      <c r="D50" s="3">
        <v>74900</v>
      </c>
      <c r="E50" s="3">
        <v>136000000000</v>
      </c>
      <c r="F50" s="3">
        <v>120000000000</v>
      </c>
      <c r="G50" s="2">
        <v>0</v>
      </c>
      <c r="H50" s="3">
        <v>9340000000</v>
      </c>
      <c r="I50" s="2">
        <v>-2.4590000000000001E-2</v>
      </c>
      <c r="J50" s="3">
        <v>4.4500000000000002E-13</v>
      </c>
    </row>
    <row r="51" spans="1:10" x14ac:dyDescent="0.2">
      <c r="A51" s="2">
        <v>49</v>
      </c>
      <c r="B51" s="3">
        <v>5.2100000000000003E-8</v>
      </c>
      <c r="C51" s="2">
        <v>2.5490000000000001E-3</v>
      </c>
      <c r="D51" s="3">
        <v>79100</v>
      </c>
      <c r="E51" s="3">
        <v>139000000000</v>
      </c>
      <c r="F51" s="3">
        <v>123000000000</v>
      </c>
      <c r="G51" s="2">
        <v>0</v>
      </c>
      <c r="H51" s="3">
        <v>8960000000</v>
      </c>
      <c r="I51" s="2">
        <v>-6.3810000000000006E-2</v>
      </c>
      <c r="J51" s="3">
        <v>4.0799999999999998E-13</v>
      </c>
    </row>
    <row r="52" spans="1:10" x14ac:dyDescent="0.2">
      <c r="A52" s="2">
        <v>50</v>
      </c>
      <c r="B52" s="3">
        <v>5.2800000000000003E-8</v>
      </c>
      <c r="C52" s="2">
        <v>2.6020000000000001E-3</v>
      </c>
      <c r="D52" s="3">
        <v>77300</v>
      </c>
      <c r="E52" s="3">
        <v>137000000000</v>
      </c>
      <c r="F52" s="3">
        <v>121000000000</v>
      </c>
      <c r="G52" s="3">
        <v>20000000000</v>
      </c>
      <c r="H52" s="3">
        <v>9270000000</v>
      </c>
      <c r="I52" s="2">
        <v>0.16539999999999999</v>
      </c>
      <c r="J52" s="3">
        <v>4.3600000000000001E-13</v>
      </c>
    </row>
    <row r="53" spans="1:10" x14ac:dyDescent="0.2">
      <c r="A53" s="2">
        <v>51</v>
      </c>
      <c r="B53" s="3">
        <v>5.3500000000000003E-8</v>
      </c>
      <c r="C53" s="2">
        <v>2.6570000000000001E-3</v>
      </c>
      <c r="D53" s="3">
        <v>80100</v>
      </c>
      <c r="E53" s="3">
        <v>139000000000</v>
      </c>
      <c r="F53" s="3">
        <v>123000000000</v>
      </c>
      <c r="G53" s="3">
        <v>5940000000</v>
      </c>
      <c r="H53" s="3">
        <v>9120000000</v>
      </c>
      <c r="I53" s="2">
        <v>4.8160000000000001E-2</v>
      </c>
      <c r="J53" s="3">
        <v>4.14E-13</v>
      </c>
    </row>
    <row r="54" spans="1:10" x14ac:dyDescent="0.2">
      <c r="A54" s="2">
        <v>52</v>
      </c>
      <c r="B54" s="3">
        <v>5.4100000000000001E-8</v>
      </c>
      <c r="C54" s="2">
        <v>2.7070000000000002E-3</v>
      </c>
      <c r="D54" s="3">
        <v>81500</v>
      </c>
      <c r="E54" s="3">
        <v>141000000000</v>
      </c>
      <c r="F54" s="3">
        <v>124000000000</v>
      </c>
      <c r="G54" s="2">
        <v>0</v>
      </c>
      <c r="H54" s="3">
        <v>9120000000</v>
      </c>
      <c r="I54" s="2">
        <v>-2.4240000000000001E-2</v>
      </c>
      <c r="J54" s="3">
        <v>4.0699999999999998E-13</v>
      </c>
    </row>
    <row r="55" spans="1:10" x14ac:dyDescent="0.2">
      <c r="A55" s="2">
        <v>53</v>
      </c>
      <c r="B55" s="3">
        <v>5.4900000000000002E-8</v>
      </c>
      <c r="C55" s="2">
        <v>2.758E-3</v>
      </c>
      <c r="D55" s="3">
        <v>71300</v>
      </c>
      <c r="E55" s="3">
        <v>129000000000</v>
      </c>
      <c r="F55" s="3">
        <v>115000000000</v>
      </c>
      <c r="G55" s="3">
        <v>17900000000</v>
      </c>
      <c r="H55" s="3">
        <v>10400000000</v>
      </c>
      <c r="I55" s="2">
        <v>0.15590000000000001</v>
      </c>
      <c r="J55" s="3">
        <v>5.4300000000000001E-13</v>
      </c>
    </row>
    <row r="56" spans="1:10" x14ac:dyDescent="0.2">
      <c r="A56" s="2">
        <v>54</v>
      </c>
      <c r="B56" s="3">
        <v>5.5700000000000002E-8</v>
      </c>
      <c r="C56" s="2">
        <v>2.8110000000000001E-3</v>
      </c>
      <c r="D56" s="3">
        <v>67900</v>
      </c>
      <c r="E56" s="3">
        <v>125000000000</v>
      </c>
      <c r="F56" s="3">
        <v>112000000000</v>
      </c>
      <c r="G56" s="2">
        <v>0</v>
      </c>
      <c r="H56" s="3">
        <v>11000000000</v>
      </c>
      <c r="I56" s="2">
        <v>-1.418E-2</v>
      </c>
      <c r="J56" s="3">
        <v>6.0900000000000003E-13</v>
      </c>
    </row>
    <row r="57" spans="1:10" x14ac:dyDescent="0.2">
      <c r="A57" s="2">
        <v>55</v>
      </c>
      <c r="B57" s="3">
        <v>5.6300000000000001E-8</v>
      </c>
      <c r="C57" s="2">
        <v>2.862E-3</v>
      </c>
      <c r="D57" s="3">
        <v>90700</v>
      </c>
      <c r="E57" s="3">
        <v>147000000000</v>
      </c>
      <c r="F57" s="3">
        <v>129000000000</v>
      </c>
      <c r="G57" s="3">
        <v>11400000000</v>
      </c>
      <c r="H57" s="3">
        <v>8420000000</v>
      </c>
      <c r="I57" s="2">
        <v>8.8200000000000001E-2</v>
      </c>
      <c r="J57" s="3">
        <v>3.4799999999999998E-13</v>
      </c>
    </row>
    <row r="58" spans="1:10" x14ac:dyDescent="0.2">
      <c r="A58" s="2">
        <v>56</v>
      </c>
      <c r="B58" s="3">
        <v>5.7000000000000001E-8</v>
      </c>
      <c r="C58" s="2">
        <v>2.9150000000000001E-3</v>
      </c>
      <c r="D58" s="3">
        <v>77800</v>
      </c>
      <c r="E58" s="3">
        <v>134000000000</v>
      </c>
      <c r="F58" s="3">
        <v>119000000000</v>
      </c>
      <c r="G58" s="3">
        <v>2900000000</v>
      </c>
      <c r="H58" s="3">
        <v>9920000000</v>
      </c>
      <c r="I58" s="2">
        <v>2.4299999999999999E-2</v>
      </c>
      <c r="J58" s="3">
        <v>4.8099999999999997E-13</v>
      </c>
    </row>
    <row r="59" spans="1:10" x14ac:dyDescent="0.2">
      <c r="A59" s="2">
        <v>57</v>
      </c>
      <c r="B59" s="3">
        <v>5.7399999999999998E-8</v>
      </c>
      <c r="C59" s="2">
        <v>2.9680000000000002E-3</v>
      </c>
      <c r="D59" s="3">
        <v>76600</v>
      </c>
      <c r="E59" s="3">
        <v>133000000000</v>
      </c>
      <c r="F59" s="3">
        <v>118000000000</v>
      </c>
      <c r="G59" s="3">
        <v>2600000000</v>
      </c>
      <c r="H59" s="3">
        <v>10300000000</v>
      </c>
      <c r="I59" s="2">
        <v>2.1999999999999999E-2</v>
      </c>
      <c r="J59" s="3">
        <v>5.0599999999999996E-13</v>
      </c>
    </row>
    <row r="60" spans="1:10" x14ac:dyDescent="0.2">
      <c r="A60" s="2">
        <v>58</v>
      </c>
      <c r="B60" s="3">
        <v>5.8299999999999999E-8</v>
      </c>
      <c r="C60" s="2">
        <v>3.0179999999999998E-3</v>
      </c>
      <c r="D60" s="3">
        <v>73200</v>
      </c>
      <c r="E60" s="3">
        <v>129000000000</v>
      </c>
      <c r="F60" s="3">
        <v>115000000000</v>
      </c>
      <c r="G60" s="3">
        <v>3970000000</v>
      </c>
      <c r="H60" s="3">
        <v>10800000000</v>
      </c>
      <c r="I60" s="2">
        <v>3.4439999999999998E-2</v>
      </c>
      <c r="J60" s="3">
        <v>5.6300000000000002E-13</v>
      </c>
    </row>
    <row r="61" spans="1:10" x14ac:dyDescent="0.2">
      <c r="A61" s="2">
        <v>59</v>
      </c>
      <c r="B61" s="3">
        <v>5.8999999999999999E-8</v>
      </c>
      <c r="C61" s="2">
        <v>3.0699999999999998E-3</v>
      </c>
      <c r="D61" s="3">
        <v>84300</v>
      </c>
      <c r="E61" s="3">
        <v>138000000000</v>
      </c>
      <c r="F61" s="3">
        <v>122000000000</v>
      </c>
      <c r="G61" s="2">
        <v>0</v>
      </c>
      <c r="H61" s="3">
        <v>9360000000</v>
      </c>
      <c r="I61" s="2">
        <v>-6.0139999999999999E-2</v>
      </c>
      <c r="J61" s="3">
        <v>4.3199999999999998E-13</v>
      </c>
    </row>
    <row r="62" spans="1:10" x14ac:dyDescent="0.2">
      <c r="A62" s="2">
        <v>60</v>
      </c>
      <c r="B62" s="3">
        <v>5.9800000000000006E-8</v>
      </c>
      <c r="C62" s="2">
        <v>3.1220000000000002E-3</v>
      </c>
      <c r="D62" s="3">
        <v>97200</v>
      </c>
      <c r="E62" s="3">
        <v>151000000000</v>
      </c>
      <c r="F62" s="3">
        <v>132000000000</v>
      </c>
      <c r="G62" s="3">
        <v>3020000000</v>
      </c>
      <c r="H62" s="3">
        <v>8360000000</v>
      </c>
      <c r="I62" s="2">
        <v>2.283E-2</v>
      </c>
      <c r="J62" s="3">
        <v>3.31E-13</v>
      </c>
    </row>
    <row r="63" spans="1:10" x14ac:dyDescent="0.2">
      <c r="A63" s="2">
        <v>61</v>
      </c>
      <c r="B63" s="3">
        <v>6.0300000000000004E-8</v>
      </c>
      <c r="C63" s="2">
        <v>3.1749999999999999E-3</v>
      </c>
      <c r="D63" s="3">
        <v>86400</v>
      </c>
      <c r="E63" s="3">
        <v>139000000000</v>
      </c>
      <c r="F63" s="3">
        <v>123000000000</v>
      </c>
      <c r="G63" s="3">
        <v>3470000000</v>
      </c>
      <c r="H63" s="3">
        <v>9290000000</v>
      </c>
      <c r="I63" s="2">
        <v>2.8240000000000001E-2</v>
      </c>
      <c r="J63" s="3">
        <v>4.2500000000000001E-13</v>
      </c>
    </row>
    <row r="64" spans="1:10" x14ac:dyDescent="0.2">
      <c r="A64" s="2">
        <v>62</v>
      </c>
      <c r="B64" s="3">
        <v>6.1000000000000004E-8</v>
      </c>
      <c r="C64" s="2">
        <v>3.2269999999999998E-3</v>
      </c>
      <c r="D64" s="3">
        <v>74000</v>
      </c>
      <c r="E64" s="3">
        <v>128000000000</v>
      </c>
      <c r="F64" s="3">
        <v>115000000000</v>
      </c>
      <c r="G64" s="2">
        <v>0</v>
      </c>
      <c r="H64" s="3">
        <v>11200000000</v>
      </c>
      <c r="I64" s="2">
        <v>-1.7469999999999999E-2</v>
      </c>
      <c r="J64" s="3">
        <v>5.9000000000000001E-13</v>
      </c>
    </row>
    <row r="65" spans="1:10" x14ac:dyDescent="0.2">
      <c r="A65" s="2">
        <v>63</v>
      </c>
      <c r="B65" s="3">
        <v>6.1799999999999998E-8</v>
      </c>
      <c r="C65" s="2">
        <v>3.2820000000000002E-3</v>
      </c>
      <c r="D65" s="3">
        <v>83800</v>
      </c>
      <c r="E65" s="3">
        <v>135000000000</v>
      </c>
      <c r="F65" s="3">
        <v>120000000000</v>
      </c>
      <c r="G65" s="2">
        <v>0</v>
      </c>
      <c r="H65" s="3">
        <v>9720000000</v>
      </c>
      <c r="I65" s="2">
        <v>-7.0959999999999995E-2</v>
      </c>
      <c r="J65" s="3">
        <v>4.6700000000000003E-13</v>
      </c>
    </row>
    <row r="66" spans="1:10" x14ac:dyDescent="0.2">
      <c r="A66" s="2">
        <v>64</v>
      </c>
      <c r="B66" s="3">
        <v>6.2400000000000003E-8</v>
      </c>
      <c r="C66" s="2">
        <v>3.3349999999999999E-3</v>
      </c>
      <c r="D66" s="3">
        <v>92500</v>
      </c>
      <c r="E66" s="3">
        <v>143000000000</v>
      </c>
      <c r="F66" s="3">
        <v>126000000000</v>
      </c>
      <c r="G66" s="2">
        <v>0</v>
      </c>
      <c r="H66" s="3">
        <v>9010000000</v>
      </c>
      <c r="I66" s="2">
        <v>-6.5860000000000002E-2</v>
      </c>
      <c r="J66" s="3">
        <v>3.9E-13</v>
      </c>
    </row>
    <row r="67" spans="1:10" x14ac:dyDescent="0.2">
      <c r="A67" s="2">
        <v>65</v>
      </c>
      <c r="B67" s="3">
        <v>6.2999999999999995E-8</v>
      </c>
      <c r="C67" s="2">
        <v>3.3839999999999999E-3</v>
      </c>
      <c r="D67" s="3">
        <v>77100</v>
      </c>
      <c r="E67" s="3">
        <v>129000000000</v>
      </c>
      <c r="F67" s="3">
        <v>115000000000</v>
      </c>
      <c r="G67" s="3">
        <v>15200000000</v>
      </c>
      <c r="H67" s="3">
        <v>11000000000</v>
      </c>
      <c r="I67" s="2">
        <v>0.1321</v>
      </c>
      <c r="J67" s="3">
        <v>5.69E-13</v>
      </c>
    </row>
    <row r="68" spans="1:10" x14ac:dyDescent="0.2">
      <c r="A68" s="2">
        <v>66</v>
      </c>
      <c r="B68" s="3">
        <v>6.3699999999999995E-8</v>
      </c>
      <c r="C68" s="2">
        <v>3.4350000000000001E-3</v>
      </c>
      <c r="D68" s="3">
        <v>88900</v>
      </c>
      <c r="E68" s="3">
        <v>138000000000</v>
      </c>
      <c r="F68" s="3">
        <v>122000000000</v>
      </c>
      <c r="G68" s="2">
        <v>0</v>
      </c>
      <c r="H68" s="3">
        <v>9430000000</v>
      </c>
      <c r="I68" s="2">
        <v>-6.1580000000000003E-2</v>
      </c>
      <c r="J68" s="3">
        <v>4.3500000000000001E-13</v>
      </c>
    </row>
    <row r="69" spans="1:10" x14ac:dyDescent="0.2">
      <c r="A69" s="2">
        <v>67</v>
      </c>
      <c r="B69" s="3">
        <v>6.4599999999999996E-8</v>
      </c>
      <c r="C69" s="2">
        <v>3.4880000000000002E-3</v>
      </c>
      <c r="D69" s="3">
        <v>93200</v>
      </c>
      <c r="E69" s="3">
        <v>142000000000</v>
      </c>
      <c r="F69" s="3">
        <v>125000000000</v>
      </c>
      <c r="G69" s="2">
        <v>0</v>
      </c>
      <c r="H69" s="3">
        <v>9140000000</v>
      </c>
      <c r="I69" s="2">
        <v>-4.4769999999999997E-2</v>
      </c>
      <c r="J69" s="3">
        <v>4.02E-13</v>
      </c>
    </row>
    <row r="70" spans="1:10" x14ac:dyDescent="0.2">
      <c r="A70" s="2">
        <v>68</v>
      </c>
      <c r="B70" s="3">
        <v>6.4799999999999998E-8</v>
      </c>
      <c r="C70" s="2">
        <v>3.5400000000000002E-3</v>
      </c>
      <c r="D70" s="3">
        <v>90900</v>
      </c>
      <c r="E70" s="3">
        <v>140000000000</v>
      </c>
      <c r="F70" s="3">
        <v>124000000000</v>
      </c>
      <c r="G70" s="2">
        <v>0</v>
      </c>
      <c r="H70" s="3">
        <v>9500000000</v>
      </c>
      <c r="I70" s="2">
        <v>-3.243E-2</v>
      </c>
      <c r="J70" s="3">
        <v>4.2899999999999999E-13</v>
      </c>
    </row>
    <row r="71" spans="1:10" x14ac:dyDescent="0.2">
      <c r="A71" s="2">
        <v>69</v>
      </c>
      <c r="B71" s="3">
        <v>6.5799999999999994E-8</v>
      </c>
      <c r="C71" s="2">
        <v>3.591E-3</v>
      </c>
      <c r="D71" s="3">
        <v>86700</v>
      </c>
      <c r="E71" s="3">
        <v>134000000000</v>
      </c>
      <c r="F71" s="3">
        <v>119000000000</v>
      </c>
      <c r="G71" s="3">
        <v>8410000000</v>
      </c>
      <c r="H71" s="3">
        <v>9860000000</v>
      </c>
      <c r="I71" s="2">
        <v>7.0419999999999996E-2</v>
      </c>
      <c r="J71" s="3">
        <v>4.7699999999999999E-13</v>
      </c>
    </row>
    <row r="72" spans="1:10" x14ac:dyDescent="0.2">
      <c r="A72" s="2">
        <v>70</v>
      </c>
      <c r="B72" s="3">
        <v>6.6600000000000001E-8</v>
      </c>
      <c r="C72" s="2">
        <v>3.6449999999999998E-3</v>
      </c>
      <c r="D72" s="3">
        <v>82700</v>
      </c>
      <c r="E72" s="3">
        <v>130000000000</v>
      </c>
      <c r="F72" s="3">
        <v>116000000000</v>
      </c>
      <c r="G72" s="3">
        <v>13000000000</v>
      </c>
      <c r="H72" s="3">
        <v>10400000000</v>
      </c>
      <c r="I72" s="2">
        <v>0.1118</v>
      </c>
      <c r="J72" s="3">
        <v>5.3299999999999995E-13</v>
      </c>
    </row>
    <row r="73" spans="1:10" x14ac:dyDescent="0.2">
      <c r="A73" s="2">
        <v>71</v>
      </c>
      <c r="B73" s="3">
        <v>6.7000000000000004E-8</v>
      </c>
      <c r="C73" s="2">
        <v>3.6949999999999999E-3</v>
      </c>
      <c r="D73" s="3">
        <v>91200</v>
      </c>
      <c r="E73" s="3">
        <v>138000000000</v>
      </c>
      <c r="F73" s="3">
        <v>123000000000</v>
      </c>
      <c r="G73" s="2">
        <v>0</v>
      </c>
      <c r="H73" s="3">
        <v>9650000000</v>
      </c>
      <c r="I73" s="2">
        <v>-2.2259999999999999E-2</v>
      </c>
      <c r="J73" s="3">
        <v>4.4399999999999998E-13</v>
      </c>
    </row>
    <row r="74" spans="1:10" x14ac:dyDescent="0.2">
      <c r="A74" s="2">
        <v>72</v>
      </c>
      <c r="B74" s="3">
        <v>6.8E-8</v>
      </c>
      <c r="C74" s="2">
        <v>3.7469999999999999E-3</v>
      </c>
      <c r="D74" s="3">
        <v>80800</v>
      </c>
      <c r="E74" s="3">
        <v>127000000000</v>
      </c>
      <c r="F74" s="3">
        <v>114000000000</v>
      </c>
      <c r="G74" s="3">
        <v>9170000000</v>
      </c>
      <c r="H74" s="3">
        <v>10800000000</v>
      </c>
      <c r="I74" s="2">
        <v>8.0509999999999998E-2</v>
      </c>
      <c r="J74" s="3">
        <v>5.7399999999999998E-13</v>
      </c>
    </row>
    <row r="75" spans="1:10" x14ac:dyDescent="0.2">
      <c r="A75" s="2">
        <v>73</v>
      </c>
      <c r="B75" s="3">
        <v>6.87E-8</v>
      </c>
      <c r="C75" s="2">
        <v>3.7989999999999999E-3</v>
      </c>
      <c r="D75" s="3">
        <v>80600</v>
      </c>
      <c r="E75" s="3">
        <v>127000000000</v>
      </c>
      <c r="F75" s="3">
        <v>114000000000</v>
      </c>
      <c r="G75" s="3">
        <v>6790000000</v>
      </c>
      <c r="H75" s="3">
        <v>10900000000</v>
      </c>
      <c r="I75" s="2">
        <v>5.9839999999999997E-2</v>
      </c>
      <c r="J75" s="3">
        <v>5.8500000000000003E-13</v>
      </c>
    </row>
    <row r="76" spans="1:10" x14ac:dyDescent="0.2">
      <c r="A76" s="2">
        <v>74</v>
      </c>
      <c r="B76" s="3">
        <v>6.8900000000000002E-8</v>
      </c>
      <c r="C76" s="2">
        <v>3.852E-3</v>
      </c>
      <c r="D76" s="3">
        <v>94700</v>
      </c>
      <c r="E76" s="3">
        <v>141000000000</v>
      </c>
      <c r="F76" s="3">
        <v>124000000000</v>
      </c>
      <c r="G76" s="3">
        <v>9250000000</v>
      </c>
      <c r="H76" s="3">
        <v>9640000000</v>
      </c>
      <c r="I76" s="2">
        <v>7.4319999999999997E-2</v>
      </c>
      <c r="J76" s="3">
        <v>4.2999999999999999E-13</v>
      </c>
    </row>
    <row r="77" spans="1:10" x14ac:dyDescent="0.2">
      <c r="A77" s="2">
        <v>75</v>
      </c>
      <c r="B77" s="3">
        <v>6.9699999999999995E-8</v>
      </c>
      <c r="C77" s="2">
        <v>3.9039999999999999E-3</v>
      </c>
      <c r="D77" s="3">
        <v>89700</v>
      </c>
      <c r="E77" s="3">
        <v>135000000000</v>
      </c>
      <c r="F77" s="3">
        <v>120000000000</v>
      </c>
      <c r="G77" s="3">
        <v>10100000000</v>
      </c>
      <c r="H77" s="3">
        <v>10100000000</v>
      </c>
      <c r="I77" s="2">
        <v>8.4019999999999997E-2</v>
      </c>
      <c r="J77" s="3">
        <v>4.8499999999999995E-13</v>
      </c>
    </row>
    <row r="78" spans="1:10" x14ac:dyDescent="0.2">
      <c r="A78" s="2">
        <v>76</v>
      </c>
      <c r="B78" s="3">
        <v>7.0500000000000003E-8</v>
      </c>
      <c r="C78" s="2">
        <v>3.9550000000000002E-3</v>
      </c>
      <c r="D78" s="3">
        <v>87000</v>
      </c>
      <c r="E78" s="3">
        <v>131000000000</v>
      </c>
      <c r="F78" s="3">
        <v>117000000000</v>
      </c>
      <c r="G78" s="3">
        <v>10500000000</v>
      </c>
      <c r="H78" s="3">
        <v>10400000000</v>
      </c>
      <c r="I78" s="2">
        <v>8.9270000000000002E-2</v>
      </c>
      <c r="J78" s="3">
        <v>5.2299999999999999E-13</v>
      </c>
    </row>
    <row r="79" spans="1:10" x14ac:dyDescent="0.2">
      <c r="A79" s="2">
        <v>77</v>
      </c>
      <c r="B79" s="3">
        <v>7.1E-8</v>
      </c>
      <c r="C79" s="2">
        <v>4.0099999999999997E-3</v>
      </c>
      <c r="D79" s="3">
        <v>108000</v>
      </c>
      <c r="E79" s="3">
        <v>155000000000</v>
      </c>
      <c r="F79" s="3">
        <v>135000000000</v>
      </c>
      <c r="G79" s="3">
        <v>20600000000</v>
      </c>
      <c r="H79" s="3">
        <v>9080000000</v>
      </c>
      <c r="I79" s="2">
        <v>0.15260000000000001</v>
      </c>
      <c r="J79" s="3">
        <v>3.43E-13</v>
      </c>
    </row>
    <row r="80" spans="1:10" x14ac:dyDescent="0.2">
      <c r="A80" s="2">
        <v>78</v>
      </c>
      <c r="B80" s="3">
        <v>7.1799999999999994E-8</v>
      </c>
      <c r="C80" s="2">
        <v>4.0610000000000004E-3</v>
      </c>
      <c r="D80" s="3">
        <v>98300</v>
      </c>
      <c r="E80" s="3">
        <v>143000000000</v>
      </c>
      <c r="F80" s="3">
        <v>126000000000</v>
      </c>
      <c r="G80" s="2">
        <v>0</v>
      </c>
      <c r="H80" s="3">
        <v>9640000000</v>
      </c>
      <c r="I80" s="2">
        <v>-0.15970000000000001</v>
      </c>
      <c r="J80" s="3">
        <v>4.1999999999999998E-13</v>
      </c>
    </row>
    <row r="81" spans="1:10" x14ac:dyDescent="0.2">
      <c r="A81" s="2">
        <v>79</v>
      </c>
      <c r="B81" s="3">
        <v>7.2300000000000006E-8</v>
      </c>
      <c r="C81" s="2">
        <v>4.1120000000000002E-3</v>
      </c>
      <c r="D81" s="3">
        <v>94000</v>
      </c>
      <c r="E81" s="3">
        <v>138000000000</v>
      </c>
      <c r="F81" s="3">
        <v>122000000000</v>
      </c>
      <c r="G81" s="2">
        <v>0</v>
      </c>
      <c r="H81" s="3">
        <v>10000000000</v>
      </c>
      <c r="I81" s="2">
        <v>-8.9529999999999998E-2</v>
      </c>
      <c r="J81" s="3">
        <v>4.6500000000000004E-13</v>
      </c>
    </row>
    <row r="82" spans="1:10" x14ac:dyDescent="0.2">
      <c r="A82" s="2">
        <v>80</v>
      </c>
      <c r="B82" s="3">
        <v>7.2899999999999998E-8</v>
      </c>
      <c r="C82" s="2">
        <v>4.1640000000000002E-3</v>
      </c>
      <c r="D82" s="3">
        <v>94500</v>
      </c>
      <c r="E82" s="3">
        <v>138000000000</v>
      </c>
      <c r="F82" s="3">
        <v>122000000000</v>
      </c>
      <c r="G82" s="3">
        <v>9380000000</v>
      </c>
      <c r="H82" s="3">
        <v>10100000000</v>
      </c>
      <c r="I82" s="2">
        <v>7.6780000000000001E-2</v>
      </c>
      <c r="J82" s="3">
        <v>4.6600000000000003E-13</v>
      </c>
    </row>
    <row r="83" spans="1:10" x14ac:dyDescent="0.2">
      <c r="A83" s="2">
        <v>81</v>
      </c>
      <c r="B83" s="3">
        <v>7.3799999999999999E-8</v>
      </c>
      <c r="C83" s="2">
        <v>4.2160000000000001E-3</v>
      </c>
      <c r="D83" s="3">
        <v>82400</v>
      </c>
      <c r="E83" s="3">
        <v>126000000000</v>
      </c>
      <c r="F83" s="3">
        <v>113000000000</v>
      </c>
      <c r="G83" s="3">
        <v>17700000000</v>
      </c>
      <c r="H83" s="3">
        <v>11400000000</v>
      </c>
      <c r="I83" s="2">
        <v>0.15709999999999999</v>
      </c>
      <c r="J83" s="3">
        <v>6.2099999999999998E-13</v>
      </c>
    </row>
    <row r="84" spans="1:10" x14ac:dyDescent="0.2">
      <c r="A84" s="2">
        <v>82</v>
      </c>
      <c r="B84" s="3">
        <v>7.3900000000000007E-8</v>
      </c>
      <c r="C84" s="2">
        <v>4.2680000000000001E-3</v>
      </c>
      <c r="D84" s="3">
        <v>94900</v>
      </c>
      <c r="E84" s="3">
        <v>138000000000</v>
      </c>
      <c r="F84" s="3">
        <v>122000000000</v>
      </c>
      <c r="G84" s="2">
        <v>0</v>
      </c>
      <c r="H84" s="3">
        <v>10300000000</v>
      </c>
      <c r="I84" s="2">
        <v>-9.0950000000000003E-2</v>
      </c>
      <c r="J84" s="3">
        <v>4.74E-13</v>
      </c>
    </row>
    <row r="85" spans="1:10" x14ac:dyDescent="0.2">
      <c r="A85" s="2">
        <v>83</v>
      </c>
      <c r="B85" s="3">
        <v>7.4799999999999995E-8</v>
      </c>
      <c r="C85" s="2">
        <v>4.3189999999999999E-3</v>
      </c>
      <c r="D85" s="3">
        <v>78000</v>
      </c>
      <c r="E85" s="3">
        <v>122000000000</v>
      </c>
      <c r="F85" s="3">
        <v>110000000000</v>
      </c>
      <c r="G85" s="3">
        <v>4040000000</v>
      </c>
      <c r="H85" s="3">
        <v>12400000000</v>
      </c>
      <c r="I85" s="2">
        <v>3.6749999999999998E-2</v>
      </c>
      <c r="J85" s="3">
        <v>7.1E-13</v>
      </c>
    </row>
    <row r="86" spans="1:10" x14ac:dyDescent="0.2">
      <c r="A86" s="2">
        <v>84</v>
      </c>
      <c r="B86" s="3">
        <v>7.5100000000000004E-8</v>
      </c>
      <c r="C86" s="2">
        <v>4.3730000000000002E-3</v>
      </c>
      <c r="D86" s="3">
        <v>87300</v>
      </c>
      <c r="E86" s="3">
        <v>130000000000</v>
      </c>
      <c r="F86" s="3">
        <v>116000000000</v>
      </c>
      <c r="G86" s="3">
        <v>14500000000</v>
      </c>
      <c r="H86" s="3">
        <v>11200000000</v>
      </c>
      <c r="I86" s="2">
        <v>0.12479999999999999</v>
      </c>
      <c r="J86" s="3">
        <v>5.7399999999999998E-13</v>
      </c>
    </row>
    <row r="87" spans="1:10" x14ac:dyDescent="0.2">
      <c r="A87" s="2">
        <v>85</v>
      </c>
      <c r="B87" s="3">
        <v>7.6000000000000006E-8</v>
      </c>
      <c r="C87" s="2">
        <v>4.424E-3</v>
      </c>
      <c r="D87" s="3">
        <v>90600</v>
      </c>
      <c r="E87" s="3">
        <v>132000000000</v>
      </c>
      <c r="F87" s="3">
        <v>118000000000</v>
      </c>
      <c r="G87" s="3">
        <v>1840000000</v>
      </c>
      <c r="H87" s="3">
        <v>10800000000</v>
      </c>
      <c r="I87" s="2">
        <v>1.5640000000000001E-2</v>
      </c>
      <c r="J87" s="3">
        <v>5.3900000000000003E-13</v>
      </c>
    </row>
    <row r="88" spans="1:10" x14ac:dyDescent="0.2">
      <c r="A88" s="2">
        <v>86</v>
      </c>
      <c r="B88" s="3">
        <v>7.6700000000000005E-8</v>
      </c>
      <c r="C88" s="2">
        <v>4.4759999999999999E-3</v>
      </c>
      <c r="D88" s="3">
        <v>93100</v>
      </c>
      <c r="E88" s="3">
        <v>134000000000</v>
      </c>
      <c r="F88" s="3">
        <v>119000000000</v>
      </c>
      <c r="G88" s="3">
        <v>99500000</v>
      </c>
      <c r="H88" s="3">
        <v>10700000000</v>
      </c>
      <c r="I88" s="2">
        <v>8.3390000000000005E-4</v>
      </c>
      <c r="J88" s="3">
        <v>5.1600000000000002E-13</v>
      </c>
    </row>
    <row r="89" spans="1:10" x14ac:dyDescent="0.2">
      <c r="A89" s="2">
        <v>87</v>
      </c>
      <c r="B89" s="3">
        <v>7.7099999999999996E-8</v>
      </c>
      <c r="C89" s="2">
        <v>4.5279999999999999E-3</v>
      </c>
      <c r="D89" s="3">
        <v>94600</v>
      </c>
      <c r="E89" s="3">
        <v>136000000000</v>
      </c>
      <c r="F89" s="3">
        <v>121000000000</v>
      </c>
      <c r="G89" s="3">
        <v>6120000000</v>
      </c>
      <c r="H89" s="3">
        <v>10700000000</v>
      </c>
      <c r="I89" s="2">
        <v>5.0750000000000003E-2</v>
      </c>
      <c r="J89" s="3">
        <v>5.0599999999999996E-13</v>
      </c>
    </row>
    <row r="90" spans="1:10" x14ac:dyDescent="0.2">
      <c r="A90" s="2">
        <v>88</v>
      </c>
      <c r="B90" s="3">
        <v>7.7999999999999997E-8</v>
      </c>
      <c r="C90" s="2">
        <v>4.5799999999999999E-3</v>
      </c>
      <c r="D90" s="3">
        <v>100000</v>
      </c>
      <c r="E90" s="3">
        <v>141000000000</v>
      </c>
      <c r="F90" s="3">
        <v>125000000000</v>
      </c>
      <c r="G90" s="3">
        <v>5620000000</v>
      </c>
      <c r="H90" s="3">
        <v>10300000000</v>
      </c>
      <c r="I90" s="2">
        <v>4.5030000000000001E-2</v>
      </c>
      <c r="J90" s="3">
        <v>4.5699999999999997E-13</v>
      </c>
    </row>
    <row r="91" spans="1:10" x14ac:dyDescent="0.2">
      <c r="A91" s="2">
        <v>89</v>
      </c>
      <c r="B91" s="3">
        <v>7.9000000000000006E-8</v>
      </c>
      <c r="C91" s="2">
        <v>4.6299999999999996E-3</v>
      </c>
      <c r="D91" s="3">
        <v>89900</v>
      </c>
      <c r="E91" s="3">
        <v>130000000000</v>
      </c>
      <c r="F91" s="3">
        <v>116000000000</v>
      </c>
      <c r="G91" s="3">
        <v>7230000000</v>
      </c>
      <c r="H91" s="3">
        <v>11100000000</v>
      </c>
      <c r="I91" s="2">
        <v>6.2539999999999998E-2</v>
      </c>
      <c r="J91" s="3">
        <v>5.7399999999999998E-13</v>
      </c>
    </row>
    <row r="92" spans="1:10" x14ac:dyDescent="0.2">
      <c r="A92" s="2">
        <v>90</v>
      </c>
      <c r="B92" s="3">
        <v>7.9399999999999996E-8</v>
      </c>
      <c r="C92" s="2">
        <v>4.6839999999999998E-3</v>
      </c>
      <c r="D92" s="3">
        <v>96200</v>
      </c>
      <c r="E92" s="3">
        <v>136000000000</v>
      </c>
      <c r="F92" s="3">
        <v>121000000000</v>
      </c>
      <c r="G92" s="3">
        <v>3110000000</v>
      </c>
      <c r="H92" s="3">
        <v>10700000000</v>
      </c>
      <c r="I92" s="2">
        <v>2.5749999999999999E-2</v>
      </c>
      <c r="J92" s="3">
        <v>5.0599999999999996E-13</v>
      </c>
    </row>
    <row r="93" spans="1:10" x14ac:dyDescent="0.2">
      <c r="A93" s="2">
        <v>91</v>
      </c>
      <c r="B93" s="3">
        <v>8.0400000000000005E-8</v>
      </c>
      <c r="C93" s="2">
        <v>4.7349999999999996E-3</v>
      </c>
      <c r="D93" s="3">
        <v>86300</v>
      </c>
      <c r="E93" s="3">
        <v>125000000000</v>
      </c>
      <c r="F93" s="3">
        <v>112000000000</v>
      </c>
      <c r="G93" s="3">
        <v>12200000000</v>
      </c>
      <c r="H93" s="3">
        <v>11600000000</v>
      </c>
      <c r="I93" s="2">
        <v>0.1082</v>
      </c>
      <c r="J93" s="3">
        <v>6.3500000000000002E-13</v>
      </c>
    </row>
    <row r="94" spans="1:10" x14ac:dyDescent="0.2">
      <c r="A94" s="2">
        <v>92</v>
      </c>
      <c r="B94" s="3">
        <v>8.0999999999999997E-8</v>
      </c>
      <c r="C94" s="2">
        <v>4.7910000000000001E-3</v>
      </c>
      <c r="D94" s="3">
        <v>78100</v>
      </c>
      <c r="E94" s="3">
        <v>119000000000</v>
      </c>
      <c r="F94" s="3">
        <v>107000000000</v>
      </c>
      <c r="G94" s="2">
        <v>0</v>
      </c>
      <c r="H94" s="3">
        <v>13000000000</v>
      </c>
      <c r="I94" s="2">
        <v>-3.3700000000000001E-2</v>
      </c>
      <c r="J94" s="3">
        <v>7.8499999999999999E-13</v>
      </c>
    </row>
    <row r="95" spans="1:10" x14ac:dyDescent="0.2">
      <c r="A95" s="2">
        <v>93</v>
      </c>
      <c r="B95" s="3">
        <v>8.1600000000000003E-8</v>
      </c>
      <c r="C95" s="2">
        <v>4.8430000000000001E-3</v>
      </c>
      <c r="D95" s="3">
        <v>86800</v>
      </c>
      <c r="E95" s="3">
        <v>126000000000</v>
      </c>
      <c r="F95" s="3">
        <v>112000000000</v>
      </c>
      <c r="G95" s="2">
        <v>0</v>
      </c>
      <c r="H95" s="3">
        <v>11800000000</v>
      </c>
      <c r="I95" s="2">
        <v>-1.787E-2</v>
      </c>
      <c r="J95" s="3">
        <v>6.4299999999999999E-13</v>
      </c>
    </row>
    <row r="96" spans="1:10" x14ac:dyDescent="0.2">
      <c r="A96" s="2">
        <v>94</v>
      </c>
      <c r="B96" s="3">
        <v>8.2100000000000001E-8</v>
      </c>
      <c r="C96" s="2">
        <v>4.8939999999999999E-3</v>
      </c>
      <c r="D96" s="3">
        <v>107000</v>
      </c>
      <c r="E96" s="3">
        <v>149000000000</v>
      </c>
      <c r="F96" s="3">
        <v>131000000000</v>
      </c>
      <c r="G96" s="3">
        <v>4190000000</v>
      </c>
      <c r="H96" s="3">
        <v>10600000000</v>
      </c>
      <c r="I96" s="2">
        <v>3.209E-2</v>
      </c>
      <c r="J96" s="3">
        <v>4.2999999999999999E-13</v>
      </c>
    </row>
    <row r="97" spans="1:10" x14ac:dyDescent="0.2">
      <c r="A97" s="2">
        <v>95</v>
      </c>
      <c r="B97" s="3">
        <v>8.28E-8</v>
      </c>
      <c r="C97" s="2">
        <v>4.9439999999999996E-3</v>
      </c>
      <c r="D97" s="3">
        <v>101000</v>
      </c>
      <c r="E97" s="3">
        <v>140000000000</v>
      </c>
      <c r="F97" s="3">
        <v>124000000000</v>
      </c>
      <c r="G97" s="2">
        <v>0</v>
      </c>
      <c r="H97" s="3">
        <v>10900000000</v>
      </c>
      <c r="I97" s="2">
        <v>-7.3789999999999994E-2</v>
      </c>
      <c r="J97" s="3">
        <v>4.8800000000000004E-13</v>
      </c>
    </row>
    <row r="98" spans="1:10" x14ac:dyDescent="0.2">
      <c r="A98" s="2">
        <v>96</v>
      </c>
      <c r="B98" s="3">
        <v>8.3299999999999998E-8</v>
      </c>
      <c r="C98" s="2">
        <v>4.9969999999999997E-3</v>
      </c>
      <c r="D98" s="3">
        <v>110000</v>
      </c>
      <c r="E98" s="3">
        <v>153000000000</v>
      </c>
      <c r="F98" s="3">
        <v>134000000000</v>
      </c>
      <c r="G98" s="2">
        <v>0</v>
      </c>
      <c r="H98" s="3">
        <v>10700000000</v>
      </c>
      <c r="I98" s="2">
        <v>-2.6960000000000001E-2</v>
      </c>
      <c r="J98" s="3">
        <v>4.1200000000000001E-13</v>
      </c>
    </row>
    <row r="99" spans="1:10" x14ac:dyDescent="0.2">
      <c r="A99" s="2">
        <v>97</v>
      </c>
      <c r="B99" s="3">
        <v>8.42E-8</v>
      </c>
      <c r="C99" s="2">
        <v>5.0489999999999997E-3</v>
      </c>
      <c r="D99" s="3">
        <v>88400</v>
      </c>
      <c r="E99" s="3">
        <v>126000000000</v>
      </c>
      <c r="F99" s="3">
        <v>112000000000</v>
      </c>
      <c r="G99" s="3">
        <v>2390000000</v>
      </c>
      <c r="H99" s="3">
        <v>11800000000</v>
      </c>
      <c r="I99" s="2">
        <v>2.121E-2</v>
      </c>
      <c r="J99" s="3">
        <v>6.4599999999999997E-13</v>
      </c>
    </row>
    <row r="100" spans="1:10" x14ac:dyDescent="0.2">
      <c r="A100" s="2">
        <v>98</v>
      </c>
      <c r="B100" s="3">
        <v>8.4800000000000005E-8</v>
      </c>
      <c r="C100" s="2">
        <v>5.1009999999999996E-3</v>
      </c>
      <c r="D100" s="3">
        <v>91900</v>
      </c>
      <c r="E100" s="3">
        <v>129000000000</v>
      </c>
      <c r="F100" s="3">
        <v>115000000000</v>
      </c>
      <c r="G100" s="3">
        <v>5210000000</v>
      </c>
      <c r="H100" s="3">
        <v>11600000000</v>
      </c>
      <c r="I100" s="2">
        <v>4.53E-2</v>
      </c>
      <c r="J100" s="3">
        <v>6.0399999999999995E-13</v>
      </c>
    </row>
    <row r="101" spans="1:10" x14ac:dyDescent="0.2">
      <c r="A101" s="2">
        <v>99</v>
      </c>
      <c r="B101" s="3">
        <v>8.5100000000000001E-8</v>
      </c>
      <c r="C101" s="2">
        <v>5.1529999999999996E-3</v>
      </c>
      <c r="D101" s="3">
        <v>90300</v>
      </c>
      <c r="E101" s="3">
        <v>127000000000</v>
      </c>
      <c r="F101" s="3">
        <v>114000000000</v>
      </c>
      <c r="G101" s="2">
        <v>0</v>
      </c>
      <c r="H101" s="3">
        <v>11900000000</v>
      </c>
      <c r="I101" s="2">
        <v>-3.0460000000000001E-2</v>
      </c>
      <c r="J101" s="3">
        <v>6.3200000000000003E-13</v>
      </c>
    </row>
    <row r="102" spans="1:10" x14ac:dyDescent="0.2">
      <c r="A102" s="3">
        <v>100</v>
      </c>
      <c r="B102" s="3">
        <v>8.6200000000000004E-8</v>
      </c>
      <c r="C102" s="2">
        <v>5.2059999999999997E-3</v>
      </c>
      <c r="D102" s="3">
        <v>97000</v>
      </c>
      <c r="E102" s="3">
        <v>135000000000</v>
      </c>
      <c r="F102" s="3">
        <v>120000000000</v>
      </c>
      <c r="G102" s="3">
        <v>13200000000</v>
      </c>
      <c r="H102" s="3">
        <v>11500000000</v>
      </c>
      <c r="I102" s="2">
        <v>0.1103</v>
      </c>
      <c r="J102" s="3">
        <v>5.5299999999999997E-13</v>
      </c>
    </row>
    <row r="103" spans="1:10" x14ac:dyDescent="0.2">
      <c r="A103" s="3">
        <v>100</v>
      </c>
      <c r="B103" s="3">
        <v>8.6200000000000004E-8</v>
      </c>
      <c r="C103" s="2">
        <v>5.2579999999999997E-3</v>
      </c>
      <c r="D103" s="3">
        <v>94500</v>
      </c>
      <c r="E103" s="3">
        <v>132000000000</v>
      </c>
      <c r="F103" s="3">
        <v>117000000000</v>
      </c>
      <c r="G103" s="2">
        <v>0</v>
      </c>
      <c r="H103" s="3">
        <v>11700000000</v>
      </c>
      <c r="I103" s="2">
        <v>-0.18870000000000001</v>
      </c>
      <c r="J103" s="3">
        <v>5.8900000000000001E-13</v>
      </c>
    </row>
    <row r="104" spans="1:10" x14ac:dyDescent="0.2">
      <c r="A104" s="3">
        <v>100</v>
      </c>
      <c r="B104" s="3">
        <v>8.7100000000000006E-8</v>
      </c>
      <c r="C104" s="2">
        <v>5.3090000000000004E-3</v>
      </c>
      <c r="D104" s="3">
        <v>92800</v>
      </c>
      <c r="E104" s="3">
        <v>129000000000</v>
      </c>
      <c r="F104" s="3">
        <v>115000000000</v>
      </c>
      <c r="G104" s="3">
        <v>3420000000</v>
      </c>
      <c r="H104" s="3">
        <v>11900000000</v>
      </c>
      <c r="I104" s="2">
        <v>2.963E-2</v>
      </c>
      <c r="J104" s="3">
        <v>6.17E-13</v>
      </c>
    </row>
    <row r="105" spans="1:10" x14ac:dyDescent="0.2">
      <c r="A105" s="3">
        <v>100</v>
      </c>
      <c r="B105" s="3">
        <v>8.7600000000000004E-8</v>
      </c>
      <c r="C105" s="2">
        <v>5.3619999999999996E-3</v>
      </c>
      <c r="D105" s="3">
        <v>100000</v>
      </c>
      <c r="E105" s="3">
        <v>138000000000</v>
      </c>
      <c r="F105" s="3">
        <v>123000000000</v>
      </c>
      <c r="G105" s="2">
        <v>0</v>
      </c>
      <c r="H105" s="3">
        <v>11700000000</v>
      </c>
      <c r="I105" s="2">
        <v>-5.9040000000000002E-2</v>
      </c>
      <c r="J105" s="3">
        <v>5.3500000000000004E-13</v>
      </c>
    </row>
    <row r="106" spans="1:10" x14ac:dyDescent="0.2">
      <c r="A106" s="3">
        <v>100</v>
      </c>
      <c r="B106" s="3">
        <v>8.8500000000000005E-8</v>
      </c>
      <c r="C106" s="2">
        <v>5.4140000000000004E-3</v>
      </c>
      <c r="D106" s="3">
        <v>86600</v>
      </c>
      <c r="E106" s="3">
        <v>122000000000</v>
      </c>
      <c r="F106" s="3">
        <v>110000000000</v>
      </c>
      <c r="G106" s="2">
        <v>0</v>
      </c>
      <c r="H106" s="3">
        <v>12600000000</v>
      </c>
      <c r="I106" s="2">
        <v>-2.155E-2</v>
      </c>
      <c r="J106" s="3">
        <v>7.2199999999999995E-13</v>
      </c>
    </row>
    <row r="107" spans="1:10" x14ac:dyDescent="0.2">
      <c r="A107" s="3">
        <v>110</v>
      </c>
      <c r="B107" s="3">
        <v>8.9400000000000006E-8</v>
      </c>
      <c r="C107" s="2">
        <v>5.4650000000000002E-3</v>
      </c>
      <c r="D107" s="3">
        <v>96900</v>
      </c>
      <c r="E107" s="3">
        <v>134000000000</v>
      </c>
      <c r="F107" s="3">
        <v>119000000000</v>
      </c>
      <c r="G107" s="2">
        <v>0</v>
      </c>
      <c r="H107" s="3">
        <v>11900000000</v>
      </c>
      <c r="I107" s="2">
        <v>-8.8090000000000002E-2</v>
      </c>
      <c r="J107" s="3">
        <v>5.8300000000000004E-13</v>
      </c>
    </row>
    <row r="108" spans="1:10" x14ac:dyDescent="0.2">
      <c r="A108" s="3">
        <v>110</v>
      </c>
      <c r="B108" s="3">
        <v>8.9999999999999999E-8</v>
      </c>
      <c r="C108" s="2">
        <v>5.5170000000000002E-3</v>
      </c>
      <c r="D108" s="3">
        <v>82700</v>
      </c>
      <c r="E108" s="3">
        <v>119000000000</v>
      </c>
      <c r="F108" s="3">
        <v>107000000000</v>
      </c>
      <c r="G108" s="3">
        <v>13600000000</v>
      </c>
      <c r="H108" s="3">
        <v>13300000000</v>
      </c>
      <c r="I108" s="2">
        <v>0.1278</v>
      </c>
      <c r="J108" s="3">
        <v>8.06E-13</v>
      </c>
    </row>
    <row r="109" spans="1:10" x14ac:dyDescent="0.2">
      <c r="A109" s="3">
        <v>110</v>
      </c>
      <c r="B109" s="3">
        <v>9.0499999999999996E-8</v>
      </c>
      <c r="C109" s="2">
        <v>5.568E-3</v>
      </c>
      <c r="D109" s="3">
        <v>90800</v>
      </c>
      <c r="E109" s="3">
        <v>126000000000</v>
      </c>
      <c r="F109" s="3">
        <v>113000000000</v>
      </c>
      <c r="G109" s="3">
        <v>7820000000</v>
      </c>
      <c r="H109" s="3">
        <v>12400000000</v>
      </c>
      <c r="I109" s="2">
        <v>6.9419999999999996E-2</v>
      </c>
      <c r="J109" s="3">
        <v>6.7499999999999995E-13</v>
      </c>
    </row>
    <row r="110" spans="1:10" x14ac:dyDescent="0.2">
      <c r="A110" s="3">
        <v>110</v>
      </c>
      <c r="B110" s="3">
        <v>9.1199999999999996E-8</v>
      </c>
      <c r="C110" s="2">
        <v>5.6220000000000003E-3</v>
      </c>
      <c r="D110" s="3">
        <v>95900</v>
      </c>
      <c r="E110" s="3">
        <v>132000000000</v>
      </c>
      <c r="F110" s="3">
        <v>118000000000</v>
      </c>
      <c r="G110" s="3">
        <v>6830000000</v>
      </c>
      <c r="H110" s="3">
        <v>12200000000</v>
      </c>
      <c r="I110" s="2">
        <v>5.8069999999999997E-2</v>
      </c>
      <c r="J110" s="3">
        <v>6.1100000000000002E-13</v>
      </c>
    </row>
    <row r="111" spans="1:10" x14ac:dyDescent="0.2">
      <c r="A111" s="3">
        <v>110</v>
      </c>
      <c r="B111" s="3">
        <v>9.1699999999999994E-8</v>
      </c>
      <c r="C111" s="2">
        <v>5.6769999999999998E-3</v>
      </c>
      <c r="D111" s="3">
        <v>90300</v>
      </c>
      <c r="E111" s="3">
        <v>125000000000</v>
      </c>
      <c r="F111" s="3">
        <v>112000000000</v>
      </c>
      <c r="G111" s="3">
        <v>867000000</v>
      </c>
      <c r="H111" s="3">
        <v>12700000000</v>
      </c>
      <c r="I111" s="2">
        <v>7.7470000000000004E-3</v>
      </c>
      <c r="J111" s="3">
        <v>6.9699999999999996E-13</v>
      </c>
    </row>
    <row r="112" spans="1:10" x14ac:dyDescent="0.2">
      <c r="A112" s="3">
        <v>110</v>
      </c>
      <c r="B112" s="3">
        <v>9.2700000000000003E-8</v>
      </c>
      <c r="C112" s="2">
        <v>5.7260000000000002E-3</v>
      </c>
      <c r="D112" s="3">
        <v>92000</v>
      </c>
      <c r="E112" s="3">
        <v>127000000000</v>
      </c>
      <c r="F112" s="3">
        <v>113000000000</v>
      </c>
      <c r="G112" s="2">
        <v>0</v>
      </c>
      <c r="H112" s="3">
        <v>12600000000</v>
      </c>
      <c r="I112" s="2">
        <v>-9.8390000000000005E-3</v>
      </c>
      <c r="J112" s="3">
        <v>6.7700000000000004E-13</v>
      </c>
    </row>
    <row r="113" spans="1:10" x14ac:dyDescent="0.2">
      <c r="A113" s="3">
        <v>110</v>
      </c>
      <c r="B113" s="3">
        <v>9.2900000000000005E-8</v>
      </c>
      <c r="C113" s="2">
        <v>5.7790000000000003E-3</v>
      </c>
      <c r="D113" s="3">
        <v>92800</v>
      </c>
      <c r="E113" s="3">
        <v>128000000000</v>
      </c>
      <c r="F113" s="3">
        <v>114000000000</v>
      </c>
      <c r="G113" s="2">
        <v>0</v>
      </c>
      <c r="H113" s="3">
        <v>12700000000</v>
      </c>
      <c r="I113" s="2">
        <v>-2.5270000000000001E-2</v>
      </c>
      <c r="J113" s="3">
        <v>6.7099999999999997E-13</v>
      </c>
    </row>
    <row r="114" spans="1:10" x14ac:dyDescent="0.2">
      <c r="A114" s="3">
        <v>110</v>
      </c>
      <c r="B114" s="3">
        <v>9.3800000000000006E-8</v>
      </c>
      <c r="C114" s="2">
        <v>5.8300000000000001E-3</v>
      </c>
      <c r="D114" s="3">
        <v>103000</v>
      </c>
      <c r="E114" s="3">
        <v>138000000000</v>
      </c>
      <c r="F114" s="3">
        <v>123000000000</v>
      </c>
      <c r="G114" s="2">
        <v>0</v>
      </c>
      <c r="H114" s="3">
        <v>12100000000</v>
      </c>
      <c r="I114" s="2">
        <v>-9.715E-2</v>
      </c>
      <c r="J114" s="3">
        <v>5.5499999999999996E-13</v>
      </c>
    </row>
    <row r="115" spans="1:10" x14ac:dyDescent="0.2">
      <c r="A115" s="3">
        <v>110</v>
      </c>
      <c r="B115" s="3">
        <v>9.3999999999999995E-8</v>
      </c>
      <c r="C115" s="2">
        <v>5.8840000000000003E-3</v>
      </c>
      <c r="D115" s="3">
        <v>112000</v>
      </c>
      <c r="E115" s="3">
        <v>148000000000</v>
      </c>
      <c r="F115" s="3">
        <v>130000000000</v>
      </c>
      <c r="G115" s="2">
        <v>0</v>
      </c>
      <c r="H115" s="3">
        <v>11400000000</v>
      </c>
      <c r="I115" s="2">
        <v>-9.9940000000000001E-2</v>
      </c>
      <c r="J115" s="3">
        <v>4.6600000000000003E-13</v>
      </c>
    </row>
    <row r="116" spans="1:10" x14ac:dyDescent="0.2">
      <c r="A116" s="3">
        <v>110</v>
      </c>
      <c r="B116" s="3">
        <v>9.46E-8</v>
      </c>
      <c r="C116" s="2">
        <v>5.9329999999999999E-3</v>
      </c>
      <c r="D116" s="3">
        <v>102000</v>
      </c>
      <c r="E116" s="3">
        <v>138000000000</v>
      </c>
      <c r="F116" s="3">
        <v>122000000000</v>
      </c>
      <c r="G116" s="3">
        <v>672000000</v>
      </c>
      <c r="H116" s="3">
        <v>12300000000</v>
      </c>
      <c r="I116" s="2">
        <v>5.4990000000000004E-3</v>
      </c>
      <c r="J116" s="3">
        <v>5.6999999999999999E-13</v>
      </c>
    </row>
    <row r="117" spans="1:10" x14ac:dyDescent="0.2">
      <c r="A117" s="3">
        <v>120</v>
      </c>
      <c r="B117" s="3">
        <v>9.5399999999999994E-8</v>
      </c>
      <c r="C117" s="2">
        <v>5.986E-3</v>
      </c>
      <c r="D117" s="3">
        <v>108000</v>
      </c>
      <c r="E117" s="3">
        <v>142000000000</v>
      </c>
      <c r="F117" s="3">
        <v>125000000000</v>
      </c>
      <c r="G117" s="3">
        <v>4010000000</v>
      </c>
      <c r="H117" s="3">
        <v>11800000000</v>
      </c>
      <c r="I117" s="2">
        <v>3.1940000000000003E-2</v>
      </c>
      <c r="J117" s="3">
        <v>5.1800000000000001E-13</v>
      </c>
    </row>
    <row r="118" spans="1:10" x14ac:dyDescent="0.2">
      <c r="A118" s="3">
        <v>120</v>
      </c>
      <c r="B118" s="3">
        <v>9.5999999999999999E-8</v>
      </c>
      <c r="C118" s="2">
        <v>6.0369999999999998E-3</v>
      </c>
      <c r="D118" s="3">
        <v>103000</v>
      </c>
      <c r="E118" s="3">
        <v>138000000000</v>
      </c>
      <c r="F118" s="3">
        <v>122000000000</v>
      </c>
      <c r="G118" s="3">
        <v>3690000000</v>
      </c>
      <c r="H118" s="3">
        <v>12300000000</v>
      </c>
      <c r="I118" s="2">
        <v>3.0179999999999998E-2</v>
      </c>
      <c r="J118" s="3">
        <v>5.6700000000000001E-13</v>
      </c>
    </row>
    <row r="119" spans="1:10" x14ac:dyDescent="0.2">
      <c r="A119" s="3">
        <v>120</v>
      </c>
      <c r="B119" s="3">
        <v>9.6699999999999999E-8</v>
      </c>
      <c r="C119" s="2">
        <v>6.0920000000000002E-3</v>
      </c>
      <c r="D119" s="3">
        <v>97600</v>
      </c>
      <c r="E119" s="3">
        <v>133000000000</v>
      </c>
      <c r="F119" s="3">
        <v>118000000000</v>
      </c>
      <c r="G119" s="2">
        <v>0</v>
      </c>
      <c r="H119" s="3">
        <v>12900000000</v>
      </c>
      <c r="I119" s="2">
        <v>-3.1829999999999997E-2</v>
      </c>
      <c r="J119" s="3">
        <v>6.39E-13</v>
      </c>
    </row>
    <row r="120" spans="1:10" x14ac:dyDescent="0.2">
      <c r="A120" s="3">
        <v>120</v>
      </c>
      <c r="B120" s="3">
        <v>9.7300000000000004E-8</v>
      </c>
      <c r="C120" s="2">
        <v>6.1440000000000002E-3</v>
      </c>
      <c r="D120" s="3">
        <v>109000</v>
      </c>
      <c r="E120" s="3">
        <v>142000000000</v>
      </c>
      <c r="F120" s="3">
        <v>126000000000</v>
      </c>
      <c r="G120" s="2">
        <v>0</v>
      </c>
      <c r="H120" s="3">
        <v>11800000000</v>
      </c>
      <c r="I120" s="2">
        <v>-3.424E-2</v>
      </c>
      <c r="J120" s="3">
        <v>5.1400000000000003E-13</v>
      </c>
    </row>
    <row r="121" spans="1:10" x14ac:dyDescent="0.2">
      <c r="A121" s="3">
        <v>120</v>
      </c>
      <c r="B121" s="3">
        <v>9.76E-8</v>
      </c>
      <c r="C121" s="2">
        <v>6.1939999999999999E-3</v>
      </c>
      <c r="D121" s="3">
        <v>104000</v>
      </c>
      <c r="E121" s="3">
        <v>138000000000</v>
      </c>
      <c r="F121" s="3">
        <v>122000000000</v>
      </c>
      <c r="G121" s="3">
        <v>19100000000</v>
      </c>
      <c r="H121" s="3">
        <v>12400000000</v>
      </c>
      <c r="I121" s="2">
        <v>0.15620000000000001</v>
      </c>
      <c r="J121" s="3">
        <v>5.7599999999999997E-13</v>
      </c>
    </row>
    <row r="122" spans="1:10" x14ac:dyDescent="0.2">
      <c r="A122" s="3">
        <v>120</v>
      </c>
      <c r="B122" s="3">
        <v>9.8099999999999998E-8</v>
      </c>
      <c r="C122" s="2">
        <v>6.2459999999999998E-3</v>
      </c>
      <c r="D122" s="3">
        <v>91400</v>
      </c>
      <c r="E122" s="3">
        <v>125000000000</v>
      </c>
      <c r="F122" s="3">
        <v>112000000000</v>
      </c>
      <c r="G122" s="3">
        <v>13400000000</v>
      </c>
      <c r="H122" s="3">
        <v>13600000000</v>
      </c>
      <c r="I122" s="2">
        <v>0.1195</v>
      </c>
      <c r="J122" s="3">
        <v>7.4800000000000004E-13</v>
      </c>
    </row>
    <row r="123" spans="1:10" x14ac:dyDescent="0.2">
      <c r="A123" s="3">
        <v>120</v>
      </c>
      <c r="B123" s="3">
        <v>9.8900000000000005E-8</v>
      </c>
      <c r="C123" s="2">
        <v>6.2989999999999999E-3</v>
      </c>
      <c r="D123" s="3">
        <v>102000</v>
      </c>
      <c r="E123" s="3">
        <v>135000000000</v>
      </c>
      <c r="F123" s="3">
        <v>120000000000</v>
      </c>
      <c r="G123" s="2">
        <v>0</v>
      </c>
      <c r="H123" s="3">
        <v>12700000000</v>
      </c>
      <c r="I123" s="2">
        <v>-3.1350000000000003E-2</v>
      </c>
      <c r="J123" s="3">
        <v>6.0800000000000003E-13</v>
      </c>
    </row>
    <row r="124" spans="1:10" x14ac:dyDescent="0.2">
      <c r="A124" s="3">
        <v>120</v>
      </c>
      <c r="B124" s="3">
        <v>9.9499999999999998E-8</v>
      </c>
      <c r="C124" s="2">
        <v>6.3509999999999999E-3</v>
      </c>
      <c r="D124" s="3">
        <v>100000</v>
      </c>
      <c r="E124" s="3">
        <v>134000000000</v>
      </c>
      <c r="F124" s="3">
        <v>119000000000</v>
      </c>
      <c r="G124" s="3">
        <v>10600000000</v>
      </c>
      <c r="H124" s="3">
        <v>12900000000</v>
      </c>
      <c r="I124" s="2">
        <v>8.9469999999999994E-2</v>
      </c>
      <c r="J124" s="3">
        <v>6.3200000000000003E-13</v>
      </c>
    </row>
    <row r="125" spans="1:10" x14ac:dyDescent="0.2">
      <c r="A125" s="3">
        <v>120</v>
      </c>
      <c r="B125" s="3">
        <v>9.9999999999999995E-8</v>
      </c>
      <c r="C125" s="2">
        <v>6.4019999999999997E-3</v>
      </c>
      <c r="D125" s="3">
        <v>99800</v>
      </c>
      <c r="E125" s="3">
        <v>133000000000</v>
      </c>
      <c r="F125" s="3">
        <v>119000000000</v>
      </c>
      <c r="G125" s="3">
        <v>5680000000</v>
      </c>
      <c r="H125" s="3">
        <v>13100000000</v>
      </c>
      <c r="I125" s="2">
        <v>4.795E-2</v>
      </c>
      <c r="J125" s="3">
        <v>6.4299999999999999E-13</v>
      </c>
    </row>
    <row r="126" spans="1:10" x14ac:dyDescent="0.2">
      <c r="A126" s="3">
        <v>120</v>
      </c>
      <c r="B126" s="3">
        <v>1.01E-7</v>
      </c>
      <c r="C126" s="2">
        <v>6.4539999999999997E-3</v>
      </c>
      <c r="D126" s="3">
        <v>102000</v>
      </c>
      <c r="E126" s="3">
        <v>134000000000</v>
      </c>
      <c r="F126" s="3">
        <v>119000000000</v>
      </c>
      <c r="G126" s="3">
        <v>607000000</v>
      </c>
      <c r="H126" s="3">
        <v>12700000000</v>
      </c>
      <c r="I126" s="2">
        <v>5.0920000000000002E-3</v>
      </c>
      <c r="J126" s="3">
        <v>6.17E-13</v>
      </c>
    </row>
    <row r="127" spans="1:10" x14ac:dyDescent="0.2">
      <c r="A127" s="3">
        <v>130</v>
      </c>
      <c r="B127" s="3">
        <v>1.02E-7</v>
      </c>
      <c r="C127" s="2">
        <v>6.5059999999999996E-3</v>
      </c>
      <c r="D127" s="3">
        <v>93000</v>
      </c>
      <c r="E127" s="3">
        <v>126000000000</v>
      </c>
      <c r="F127" s="3">
        <v>113000000000</v>
      </c>
      <c r="G127" s="3">
        <v>12100000000</v>
      </c>
      <c r="H127" s="3">
        <v>13900000000</v>
      </c>
      <c r="I127" s="2">
        <v>0.10680000000000001</v>
      </c>
      <c r="J127" s="3">
        <v>7.5200000000000003E-13</v>
      </c>
    </row>
    <row r="128" spans="1:10" x14ac:dyDescent="0.2">
      <c r="A128" s="3">
        <v>130</v>
      </c>
      <c r="B128" s="3">
        <v>1.02E-7</v>
      </c>
      <c r="C128" s="2">
        <v>6.561E-3</v>
      </c>
      <c r="D128" s="3">
        <v>107000</v>
      </c>
      <c r="E128" s="3">
        <v>138000000000</v>
      </c>
      <c r="F128" s="3">
        <v>122000000000</v>
      </c>
      <c r="G128" s="2">
        <v>0</v>
      </c>
      <c r="H128" s="3">
        <v>12300000000</v>
      </c>
      <c r="I128" s="2">
        <v>-0.10050000000000001</v>
      </c>
      <c r="J128" s="3">
        <v>5.7299999999999998E-13</v>
      </c>
    </row>
    <row r="129" spans="1:10" x14ac:dyDescent="0.2">
      <c r="A129" s="3">
        <v>130</v>
      </c>
      <c r="B129" s="3">
        <v>1.03E-7</v>
      </c>
      <c r="C129" s="2">
        <v>6.6119999999999998E-3</v>
      </c>
      <c r="D129" s="3">
        <v>97900</v>
      </c>
      <c r="E129" s="3">
        <v>130000000000</v>
      </c>
      <c r="F129" s="3">
        <v>116000000000</v>
      </c>
      <c r="G129" s="2">
        <v>0</v>
      </c>
      <c r="H129" s="3">
        <v>13500000000</v>
      </c>
      <c r="I129" s="2">
        <v>-1.2699999999999999E-2</v>
      </c>
      <c r="J129" s="3">
        <v>6.8899999999999999E-13</v>
      </c>
    </row>
    <row r="130" spans="1:10" x14ac:dyDescent="0.2">
      <c r="A130" s="3">
        <v>130</v>
      </c>
      <c r="B130" s="3">
        <v>1.03E-7</v>
      </c>
      <c r="C130" s="2">
        <v>6.6639999999999998E-3</v>
      </c>
      <c r="D130" s="3">
        <v>101000</v>
      </c>
      <c r="E130" s="3">
        <v>132000000000</v>
      </c>
      <c r="F130" s="3">
        <v>118000000000</v>
      </c>
      <c r="G130" s="3">
        <v>15400000000</v>
      </c>
      <c r="H130" s="3">
        <v>13100000000</v>
      </c>
      <c r="I130" s="2">
        <v>0.13059999999999999</v>
      </c>
      <c r="J130" s="3">
        <v>6.5300000000000004E-13</v>
      </c>
    </row>
    <row r="131" spans="1:10" x14ac:dyDescent="0.2">
      <c r="A131" s="3">
        <v>130</v>
      </c>
      <c r="B131" s="3">
        <v>1.04E-7</v>
      </c>
      <c r="C131" s="2">
        <v>6.7149999999999996E-3</v>
      </c>
      <c r="D131" s="3">
        <v>96700</v>
      </c>
      <c r="E131" s="3">
        <v>129000000000</v>
      </c>
      <c r="F131" s="3">
        <v>115000000000</v>
      </c>
      <c r="G131" s="3">
        <v>15100000000</v>
      </c>
      <c r="H131" s="3">
        <v>13700000000</v>
      </c>
      <c r="I131" s="2">
        <v>0.13109999999999999</v>
      </c>
      <c r="J131" s="3">
        <v>7.1799999999999997E-13</v>
      </c>
    </row>
    <row r="132" spans="1:10" x14ac:dyDescent="0.2">
      <c r="A132" s="3">
        <v>130</v>
      </c>
      <c r="B132" s="3">
        <v>1.04E-7</v>
      </c>
      <c r="C132" s="2">
        <v>6.7679999999999997E-3</v>
      </c>
      <c r="D132" s="3">
        <v>103000</v>
      </c>
      <c r="E132" s="3">
        <v>133000000000</v>
      </c>
      <c r="F132" s="3">
        <v>118000000000</v>
      </c>
      <c r="G132" s="3">
        <v>12500000000</v>
      </c>
      <c r="H132" s="3">
        <v>13000000000</v>
      </c>
      <c r="I132" s="2">
        <v>0.10539999999999999</v>
      </c>
      <c r="J132" s="3">
        <v>6.4099999999999999E-13</v>
      </c>
    </row>
    <row r="133" spans="1:10" x14ac:dyDescent="0.2">
      <c r="A133" s="3">
        <v>130</v>
      </c>
      <c r="B133" s="3">
        <v>1.05E-7</v>
      </c>
      <c r="C133" s="2">
        <v>6.8199999999999997E-3</v>
      </c>
      <c r="D133" s="3">
        <v>102000</v>
      </c>
      <c r="E133" s="3">
        <v>132000000000</v>
      </c>
      <c r="F133" s="3">
        <v>117000000000</v>
      </c>
      <c r="G133" s="3">
        <v>5870000000</v>
      </c>
      <c r="H133" s="3">
        <v>13100000000</v>
      </c>
      <c r="I133" s="2">
        <v>5.0090000000000003E-2</v>
      </c>
      <c r="J133" s="3">
        <v>6.5900000000000002E-13</v>
      </c>
    </row>
    <row r="134" spans="1:10" x14ac:dyDescent="0.2">
      <c r="A134" s="3">
        <v>130</v>
      </c>
      <c r="B134" s="3">
        <v>1.06E-7</v>
      </c>
      <c r="C134" s="2">
        <v>6.8710000000000004E-3</v>
      </c>
      <c r="D134" s="3">
        <v>96100</v>
      </c>
      <c r="E134" s="3">
        <v>127000000000</v>
      </c>
      <c r="F134" s="3">
        <v>114000000000</v>
      </c>
      <c r="G134" s="2">
        <v>0</v>
      </c>
      <c r="H134" s="3">
        <v>13900000000</v>
      </c>
      <c r="I134" s="2">
        <v>-3.6470000000000002E-2</v>
      </c>
      <c r="J134" s="3">
        <v>7.4399999999999996E-13</v>
      </c>
    </row>
    <row r="135" spans="1:10" x14ac:dyDescent="0.2">
      <c r="A135" s="3">
        <v>130</v>
      </c>
      <c r="B135" s="3">
        <v>1.06E-7</v>
      </c>
      <c r="C135" s="2">
        <v>6.9230000000000003E-3</v>
      </c>
      <c r="D135" s="3">
        <v>105000</v>
      </c>
      <c r="E135" s="3">
        <v>134000000000</v>
      </c>
      <c r="F135" s="3">
        <v>119000000000</v>
      </c>
      <c r="G135" s="3">
        <v>3290000000</v>
      </c>
      <c r="H135" s="3">
        <v>12900000000</v>
      </c>
      <c r="I135" s="2">
        <v>2.7550000000000002E-2</v>
      </c>
      <c r="J135" s="3">
        <v>6.2299999999999997E-13</v>
      </c>
    </row>
    <row r="136" spans="1:10" x14ac:dyDescent="0.2">
      <c r="A136" s="3">
        <v>130</v>
      </c>
      <c r="B136" s="3">
        <v>1.0700000000000001E-7</v>
      </c>
      <c r="C136" s="2">
        <v>6.9740000000000002E-3</v>
      </c>
      <c r="D136" s="3">
        <v>100000</v>
      </c>
      <c r="E136" s="3">
        <v>129000000000</v>
      </c>
      <c r="F136" s="3">
        <v>115000000000</v>
      </c>
      <c r="G136" s="3">
        <v>5370000000</v>
      </c>
      <c r="H136" s="3">
        <v>13400000000</v>
      </c>
      <c r="I136" s="2">
        <v>4.6600000000000003E-2</v>
      </c>
      <c r="J136" s="3">
        <v>6.9699999999999996E-13</v>
      </c>
    </row>
    <row r="137" spans="1:10" x14ac:dyDescent="0.2">
      <c r="A137" s="3">
        <v>140</v>
      </c>
      <c r="B137" s="3">
        <v>1.08E-7</v>
      </c>
      <c r="C137" s="2">
        <v>7.0270000000000003E-3</v>
      </c>
      <c r="D137" s="3">
        <v>104000</v>
      </c>
      <c r="E137" s="3">
        <v>132000000000</v>
      </c>
      <c r="F137" s="3">
        <v>118000000000</v>
      </c>
      <c r="G137" s="3">
        <v>4470000000</v>
      </c>
      <c r="H137" s="3">
        <v>13000000000</v>
      </c>
      <c r="I137" s="2">
        <v>3.7929999999999998E-2</v>
      </c>
      <c r="J137" s="3">
        <v>6.4599999999999997E-13</v>
      </c>
    </row>
    <row r="138" spans="1:10" x14ac:dyDescent="0.2">
      <c r="A138" s="3">
        <v>140</v>
      </c>
      <c r="B138" s="3">
        <v>1.08E-7</v>
      </c>
      <c r="C138" s="2">
        <v>7.0809999999999996E-3</v>
      </c>
      <c r="D138" s="3">
        <v>106000</v>
      </c>
      <c r="E138" s="3">
        <v>134000000000</v>
      </c>
      <c r="F138" s="3">
        <v>119000000000</v>
      </c>
      <c r="G138" s="3">
        <v>3000000000</v>
      </c>
      <c r="H138" s="3">
        <v>12900000000</v>
      </c>
      <c r="I138" s="2">
        <v>2.5219999999999999E-2</v>
      </c>
      <c r="J138" s="3">
        <v>6.2800000000000005E-13</v>
      </c>
    </row>
    <row r="139" spans="1:10" x14ac:dyDescent="0.2">
      <c r="A139" s="3">
        <v>140</v>
      </c>
      <c r="B139" s="3">
        <v>1.09E-7</v>
      </c>
      <c r="C139" s="2">
        <v>7.1320000000000003E-3</v>
      </c>
      <c r="D139" s="3">
        <v>102000</v>
      </c>
      <c r="E139" s="3">
        <v>130000000000</v>
      </c>
      <c r="F139" s="3">
        <v>116000000000</v>
      </c>
      <c r="G139" s="3">
        <v>9330000000</v>
      </c>
      <c r="H139" s="3">
        <v>13300000000</v>
      </c>
      <c r="I139" s="2">
        <v>8.0320000000000003E-2</v>
      </c>
      <c r="J139" s="3">
        <v>6.8200000000000002E-13</v>
      </c>
    </row>
    <row r="140" spans="1:10" x14ac:dyDescent="0.2">
      <c r="A140" s="3">
        <v>140</v>
      </c>
      <c r="B140" s="3">
        <v>1.09E-7</v>
      </c>
      <c r="C140" s="2">
        <v>7.1850000000000004E-3</v>
      </c>
      <c r="D140" s="3">
        <v>101000</v>
      </c>
      <c r="E140" s="3">
        <v>129000000000</v>
      </c>
      <c r="F140" s="3">
        <v>115000000000</v>
      </c>
      <c r="G140" s="3">
        <v>2170000000</v>
      </c>
      <c r="H140" s="3">
        <v>13600000000</v>
      </c>
      <c r="I140" s="2">
        <v>1.8849999999999999E-2</v>
      </c>
      <c r="J140" s="3">
        <v>7.1E-13</v>
      </c>
    </row>
    <row r="141" spans="1:10" x14ac:dyDescent="0.2">
      <c r="A141" s="3">
        <v>140</v>
      </c>
      <c r="B141" s="3">
        <v>1.1000000000000001E-7</v>
      </c>
      <c r="C141" s="2">
        <v>7.2360000000000002E-3</v>
      </c>
      <c r="D141" s="3">
        <v>105000</v>
      </c>
      <c r="E141" s="3">
        <v>132000000000</v>
      </c>
      <c r="F141" s="3">
        <v>117000000000</v>
      </c>
      <c r="G141" s="2">
        <v>0</v>
      </c>
      <c r="H141" s="3">
        <v>13200000000</v>
      </c>
      <c r="I141" s="2">
        <v>-2.802E-2</v>
      </c>
      <c r="J141" s="3">
        <v>6.6000000000000001E-13</v>
      </c>
    </row>
    <row r="142" spans="1:10" x14ac:dyDescent="0.2">
      <c r="A142" s="3">
        <v>140</v>
      </c>
      <c r="B142" s="3">
        <v>1.1000000000000001E-7</v>
      </c>
      <c r="C142" s="2">
        <v>7.2880000000000002E-3</v>
      </c>
      <c r="D142" s="3">
        <v>105000</v>
      </c>
      <c r="E142" s="3">
        <v>132000000000</v>
      </c>
      <c r="F142" s="3">
        <v>118000000000</v>
      </c>
      <c r="G142" s="3">
        <v>6800000000</v>
      </c>
      <c r="H142" s="3">
        <v>13200000000</v>
      </c>
      <c r="I142" s="2">
        <v>5.7799999999999997E-2</v>
      </c>
      <c r="J142" s="3">
        <v>6.5800000000000002E-13</v>
      </c>
    </row>
    <row r="143" spans="1:10" x14ac:dyDescent="0.2">
      <c r="A143" s="3">
        <v>140</v>
      </c>
      <c r="B143" s="3">
        <v>1.11E-7</v>
      </c>
      <c r="C143" s="2">
        <v>7.3419999999999996E-3</v>
      </c>
      <c r="D143" s="3">
        <v>103000</v>
      </c>
      <c r="E143" s="3">
        <v>130000000000</v>
      </c>
      <c r="F143" s="3">
        <v>116000000000</v>
      </c>
      <c r="G143" s="3">
        <v>1710000000</v>
      </c>
      <c r="H143" s="3">
        <v>13500000000</v>
      </c>
      <c r="I143" s="2">
        <v>1.4710000000000001E-2</v>
      </c>
      <c r="J143" s="3">
        <v>6.87E-13</v>
      </c>
    </row>
    <row r="144" spans="1:10" x14ac:dyDescent="0.2">
      <c r="A144" s="3">
        <v>140</v>
      </c>
      <c r="B144" s="3">
        <v>1.12E-7</v>
      </c>
      <c r="C144" s="2">
        <v>7.3920000000000001E-3</v>
      </c>
      <c r="D144" s="3">
        <v>109000</v>
      </c>
      <c r="E144" s="3">
        <v>135000000000</v>
      </c>
      <c r="F144" s="3">
        <v>120000000000</v>
      </c>
      <c r="G144" s="3">
        <v>5450000000</v>
      </c>
      <c r="H144" s="3">
        <v>13000000000</v>
      </c>
      <c r="I144" s="2">
        <v>4.5330000000000002E-2</v>
      </c>
      <c r="J144" s="3">
        <v>6.2199999999999997E-13</v>
      </c>
    </row>
    <row r="145" spans="1:10" x14ac:dyDescent="0.2">
      <c r="A145" s="3">
        <v>140</v>
      </c>
      <c r="B145" s="3">
        <v>1.1300000000000001E-7</v>
      </c>
      <c r="C145" s="2">
        <v>7.443E-3</v>
      </c>
      <c r="D145" s="3">
        <v>98300</v>
      </c>
      <c r="E145" s="3">
        <v>125000000000</v>
      </c>
      <c r="F145" s="3">
        <v>112000000000</v>
      </c>
      <c r="G145" s="3">
        <v>928000000</v>
      </c>
      <c r="H145" s="3">
        <v>14000000000</v>
      </c>
      <c r="I145" s="2">
        <v>8.2810000000000002E-3</v>
      </c>
      <c r="J145" s="3">
        <v>7.7100000000000005E-13</v>
      </c>
    </row>
    <row r="146" spans="1:10" x14ac:dyDescent="0.2">
      <c r="A146" s="3">
        <v>140</v>
      </c>
      <c r="B146" s="3">
        <v>1.1300000000000001E-7</v>
      </c>
      <c r="C146" s="2">
        <v>7.4949999999999999E-3</v>
      </c>
      <c r="D146" s="3">
        <v>108000</v>
      </c>
      <c r="E146" s="3">
        <v>134000000000</v>
      </c>
      <c r="F146" s="3">
        <v>119000000000</v>
      </c>
      <c r="G146" s="3">
        <v>394000000</v>
      </c>
      <c r="H146" s="3">
        <v>13200000000</v>
      </c>
      <c r="I146" s="2">
        <v>3.3040000000000001E-3</v>
      </c>
      <c r="J146" s="3">
        <v>6.4199999999999999E-13</v>
      </c>
    </row>
    <row r="147" spans="1:10" x14ac:dyDescent="0.2">
      <c r="A147" s="3">
        <v>150</v>
      </c>
      <c r="B147" s="3">
        <v>1.1300000000000001E-7</v>
      </c>
      <c r="C147" s="2">
        <v>7.5500000000000003E-3</v>
      </c>
      <c r="D147" s="3">
        <v>106000</v>
      </c>
      <c r="E147" s="3">
        <v>132000000000</v>
      </c>
      <c r="F147" s="3">
        <v>118000000000</v>
      </c>
      <c r="G147" s="2">
        <v>0</v>
      </c>
      <c r="H147" s="3">
        <v>13400000000</v>
      </c>
      <c r="I147" s="2">
        <v>-2.7400000000000001E-2</v>
      </c>
      <c r="J147" s="3">
        <v>6.6599999999999999E-13</v>
      </c>
    </row>
    <row r="148" spans="1:10" x14ac:dyDescent="0.2">
      <c r="A148" s="3">
        <v>150</v>
      </c>
      <c r="B148" s="3">
        <v>1.14E-7</v>
      </c>
      <c r="C148" s="2">
        <v>7.6010000000000001E-3</v>
      </c>
      <c r="D148" s="3">
        <v>112000</v>
      </c>
      <c r="E148" s="3">
        <v>138000000000</v>
      </c>
      <c r="F148" s="3">
        <v>122000000000</v>
      </c>
      <c r="G148" s="3">
        <v>12700000000</v>
      </c>
      <c r="H148" s="3">
        <v>13200000000</v>
      </c>
      <c r="I148" s="2">
        <v>0.104</v>
      </c>
      <c r="J148" s="3">
        <v>6.1100000000000002E-13</v>
      </c>
    </row>
    <row r="149" spans="1:10" x14ac:dyDescent="0.2">
      <c r="A149" s="3">
        <v>150</v>
      </c>
      <c r="B149" s="3">
        <v>1.15E-7</v>
      </c>
      <c r="C149" s="2">
        <v>7.6540000000000002E-3</v>
      </c>
      <c r="D149" s="3">
        <v>106000</v>
      </c>
      <c r="E149" s="3">
        <v>132000000000</v>
      </c>
      <c r="F149" s="3">
        <v>117000000000</v>
      </c>
      <c r="G149" s="3">
        <v>8500000000</v>
      </c>
      <c r="H149" s="3">
        <v>13500000000</v>
      </c>
      <c r="I149" s="2">
        <v>7.2480000000000003E-2</v>
      </c>
      <c r="J149" s="3">
        <v>6.8000000000000003E-13</v>
      </c>
    </row>
    <row r="150" spans="1:10" x14ac:dyDescent="0.2">
      <c r="A150" s="3">
        <v>150</v>
      </c>
      <c r="B150" s="3">
        <v>1.15E-7</v>
      </c>
      <c r="C150" s="2">
        <v>7.7060000000000002E-3</v>
      </c>
      <c r="D150" s="3">
        <v>117000</v>
      </c>
      <c r="E150" s="3">
        <v>144000000000</v>
      </c>
      <c r="F150" s="3">
        <v>127000000000</v>
      </c>
      <c r="G150" s="3">
        <v>1650000000</v>
      </c>
      <c r="H150" s="3">
        <v>13000000000</v>
      </c>
      <c r="I150" s="2">
        <v>1.304E-2</v>
      </c>
      <c r="J150" s="3">
        <v>5.6100000000000003E-13</v>
      </c>
    </row>
    <row r="151" spans="1:10" x14ac:dyDescent="0.2">
      <c r="A151" s="3">
        <v>150</v>
      </c>
      <c r="B151" s="3">
        <v>1.1600000000000001E-7</v>
      </c>
      <c r="C151" s="2">
        <v>7.757E-3</v>
      </c>
      <c r="D151" s="3">
        <v>110000</v>
      </c>
      <c r="E151" s="3">
        <v>136000000000</v>
      </c>
      <c r="F151" s="3">
        <v>121000000000</v>
      </c>
      <c r="G151" s="2">
        <v>0</v>
      </c>
      <c r="H151" s="3">
        <v>13400000000</v>
      </c>
      <c r="I151" s="2">
        <v>-8.2059999999999994E-2</v>
      </c>
      <c r="J151" s="3">
        <v>6.3700000000000001E-13</v>
      </c>
    </row>
    <row r="152" spans="1:10" x14ac:dyDescent="0.2">
      <c r="A152" s="3">
        <v>150</v>
      </c>
      <c r="B152" s="3">
        <v>1.1600000000000001E-7</v>
      </c>
      <c r="C152" s="2">
        <v>7.809E-3</v>
      </c>
      <c r="D152" s="3">
        <v>113000</v>
      </c>
      <c r="E152" s="3">
        <v>138000000000</v>
      </c>
      <c r="F152" s="3">
        <v>122000000000</v>
      </c>
      <c r="G152" s="2">
        <v>0</v>
      </c>
      <c r="H152" s="3">
        <v>13400000000</v>
      </c>
      <c r="I152" s="2">
        <v>-1.1140000000000001E-2</v>
      </c>
      <c r="J152" s="3">
        <v>6.17E-13</v>
      </c>
    </row>
    <row r="153" spans="1:10" x14ac:dyDescent="0.2">
      <c r="A153" s="3">
        <v>150</v>
      </c>
      <c r="B153" s="3">
        <v>1.17E-7</v>
      </c>
      <c r="C153" s="2">
        <v>7.8600000000000007E-3</v>
      </c>
      <c r="D153" s="3">
        <v>111000</v>
      </c>
      <c r="E153" s="3">
        <v>137000000000</v>
      </c>
      <c r="F153" s="3">
        <v>121000000000</v>
      </c>
      <c r="G153" s="3">
        <v>5390000000</v>
      </c>
      <c r="H153" s="3">
        <v>13500000000</v>
      </c>
      <c r="I153" s="2">
        <v>4.4479999999999999E-2</v>
      </c>
      <c r="J153" s="3">
        <v>6.3400000000000002E-13</v>
      </c>
    </row>
    <row r="154" spans="1:10" x14ac:dyDescent="0.2">
      <c r="A154" s="3">
        <v>150</v>
      </c>
      <c r="B154" s="3">
        <v>1.17E-7</v>
      </c>
      <c r="C154" s="2">
        <v>7.9129999999999999E-3</v>
      </c>
      <c r="D154" s="3">
        <v>117000</v>
      </c>
      <c r="E154" s="3">
        <v>143000000000</v>
      </c>
      <c r="F154" s="3">
        <v>126000000000</v>
      </c>
      <c r="G154" s="2">
        <v>0</v>
      </c>
      <c r="H154" s="3">
        <v>13300000000</v>
      </c>
      <c r="I154" s="2">
        <v>-7.7660000000000003E-3</v>
      </c>
      <c r="J154" s="3">
        <v>5.7799999999999996E-13</v>
      </c>
    </row>
    <row r="155" spans="1:10" x14ac:dyDescent="0.2">
      <c r="A155" s="3">
        <v>150</v>
      </c>
      <c r="B155" s="3">
        <v>1.18E-7</v>
      </c>
      <c r="C155" s="2">
        <v>7.9649999999999999E-3</v>
      </c>
      <c r="D155" s="3">
        <v>109000</v>
      </c>
      <c r="E155" s="3">
        <v>134000000000</v>
      </c>
      <c r="F155" s="3">
        <v>119000000000</v>
      </c>
      <c r="G155" s="2">
        <v>0</v>
      </c>
      <c r="H155" s="3">
        <v>13800000000</v>
      </c>
      <c r="I155" s="2">
        <v>-2.751E-2</v>
      </c>
      <c r="J155" s="3">
        <v>6.6799999999999998E-13</v>
      </c>
    </row>
    <row r="156" spans="1:10" x14ac:dyDescent="0.2">
      <c r="A156" s="3">
        <v>150</v>
      </c>
      <c r="B156" s="3">
        <v>1.18E-7</v>
      </c>
      <c r="C156" s="2">
        <v>8.0149999999999996E-3</v>
      </c>
      <c r="D156" s="3">
        <v>104000</v>
      </c>
      <c r="E156" s="3">
        <v>129000000000</v>
      </c>
      <c r="F156" s="3">
        <v>115000000000</v>
      </c>
      <c r="G156" s="3">
        <v>370000000</v>
      </c>
      <c r="H156" s="3">
        <v>14200000000</v>
      </c>
      <c r="I156" s="2">
        <v>3.215E-3</v>
      </c>
      <c r="J156" s="3">
        <v>7.3699999999999999E-13</v>
      </c>
    </row>
    <row r="157" spans="1:10" x14ac:dyDescent="0.2">
      <c r="A157" s="3">
        <v>160</v>
      </c>
      <c r="B157" s="3">
        <v>1.1899999999999999E-7</v>
      </c>
      <c r="C157" s="2">
        <v>8.0700000000000008E-3</v>
      </c>
      <c r="D157" s="3">
        <v>102000</v>
      </c>
      <c r="E157" s="3">
        <v>126000000000</v>
      </c>
      <c r="F157" s="3">
        <v>113000000000</v>
      </c>
      <c r="G157" s="3">
        <v>12000000000</v>
      </c>
      <c r="H157" s="3">
        <v>14500000000</v>
      </c>
      <c r="I157" s="2">
        <v>0.10589999999999999</v>
      </c>
      <c r="J157" s="3">
        <v>7.8000000000000001E-13</v>
      </c>
    </row>
    <row r="158" spans="1:10" x14ac:dyDescent="0.2">
      <c r="A158" s="3">
        <v>160</v>
      </c>
      <c r="B158" s="3">
        <v>1.1999999999999999E-7</v>
      </c>
      <c r="C158" s="2">
        <v>8.1209999999999997E-3</v>
      </c>
      <c r="D158" s="3">
        <v>112000</v>
      </c>
      <c r="E158" s="3">
        <v>137000000000</v>
      </c>
      <c r="F158" s="3">
        <v>122000000000</v>
      </c>
      <c r="G158" s="2">
        <v>0</v>
      </c>
      <c r="H158" s="3">
        <v>13800000000</v>
      </c>
      <c r="I158" s="2">
        <v>-9.3759999999999996E-2</v>
      </c>
      <c r="J158" s="3">
        <v>6.4499999999999998E-13</v>
      </c>
    </row>
    <row r="159" spans="1:10" x14ac:dyDescent="0.2">
      <c r="A159" s="3">
        <v>160</v>
      </c>
      <c r="B159" s="3">
        <v>1.1999999999999999E-7</v>
      </c>
      <c r="C159" s="2">
        <v>8.1740000000000007E-3</v>
      </c>
      <c r="D159" s="3">
        <v>101000</v>
      </c>
      <c r="E159" s="3">
        <v>125000000000</v>
      </c>
      <c r="F159" s="3">
        <v>112000000000</v>
      </c>
      <c r="G159" s="3">
        <v>5850000000</v>
      </c>
      <c r="H159" s="3">
        <v>14600000000</v>
      </c>
      <c r="I159" s="2">
        <v>5.2269999999999997E-2</v>
      </c>
      <c r="J159" s="3">
        <v>8.06E-13</v>
      </c>
    </row>
    <row r="160" spans="1:10" x14ac:dyDescent="0.2">
      <c r="A160" s="3">
        <v>160</v>
      </c>
      <c r="B160" s="3">
        <v>1.2100000000000001E-7</v>
      </c>
      <c r="C160" s="2">
        <v>8.2260000000000007E-3</v>
      </c>
      <c r="D160" s="3">
        <v>115000</v>
      </c>
      <c r="E160" s="3">
        <v>140000000000</v>
      </c>
      <c r="F160" s="3">
        <v>124000000000</v>
      </c>
      <c r="G160" s="2">
        <v>0</v>
      </c>
      <c r="H160" s="3">
        <v>13800000000</v>
      </c>
      <c r="I160" s="2">
        <v>-0.12089999999999999</v>
      </c>
      <c r="J160" s="3">
        <v>6.1999999999999998E-13</v>
      </c>
    </row>
    <row r="161" spans="1:10" x14ac:dyDescent="0.2">
      <c r="A161" s="3">
        <v>160</v>
      </c>
      <c r="B161" s="3">
        <v>1.2100000000000001E-7</v>
      </c>
      <c r="C161" s="2">
        <v>8.2780000000000006E-3</v>
      </c>
      <c r="D161" s="3">
        <v>94600</v>
      </c>
      <c r="E161" s="3">
        <v>121000000000</v>
      </c>
      <c r="F161" s="3">
        <v>108000000000</v>
      </c>
      <c r="G161" s="3">
        <v>2910000000</v>
      </c>
      <c r="H161" s="3">
        <v>15700000000</v>
      </c>
      <c r="I161" s="2">
        <v>2.6880000000000001E-2</v>
      </c>
      <c r="J161" s="3">
        <v>9.239999999999999E-13</v>
      </c>
    </row>
    <row r="162" spans="1:10" x14ac:dyDescent="0.2">
      <c r="A162" s="3">
        <v>160</v>
      </c>
      <c r="B162" s="3">
        <v>1.2200000000000001E-7</v>
      </c>
      <c r="C162" s="2">
        <v>8.3289999999999996E-3</v>
      </c>
      <c r="D162" s="3">
        <v>107000</v>
      </c>
      <c r="E162" s="3">
        <v>131000000000</v>
      </c>
      <c r="F162" s="3">
        <v>117000000000</v>
      </c>
      <c r="G162" s="3">
        <v>9700000000</v>
      </c>
      <c r="H162" s="3">
        <v>14400000000</v>
      </c>
      <c r="I162" s="2">
        <v>8.3110000000000003E-2</v>
      </c>
      <c r="J162" s="3">
        <v>7.2900000000000002E-13</v>
      </c>
    </row>
    <row r="163" spans="1:10" x14ac:dyDescent="0.2">
      <c r="A163" s="3">
        <v>160</v>
      </c>
      <c r="B163" s="3">
        <v>1.23E-7</v>
      </c>
      <c r="C163" s="2">
        <v>8.3800000000000003E-3</v>
      </c>
      <c r="D163" s="3">
        <v>103000</v>
      </c>
      <c r="E163" s="3">
        <v>127000000000</v>
      </c>
      <c r="F163" s="3">
        <v>113000000000</v>
      </c>
      <c r="G163" s="2">
        <v>0</v>
      </c>
      <c r="H163" s="3">
        <v>14700000000</v>
      </c>
      <c r="I163" s="2">
        <v>-1.2699999999999999E-2</v>
      </c>
      <c r="J163" s="3">
        <v>7.8999999999999997E-13</v>
      </c>
    </row>
    <row r="164" spans="1:10" x14ac:dyDescent="0.2">
      <c r="A164" s="3">
        <v>160</v>
      </c>
      <c r="B164" s="3">
        <v>1.23E-7</v>
      </c>
      <c r="C164" s="2">
        <v>8.4329999999999995E-3</v>
      </c>
      <c r="D164" s="3">
        <v>102000</v>
      </c>
      <c r="E164" s="3">
        <v>126000000000</v>
      </c>
      <c r="F164" s="3">
        <v>113000000000</v>
      </c>
      <c r="G164" s="3">
        <v>3770000000</v>
      </c>
      <c r="H164" s="3">
        <v>14900000000</v>
      </c>
      <c r="I164" s="2">
        <v>3.3550000000000003E-2</v>
      </c>
      <c r="J164" s="3">
        <v>8.1199999999999997E-13</v>
      </c>
    </row>
    <row r="165" spans="1:10" x14ac:dyDescent="0.2">
      <c r="A165" s="3">
        <v>160</v>
      </c>
      <c r="B165" s="3">
        <v>1.23E-7</v>
      </c>
      <c r="C165" s="2">
        <v>8.4849999999999995E-3</v>
      </c>
      <c r="D165" s="3">
        <v>105000</v>
      </c>
      <c r="E165" s="3">
        <v>129000000000</v>
      </c>
      <c r="F165" s="3">
        <v>115000000000</v>
      </c>
      <c r="G165" s="3">
        <v>15300000000</v>
      </c>
      <c r="H165" s="3">
        <v>14700000000</v>
      </c>
      <c r="I165" s="2">
        <v>0.13320000000000001</v>
      </c>
      <c r="J165" s="3">
        <v>7.7200000000000004E-13</v>
      </c>
    </row>
    <row r="166" spans="1:10" x14ac:dyDescent="0.2">
      <c r="A166" s="3">
        <v>160</v>
      </c>
      <c r="B166" s="3">
        <v>1.24E-7</v>
      </c>
      <c r="C166" s="2">
        <v>8.5369999999999994E-3</v>
      </c>
      <c r="D166" s="3">
        <v>101000</v>
      </c>
      <c r="E166" s="3">
        <v>125000000000</v>
      </c>
      <c r="F166" s="3">
        <v>112000000000</v>
      </c>
      <c r="G166" s="2">
        <v>0</v>
      </c>
      <c r="H166" s="3">
        <v>15100000000</v>
      </c>
      <c r="I166" s="2">
        <v>-1.4370000000000001E-2</v>
      </c>
      <c r="J166" s="3">
        <v>8.3799999999999996E-13</v>
      </c>
    </row>
    <row r="167" spans="1:10" x14ac:dyDescent="0.2">
      <c r="A167" s="3">
        <v>170</v>
      </c>
      <c r="B167" s="3">
        <v>1.2499999999999999E-7</v>
      </c>
      <c r="C167" s="2">
        <v>8.5920000000000007E-3</v>
      </c>
      <c r="D167" s="3">
        <v>107000</v>
      </c>
      <c r="E167" s="3">
        <v>131000000000</v>
      </c>
      <c r="F167" s="3">
        <v>117000000000</v>
      </c>
      <c r="G167" s="3">
        <v>15700000000</v>
      </c>
      <c r="H167" s="3">
        <v>14700000000</v>
      </c>
      <c r="I167" s="2">
        <v>0.13500000000000001</v>
      </c>
      <c r="J167" s="3">
        <v>7.4700000000000005E-13</v>
      </c>
    </row>
    <row r="168" spans="1:10" x14ac:dyDescent="0.2">
      <c r="A168" s="3">
        <v>170</v>
      </c>
      <c r="B168" s="3">
        <v>1.2499999999999999E-7</v>
      </c>
      <c r="C168" s="2">
        <v>8.6490000000000004E-3</v>
      </c>
      <c r="D168" s="3">
        <v>103000</v>
      </c>
      <c r="E168" s="3">
        <v>126000000000</v>
      </c>
      <c r="F168" s="3">
        <v>113000000000</v>
      </c>
      <c r="G168" s="2">
        <v>0</v>
      </c>
      <c r="H168" s="3">
        <v>15100000000</v>
      </c>
      <c r="I168" s="2">
        <v>-6.5689999999999998E-2</v>
      </c>
      <c r="J168" s="3">
        <v>8.1900000000000004E-13</v>
      </c>
    </row>
    <row r="169" spans="1:10" x14ac:dyDescent="0.2">
      <c r="A169" s="3">
        <v>170</v>
      </c>
      <c r="B169" s="3">
        <v>1.2599999999999999E-7</v>
      </c>
      <c r="C169" s="2">
        <v>8.6979999999999991E-3</v>
      </c>
      <c r="D169" s="3">
        <v>105000</v>
      </c>
      <c r="E169" s="3">
        <v>128000000000</v>
      </c>
      <c r="F169" s="3">
        <v>114000000000</v>
      </c>
      <c r="G169" s="3">
        <v>731000000</v>
      </c>
      <c r="H169" s="3">
        <v>15000000000</v>
      </c>
      <c r="I169" s="2">
        <v>6.3930000000000002E-3</v>
      </c>
      <c r="J169" s="3">
        <v>7.9299999999999995E-13</v>
      </c>
    </row>
    <row r="170" spans="1:10" x14ac:dyDescent="0.2">
      <c r="A170" s="3">
        <v>170</v>
      </c>
      <c r="B170" s="3">
        <v>1.2599999999999999E-7</v>
      </c>
      <c r="C170" s="2">
        <v>8.7480000000000006E-3</v>
      </c>
      <c r="D170" s="3">
        <v>109000</v>
      </c>
      <c r="E170" s="3">
        <v>132000000000</v>
      </c>
      <c r="F170" s="3">
        <v>118000000000</v>
      </c>
      <c r="G170" s="2">
        <v>0</v>
      </c>
      <c r="H170" s="3">
        <v>14800000000</v>
      </c>
      <c r="I170" s="2">
        <v>-1.9430000000000001E-3</v>
      </c>
      <c r="J170" s="3">
        <v>7.3699999999999999E-13</v>
      </c>
    </row>
    <row r="171" spans="1:10" x14ac:dyDescent="0.2">
      <c r="A171" s="3">
        <v>170</v>
      </c>
      <c r="B171" s="3">
        <v>1.2700000000000001E-7</v>
      </c>
      <c r="C171" s="2">
        <v>8.8000000000000005E-3</v>
      </c>
      <c r="D171" s="3">
        <v>102000</v>
      </c>
      <c r="E171" s="3">
        <v>125000000000</v>
      </c>
      <c r="F171" s="3">
        <v>112000000000</v>
      </c>
      <c r="G171" s="2">
        <v>0</v>
      </c>
      <c r="H171" s="3">
        <v>15400000000</v>
      </c>
      <c r="I171" s="2">
        <v>-5.3889999999999997E-3</v>
      </c>
      <c r="J171" s="3">
        <v>8.4700000000000003E-13</v>
      </c>
    </row>
    <row r="172" spans="1:10" x14ac:dyDescent="0.2">
      <c r="A172" s="3">
        <v>170</v>
      </c>
      <c r="B172" s="3">
        <v>1.2800000000000001E-7</v>
      </c>
      <c r="C172" s="2">
        <v>8.8500000000000002E-3</v>
      </c>
      <c r="D172" s="3">
        <v>102000</v>
      </c>
      <c r="E172" s="3">
        <v>125000000000</v>
      </c>
      <c r="F172" s="3">
        <v>112000000000</v>
      </c>
      <c r="G172" s="2">
        <v>0</v>
      </c>
      <c r="H172" s="3">
        <v>15400000000</v>
      </c>
      <c r="I172" s="2">
        <v>-3.3160000000000002E-2</v>
      </c>
      <c r="J172" s="3">
        <v>8.4700000000000003E-13</v>
      </c>
    </row>
    <row r="173" spans="1:10" x14ac:dyDescent="0.2">
      <c r="A173" s="3">
        <v>170</v>
      </c>
      <c r="B173" s="3">
        <v>1.2800000000000001E-7</v>
      </c>
      <c r="C173" s="2">
        <v>8.9020000000000002E-3</v>
      </c>
      <c r="D173" s="3">
        <v>106000</v>
      </c>
      <c r="E173" s="3">
        <v>128000000000</v>
      </c>
      <c r="F173" s="3">
        <v>115000000000</v>
      </c>
      <c r="G173" s="3">
        <v>2400000000</v>
      </c>
      <c r="H173" s="3">
        <v>15200000000</v>
      </c>
      <c r="I173" s="2">
        <v>2.0920000000000001E-2</v>
      </c>
      <c r="J173" s="3">
        <v>7.9500000000000005E-13</v>
      </c>
    </row>
    <row r="174" spans="1:10" x14ac:dyDescent="0.2">
      <c r="A174" s="3">
        <v>170</v>
      </c>
      <c r="B174" s="3">
        <v>1.2800000000000001E-7</v>
      </c>
      <c r="C174" s="2">
        <v>8.9540000000000002E-3</v>
      </c>
      <c r="D174" s="3">
        <v>105000</v>
      </c>
      <c r="E174" s="3">
        <v>128000000000</v>
      </c>
      <c r="F174" s="3">
        <v>114000000000</v>
      </c>
      <c r="G174" s="2">
        <v>0</v>
      </c>
      <c r="H174" s="3">
        <v>15300000000</v>
      </c>
      <c r="I174" s="2">
        <v>-3.3340000000000002E-2</v>
      </c>
      <c r="J174" s="3">
        <v>8.1199999999999997E-13</v>
      </c>
    </row>
    <row r="175" spans="1:10" x14ac:dyDescent="0.2">
      <c r="A175" s="3">
        <v>170</v>
      </c>
      <c r="B175" s="3">
        <v>1.29E-7</v>
      </c>
      <c r="C175" s="2">
        <v>9.0050000000000009E-3</v>
      </c>
      <c r="D175" s="3">
        <v>104000</v>
      </c>
      <c r="E175" s="3">
        <v>126000000000</v>
      </c>
      <c r="F175" s="3">
        <v>113000000000</v>
      </c>
      <c r="G175" s="3">
        <v>4450000000</v>
      </c>
      <c r="H175" s="3">
        <v>15500000000</v>
      </c>
      <c r="I175" s="2">
        <v>3.9370000000000002E-2</v>
      </c>
      <c r="J175" s="3">
        <v>8.3899999999999996E-13</v>
      </c>
    </row>
    <row r="176" spans="1:10" x14ac:dyDescent="0.2">
      <c r="A176" s="3">
        <v>170</v>
      </c>
      <c r="B176" s="3">
        <v>1.3E-7</v>
      </c>
      <c r="C176" s="2">
        <v>9.0589999999999993E-3</v>
      </c>
      <c r="D176" s="3">
        <v>127000</v>
      </c>
      <c r="E176" s="3">
        <v>149000000000</v>
      </c>
      <c r="F176" s="3">
        <v>131000000000</v>
      </c>
      <c r="G176" s="2">
        <v>0</v>
      </c>
      <c r="H176" s="3">
        <v>14000000000</v>
      </c>
      <c r="I176" s="2">
        <v>-0.12</v>
      </c>
      <c r="J176" s="3">
        <v>5.6300000000000002E-13</v>
      </c>
    </row>
    <row r="177" spans="1:10" x14ac:dyDescent="0.2">
      <c r="A177" s="3">
        <v>180</v>
      </c>
      <c r="B177" s="3">
        <v>1.3E-7</v>
      </c>
      <c r="C177" s="2">
        <v>9.1090000000000008E-3</v>
      </c>
      <c r="D177" s="3">
        <v>111000</v>
      </c>
      <c r="E177" s="3">
        <v>133000000000</v>
      </c>
      <c r="F177" s="3">
        <v>118000000000</v>
      </c>
      <c r="G177" s="3">
        <v>5910000000</v>
      </c>
      <c r="H177" s="3">
        <v>15100000000</v>
      </c>
      <c r="I177" s="2">
        <v>5.0009999999999999E-2</v>
      </c>
      <c r="J177" s="3">
        <v>7.4499999999999996E-13</v>
      </c>
    </row>
    <row r="178" spans="1:10" x14ac:dyDescent="0.2">
      <c r="A178" s="3">
        <v>180</v>
      </c>
      <c r="B178" s="3">
        <v>1.31E-7</v>
      </c>
      <c r="C178" s="2">
        <v>9.1640000000000003E-3</v>
      </c>
      <c r="D178" s="3">
        <v>113000</v>
      </c>
      <c r="E178" s="3">
        <v>136000000000</v>
      </c>
      <c r="F178" s="3">
        <v>120000000000</v>
      </c>
      <c r="G178" s="2">
        <v>0</v>
      </c>
      <c r="H178" s="3">
        <v>15000000000</v>
      </c>
      <c r="I178" s="2">
        <v>-5.2269999999999997E-2</v>
      </c>
      <c r="J178" s="3">
        <v>7.1499999999999998E-13</v>
      </c>
    </row>
    <row r="179" spans="1:10" x14ac:dyDescent="0.2">
      <c r="A179" s="3">
        <v>180</v>
      </c>
      <c r="B179" s="3">
        <v>1.31E-7</v>
      </c>
      <c r="C179" s="2">
        <v>9.2149999999999992E-3</v>
      </c>
      <c r="D179" s="3">
        <v>109000</v>
      </c>
      <c r="E179" s="3">
        <v>131000000000</v>
      </c>
      <c r="F179" s="3">
        <v>117000000000</v>
      </c>
      <c r="G179" s="3">
        <v>1050000000</v>
      </c>
      <c r="H179" s="3">
        <v>15400000000</v>
      </c>
      <c r="I179" s="2">
        <v>8.9829999999999997E-3</v>
      </c>
      <c r="J179" s="3">
        <v>7.8000000000000001E-13</v>
      </c>
    </row>
    <row r="180" spans="1:10" x14ac:dyDescent="0.2">
      <c r="A180" s="3">
        <v>180</v>
      </c>
      <c r="B180" s="3">
        <v>1.3199999999999999E-7</v>
      </c>
      <c r="C180" s="2">
        <v>9.2659999999999999E-3</v>
      </c>
      <c r="D180" s="3">
        <v>118000</v>
      </c>
      <c r="E180" s="3">
        <v>140000000000</v>
      </c>
      <c r="F180" s="3">
        <v>124000000000</v>
      </c>
      <c r="G180" s="2">
        <v>0</v>
      </c>
      <c r="H180" s="3">
        <v>14800000000</v>
      </c>
      <c r="I180" s="2">
        <v>-2.6640000000000001E-3</v>
      </c>
      <c r="J180" s="3">
        <v>6.64E-13</v>
      </c>
    </row>
    <row r="181" spans="1:10" x14ac:dyDescent="0.2">
      <c r="A181" s="3">
        <v>180</v>
      </c>
      <c r="B181" s="3">
        <v>1.3300000000000001E-7</v>
      </c>
      <c r="C181" s="2">
        <v>9.3189999999999992E-3</v>
      </c>
      <c r="D181" s="3">
        <v>112000</v>
      </c>
      <c r="E181" s="3">
        <v>134000000000</v>
      </c>
      <c r="F181" s="3">
        <v>119000000000</v>
      </c>
      <c r="G181" s="3">
        <v>8200000000</v>
      </c>
      <c r="H181" s="3">
        <v>15200000000</v>
      </c>
      <c r="I181" s="2">
        <v>6.8870000000000001E-2</v>
      </c>
      <c r="J181" s="3">
        <v>7.3899999999999998E-13</v>
      </c>
    </row>
    <row r="182" spans="1:10" x14ac:dyDescent="0.2">
      <c r="A182" s="3">
        <v>180</v>
      </c>
      <c r="B182" s="3">
        <v>1.3300000000000001E-7</v>
      </c>
      <c r="C182" s="2">
        <v>9.3710000000000009E-3</v>
      </c>
      <c r="D182" s="3">
        <v>124000</v>
      </c>
      <c r="E182" s="3">
        <v>145000000000</v>
      </c>
      <c r="F182" s="3">
        <v>128000000000</v>
      </c>
      <c r="G182" s="3">
        <v>17800000000</v>
      </c>
      <c r="H182" s="3">
        <v>14500000000</v>
      </c>
      <c r="I182" s="2">
        <v>0.1394</v>
      </c>
      <c r="J182" s="3">
        <v>6.1200000000000002E-13</v>
      </c>
    </row>
    <row r="183" spans="1:10" x14ac:dyDescent="0.2">
      <c r="A183" s="3">
        <v>180</v>
      </c>
      <c r="B183" s="3">
        <v>1.3400000000000001E-7</v>
      </c>
      <c r="C183" s="2">
        <v>9.4230000000000008E-3</v>
      </c>
      <c r="D183" s="3">
        <v>125000</v>
      </c>
      <c r="E183" s="3">
        <v>146000000000</v>
      </c>
      <c r="F183" s="3">
        <v>129000000000</v>
      </c>
      <c r="G183" s="3">
        <v>4400000000</v>
      </c>
      <c r="H183" s="3">
        <v>14400000000</v>
      </c>
      <c r="I183" s="2">
        <v>3.4270000000000002E-2</v>
      </c>
      <c r="J183" s="3">
        <v>6.0099999999999996E-13</v>
      </c>
    </row>
    <row r="184" spans="1:10" x14ac:dyDescent="0.2">
      <c r="A184" s="3">
        <v>180</v>
      </c>
      <c r="B184" s="3">
        <v>1.3400000000000001E-7</v>
      </c>
      <c r="C184" s="2">
        <v>9.476E-3</v>
      </c>
      <c r="D184" s="3">
        <v>108000</v>
      </c>
      <c r="E184" s="3">
        <v>130000000000</v>
      </c>
      <c r="F184" s="3">
        <v>116000000000</v>
      </c>
      <c r="G184" s="3">
        <v>2650000000</v>
      </c>
      <c r="H184" s="3">
        <v>15700000000</v>
      </c>
      <c r="I184" s="2">
        <v>2.2870000000000001E-2</v>
      </c>
      <c r="J184" s="3">
        <v>8.0699999999999999E-13</v>
      </c>
    </row>
    <row r="185" spans="1:10" x14ac:dyDescent="0.2">
      <c r="A185" s="3">
        <v>180</v>
      </c>
      <c r="B185" s="3">
        <v>1.35E-7</v>
      </c>
      <c r="C185" s="2">
        <v>9.5259999999999997E-3</v>
      </c>
      <c r="D185" s="3">
        <v>118000</v>
      </c>
      <c r="E185" s="3">
        <v>139000000000</v>
      </c>
      <c r="F185" s="3">
        <v>123000000000</v>
      </c>
      <c r="G185" s="2">
        <v>0</v>
      </c>
      <c r="H185" s="3">
        <v>15000000000</v>
      </c>
      <c r="I185" s="2">
        <v>-3.5150000000000001E-2</v>
      </c>
      <c r="J185" s="3">
        <v>6.8400000000000001E-13</v>
      </c>
    </row>
    <row r="186" spans="1:10" x14ac:dyDescent="0.2">
      <c r="A186" s="3">
        <v>180</v>
      </c>
      <c r="B186" s="3">
        <v>1.35E-7</v>
      </c>
      <c r="C186" s="2">
        <v>9.5790000000000007E-3</v>
      </c>
      <c r="D186" s="3">
        <v>117000</v>
      </c>
      <c r="E186" s="3">
        <v>138000000000</v>
      </c>
      <c r="F186" s="3">
        <v>122000000000</v>
      </c>
      <c r="G186" s="3">
        <v>4820000000</v>
      </c>
      <c r="H186" s="3">
        <v>15100000000</v>
      </c>
      <c r="I186" s="2">
        <v>3.9399999999999998E-2</v>
      </c>
      <c r="J186" s="3">
        <v>6.9899999999999995E-13</v>
      </c>
    </row>
    <row r="187" spans="1:10" x14ac:dyDescent="0.2">
      <c r="A187" s="3">
        <v>190</v>
      </c>
      <c r="B187" s="3">
        <v>1.36E-7</v>
      </c>
      <c r="C187" s="2">
        <v>9.6310000000000007E-3</v>
      </c>
      <c r="D187" s="3">
        <v>118000</v>
      </c>
      <c r="E187" s="3">
        <v>139000000000</v>
      </c>
      <c r="F187" s="3">
        <v>123000000000</v>
      </c>
      <c r="G187" s="3">
        <v>2230000000</v>
      </c>
      <c r="H187" s="3">
        <v>15100000000</v>
      </c>
      <c r="I187" s="2">
        <v>1.8120000000000001E-2</v>
      </c>
      <c r="J187" s="3">
        <v>6.8899999999999999E-13</v>
      </c>
    </row>
    <row r="188" spans="1:10" x14ac:dyDescent="0.2">
      <c r="A188" s="3">
        <v>190</v>
      </c>
      <c r="B188" s="3">
        <v>1.37E-7</v>
      </c>
      <c r="C188" s="2">
        <v>9.6819999999999996E-3</v>
      </c>
      <c r="D188" s="3">
        <v>109000</v>
      </c>
      <c r="E188" s="3">
        <v>129000000000</v>
      </c>
      <c r="F188" s="3">
        <v>115000000000</v>
      </c>
      <c r="G188" s="2">
        <v>0</v>
      </c>
      <c r="H188" s="3">
        <v>15900000000</v>
      </c>
      <c r="I188" s="2">
        <v>-3.7609999999999998E-2</v>
      </c>
      <c r="J188" s="3">
        <v>8.2300000000000003E-13</v>
      </c>
    </row>
    <row r="189" spans="1:10" x14ac:dyDescent="0.2">
      <c r="A189" s="3">
        <v>190</v>
      </c>
      <c r="B189" s="3">
        <v>1.37E-7</v>
      </c>
      <c r="C189" s="2">
        <v>9.7380000000000001E-3</v>
      </c>
      <c r="D189" s="3">
        <v>111000</v>
      </c>
      <c r="E189" s="3">
        <v>132000000000</v>
      </c>
      <c r="F189" s="3">
        <v>117000000000</v>
      </c>
      <c r="G189" s="3">
        <v>8690000000</v>
      </c>
      <c r="H189" s="3">
        <v>15800000000</v>
      </c>
      <c r="I189" s="2">
        <v>7.4179999999999996E-2</v>
      </c>
      <c r="J189" s="3">
        <v>7.9500000000000005E-13</v>
      </c>
    </row>
    <row r="190" spans="1:10" x14ac:dyDescent="0.2">
      <c r="A190" s="3">
        <v>190</v>
      </c>
      <c r="B190" s="3">
        <v>1.37E-7</v>
      </c>
      <c r="C190" s="2">
        <v>9.7879999999999998E-3</v>
      </c>
      <c r="D190" s="3">
        <v>110000</v>
      </c>
      <c r="E190" s="3">
        <v>131000000000</v>
      </c>
      <c r="F190" s="3">
        <v>117000000000</v>
      </c>
      <c r="G190" s="3">
        <v>1350000000</v>
      </c>
      <c r="H190" s="3">
        <v>15900000000</v>
      </c>
      <c r="I190" s="2">
        <v>1.1599999999999999E-2</v>
      </c>
      <c r="J190" s="3">
        <v>8.0999999999999998E-13</v>
      </c>
    </row>
    <row r="191" spans="1:10" x14ac:dyDescent="0.2">
      <c r="A191" s="3">
        <v>190</v>
      </c>
      <c r="B191" s="3">
        <v>1.3799999999999999E-7</v>
      </c>
      <c r="C191" s="2">
        <v>9.8399999999999998E-3</v>
      </c>
      <c r="D191" s="3">
        <v>110000</v>
      </c>
      <c r="E191" s="3">
        <v>131000000000</v>
      </c>
      <c r="F191" s="3">
        <v>116000000000</v>
      </c>
      <c r="G191" s="2">
        <v>0</v>
      </c>
      <c r="H191" s="3">
        <v>16000000000</v>
      </c>
      <c r="I191" s="2">
        <v>-3.9359999999999999E-2</v>
      </c>
      <c r="J191" s="3">
        <v>8.1699999999999995E-13</v>
      </c>
    </row>
    <row r="192" spans="1:10" x14ac:dyDescent="0.2">
      <c r="A192" s="3">
        <v>190</v>
      </c>
      <c r="B192" s="3">
        <v>1.3799999999999999E-7</v>
      </c>
      <c r="C192" s="2">
        <v>9.8910000000000005E-3</v>
      </c>
      <c r="D192" s="3">
        <v>113000</v>
      </c>
      <c r="E192" s="3">
        <v>134000000000</v>
      </c>
      <c r="F192" s="3">
        <v>119000000000</v>
      </c>
      <c r="G192" s="3">
        <v>1830000000</v>
      </c>
      <c r="H192" s="3">
        <v>15800000000</v>
      </c>
      <c r="I192" s="2">
        <v>1.5429999999999999E-2</v>
      </c>
      <c r="J192" s="3">
        <v>7.7400000000000003E-13</v>
      </c>
    </row>
    <row r="193" spans="1:10" x14ac:dyDescent="0.2">
      <c r="A193" s="3">
        <v>190</v>
      </c>
      <c r="B193" s="3">
        <v>1.3899999999999999E-7</v>
      </c>
      <c r="C193" s="2">
        <v>9.9430000000000004E-3</v>
      </c>
      <c r="D193" s="3">
        <v>106000</v>
      </c>
      <c r="E193" s="3">
        <v>127000000000</v>
      </c>
      <c r="F193" s="3">
        <v>113000000000</v>
      </c>
      <c r="G193" s="2">
        <v>0</v>
      </c>
      <c r="H193" s="3">
        <v>16400000000</v>
      </c>
      <c r="I193" s="2">
        <v>-3.354E-2</v>
      </c>
      <c r="J193" s="3">
        <v>8.8199999999999998E-13</v>
      </c>
    </row>
    <row r="194" spans="1:10" x14ac:dyDescent="0.2">
      <c r="A194" s="3">
        <v>190</v>
      </c>
      <c r="B194" s="3">
        <v>1.4000000000000001E-7</v>
      </c>
      <c r="C194" s="2">
        <v>9.9959999999999997E-3</v>
      </c>
      <c r="D194" s="3">
        <v>112000</v>
      </c>
      <c r="E194" s="3">
        <v>132000000000</v>
      </c>
      <c r="F194" s="3">
        <v>117000000000</v>
      </c>
      <c r="G194" s="3">
        <v>3560000000</v>
      </c>
      <c r="H194" s="3">
        <v>16000000000</v>
      </c>
      <c r="I194" s="2">
        <v>3.0339999999999999E-2</v>
      </c>
      <c r="J194" s="3">
        <v>8.0200000000000002E-13</v>
      </c>
    </row>
    <row r="195" spans="1:10" x14ac:dyDescent="0.2">
      <c r="A195" s="3">
        <v>190</v>
      </c>
      <c r="B195" s="3">
        <v>1.4000000000000001E-7</v>
      </c>
      <c r="C195" s="2">
        <v>1.005E-2</v>
      </c>
      <c r="D195" s="3">
        <v>118000</v>
      </c>
      <c r="E195" s="3">
        <v>137000000000</v>
      </c>
      <c r="F195" s="3">
        <v>122000000000</v>
      </c>
      <c r="G195" s="2">
        <v>0</v>
      </c>
      <c r="H195" s="3">
        <v>15400000000</v>
      </c>
      <c r="I195" s="2">
        <v>-2.622E-2</v>
      </c>
      <c r="J195" s="3">
        <v>7.1899999999999997E-13</v>
      </c>
    </row>
    <row r="196" spans="1:10" x14ac:dyDescent="0.2">
      <c r="A196" s="3">
        <v>190</v>
      </c>
      <c r="B196" s="3">
        <v>1.4100000000000001E-7</v>
      </c>
      <c r="C196" s="2">
        <v>1.01E-2</v>
      </c>
      <c r="D196" s="3">
        <v>105000</v>
      </c>
      <c r="E196" s="3">
        <v>125000000000</v>
      </c>
      <c r="F196" s="3">
        <v>112000000000</v>
      </c>
      <c r="G196" s="3">
        <v>1370000000</v>
      </c>
      <c r="H196" s="3">
        <v>16700000000</v>
      </c>
      <c r="I196" s="2">
        <v>1.2239999999999999E-2</v>
      </c>
      <c r="J196" s="3">
        <v>9.239999999999999E-13</v>
      </c>
    </row>
    <row r="197" spans="1:10" x14ac:dyDescent="0.2">
      <c r="A197" s="3">
        <v>200</v>
      </c>
      <c r="B197" s="3">
        <v>1.42E-7</v>
      </c>
      <c r="C197" s="2">
        <v>1.0149999999999999E-2</v>
      </c>
      <c r="D197" s="3">
        <v>118000</v>
      </c>
      <c r="E197" s="3">
        <v>136000000000</v>
      </c>
      <c r="F197" s="3">
        <v>121000000000</v>
      </c>
      <c r="G197" s="3">
        <v>8320000000</v>
      </c>
      <c r="H197" s="3">
        <v>15500000000</v>
      </c>
      <c r="I197" s="2">
        <v>6.8839999999999998E-2</v>
      </c>
      <c r="J197" s="3">
        <v>7.3300000000000001E-13</v>
      </c>
    </row>
    <row r="198" spans="1:10" x14ac:dyDescent="0.2">
      <c r="A198" s="3">
        <v>200</v>
      </c>
      <c r="B198" s="3">
        <v>1.42E-7</v>
      </c>
      <c r="C198" s="2">
        <v>1.0200000000000001E-2</v>
      </c>
      <c r="D198" s="3">
        <v>111000</v>
      </c>
      <c r="E198" s="3">
        <v>130000000000</v>
      </c>
      <c r="F198" s="3">
        <v>116000000000</v>
      </c>
      <c r="G198" s="2">
        <v>0</v>
      </c>
      <c r="H198" s="3">
        <v>16300000000</v>
      </c>
      <c r="I198" s="2">
        <v>-6.0970000000000003E-2</v>
      </c>
      <c r="J198" s="3">
        <v>8.3499999999999998E-13</v>
      </c>
    </row>
    <row r="199" spans="1:10" x14ac:dyDescent="0.2">
      <c r="A199" s="3">
        <v>200</v>
      </c>
      <c r="B199" s="3">
        <v>1.43E-7</v>
      </c>
      <c r="C199" s="2">
        <v>1.026E-2</v>
      </c>
      <c r="D199" s="3">
        <v>116000</v>
      </c>
      <c r="E199" s="3">
        <v>135000000000</v>
      </c>
      <c r="F199" s="3">
        <v>120000000000</v>
      </c>
      <c r="G199" s="3">
        <v>7370000000</v>
      </c>
      <c r="H199" s="3">
        <v>15800000000</v>
      </c>
      <c r="I199" s="2">
        <v>6.1550000000000001E-2</v>
      </c>
      <c r="J199" s="3">
        <v>7.6199999999999998E-13</v>
      </c>
    </row>
    <row r="200" spans="1:10" x14ac:dyDescent="0.2">
      <c r="A200" s="3">
        <v>200</v>
      </c>
      <c r="B200" s="3">
        <v>1.43E-7</v>
      </c>
      <c r="C200" s="2">
        <v>1.031E-2</v>
      </c>
      <c r="D200" s="3">
        <v>129000</v>
      </c>
      <c r="E200" s="3">
        <v>144000000000</v>
      </c>
      <c r="F200" s="3">
        <v>127000000000</v>
      </c>
      <c r="G200" s="3">
        <v>8680000000</v>
      </c>
      <c r="H200" s="3">
        <v>14500000000</v>
      </c>
      <c r="I200" s="2">
        <v>6.8320000000000006E-2</v>
      </c>
      <c r="J200" s="3">
        <v>6.2299999999999997E-13</v>
      </c>
    </row>
    <row r="201" spans="1:10" x14ac:dyDescent="0.2">
      <c r="A201" s="3">
        <v>200</v>
      </c>
      <c r="B201" s="3">
        <v>1.4399999999999999E-7</v>
      </c>
      <c r="C201" s="2">
        <v>1.0359999999999999E-2</v>
      </c>
      <c r="D201" s="3">
        <v>121000</v>
      </c>
      <c r="E201" s="3">
        <v>138000000000</v>
      </c>
      <c r="F201" s="3">
        <v>122000000000</v>
      </c>
      <c r="G201" s="2">
        <v>0</v>
      </c>
      <c r="H201" s="3">
        <v>15300000000</v>
      </c>
      <c r="I201" s="2">
        <v>-4.1619999999999999E-3</v>
      </c>
      <c r="J201" s="3">
        <v>7.0500000000000003E-13</v>
      </c>
    </row>
    <row r="202" spans="1:10" x14ac:dyDescent="0.2">
      <c r="A202" s="3">
        <v>200</v>
      </c>
      <c r="B202" s="3">
        <v>1.4399999999999999E-7</v>
      </c>
      <c r="C202" s="2">
        <v>1.0410000000000001E-2</v>
      </c>
      <c r="D202" s="3">
        <v>116000</v>
      </c>
      <c r="E202" s="3">
        <v>135000000000</v>
      </c>
      <c r="F202" s="3">
        <v>120000000000</v>
      </c>
      <c r="G202" s="2">
        <v>0</v>
      </c>
      <c r="H202" s="3">
        <v>15900000000</v>
      </c>
      <c r="I202" s="2">
        <v>-1.9779999999999999E-2</v>
      </c>
      <c r="J202" s="3">
        <v>7.6999999999999995E-13</v>
      </c>
    </row>
    <row r="203" spans="1:10" x14ac:dyDescent="0.2">
      <c r="A203" s="3">
        <v>200</v>
      </c>
      <c r="B203" s="3">
        <v>1.4499999999999999E-7</v>
      </c>
      <c r="C203" s="2">
        <v>1.0460000000000001E-2</v>
      </c>
      <c r="D203" s="3">
        <v>117000</v>
      </c>
      <c r="E203" s="3">
        <v>135000000000</v>
      </c>
      <c r="F203" s="3">
        <v>120000000000</v>
      </c>
      <c r="G203" s="2">
        <v>0</v>
      </c>
      <c r="H203" s="3">
        <v>15900000000</v>
      </c>
      <c r="I203" s="2">
        <v>-9.8360000000000003E-2</v>
      </c>
      <c r="J203" s="3">
        <v>7.6399999999999998E-13</v>
      </c>
    </row>
    <row r="204" spans="1:10" x14ac:dyDescent="0.2">
      <c r="A204" s="3">
        <v>200</v>
      </c>
      <c r="B204" s="3">
        <v>1.4499999999999999E-7</v>
      </c>
      <c r="C204" s="2">
        <v>1.052E-2</v>
      </c>
      <c r="D204" s="3">
        <v>120000</v>
      </c>
      <c r="E204" s="3">
        <v>137000000000</v>
      </c>
      <c r="F204" s="3">
        <v>121000000000</v>
      </c>
      <c r="G204" s="3">
        <v>12900000000</v>
      </c>
      <c r="H204" s="3">
        <v>15500000000</v>
      </c>
      <c r="I204" s="2">
        <v>0.10639999999999999</v>
      </c>
      <c r="J204" s="3">
        <v>7.2800000000000003E-13</v>
      </c>
    </row>
    <row r="205" spans="1:10" x14ac:dyDescent="0.2">
      <c r="A205" s="3">
        <v>200</v>
      </c>
      <c r="B205" s="3">
        <v>1.4600000000000001E-7</v>
      </c>
      <c r="C205" s="2">
        <v>1.057E-2</v>
      </c>
      <c r="D205" s="3">
        <v>118000</v>
      </c>
      <c r="E205" s="3">
        <v>135000000000</v>
      </c>
      <c r="F205" s="3">
        <v>120000000000</v>
      </c>
      <c r="G205" s="3">
        <v>16000000000</v>
      </c>
      <c r="H205" s="3">
        <v>15700000000</v>
      </c>
      <c r="I205" s="2">
        <v>0.1336</v>
      </c>
      <c r="J205" s="3">
        <v>7.5400000000000002E-13</v>
      </c>
    </row>
    <row r="206" spans="1:10" x14ac:dyDescent="0.2">
      <c r="A206" s="3">
        <v>200</v>
      </c>
      <c r="B206" s="3">
        <v>1.4600000000000001E-7</v>
      </c>
      <c r="C206" s="2">
        <v>1.0619999999999999E-2</v>
      </c>
      <c r="D206" s="3">
        <v>118000</v>
      </c>
      <c r="E206" s="3">
        <v>135000000000</v>
      </c>
      <c r="F206" s="3">
        <v>120000000000</v>
      </c>
      <c r="G206" s="2">
        <v>0</v>
      </c>
      <c r="H206" s="3">
        <v>15800000000</v>
      </c>
      <c r="I206" s="2">
        <v>-3.6549999999999999E-4</v>
      </c>
      <c r="J206" s="3">
        <v>7.59E-13</v>
      </c>
    </row>
    <row r="207" spans="1:10" x14ac:dyDescent="0.2">
      <c r="A207" s="3">
        <v>210</v>
      </c>
      <c r="B207" s="3">
        <v>1.4700000000000001E-7</v>
      </c>
      <c r="C207" s="2">
        <v>1.0670000000000001E-2</v>
      </c>
      <c r="D207" s="3">
        <v>128000</v>
      </c>
      <c r="E207" s="3">
        <v>141000000000</v>
      </c>
      <c r="F207" s="3">
        <v>125000000000</v>
      </c>
      <c r="G207" s="3">
        <v>5710000000</v>
      </c>
      <c r="H207" s="3">
        <v>14800000000</v>
      </c>
      <c r="I207" s="2">
        <v>4.5690000000000001E-2</v>
      </c>
      <c r="J207" s="3">
        <v>6.5500000000000004E-13</v>
      </c>
    </row>
    <row r="208" spans="1:10" x14ac:dyDescent="0.2">
      <c r="A208" s="3">
        <v>210</v>
      </c>
      <c r="B208" s="3">
        <v>1.48E-7</v>
      </c>
      <c r="C208" s="2">
        <v>1.073E-2</v>
      </c>
      <c r="D208" s="3">
        <v>120000</v>
      </c>
      <c r="E208" s="3">
        <v>135000000000</v>
      </c>
      <c r="F208" s="3">
        <v>120000000000</v>
      </c>
      <c r="G208" s="3">
        <v>10800000000</v>
      </c>
      <c r="H208" s="3">
        <v>15500000000</v>
      </c>
      <c r="I208" s="2">
        <v>8.9639999999999997E-2</v>
      </c>
      <c r="J208" s="3">
        <v>7.3999999999999998E-13</v>
      </c>
    </row>
    <row r="209" spans="1:10" x14ac:dyDescent="0.2">
      <c r="A209" s="3">
        <v>210</v>
      </c>
      <c r="B209" s="3">
        <v>1.48E-7</v>
      </c>
      <c r="C209" s="2">
        <v>1.078E-2</v>
      </c>
      <c r="D209" s="3">
        <v>114000</v>
      </c>
      <c r="E209" s="3">
        <v>131000000000</v>
      </c>
      <c r="F209" s="3">
        <v>117000000000</v>
      </c>
      <c r="G209" s="3">
        <v>4870000000</v>
      </c>
      <c r="H209" s="3">
        <v>16400000000</v>
      </c>
      <c r="I209" s="2">
        <v>4.1820000000000003E-2</v>
      </c>
      <c r="J209" s="3">
        <v>8.3499999999999998E-13</v>
      </c>
    </row>
    <row r="210" spans="1:10" x14ac:dyDescent="0.2">
      <c r="A210" s="3">
        <v>210</v>
      </c>
      <c r="B210" s="3">
        <v>1.49E-7</v>
      </c>
      <c r="C210" s="2">
        <v>1.0829999999999999E-2</v>
      </c>
      <c r="D210" s="3">
        <v>123000</v>
      </c>
      <c r="E210" s="3">
        <v>137000000000</v>
      </c>
      <c r="F210" s="3">
        <v>122000000000</v>
      </c>
      <c r="G210" s="3">
        <v>3450000000</v>
      </c>
      <c r="H210" s="3">
        <v>15400000000</v>
      </c>
      <c r="I210" s="2">
        <v>2.844E-2</v>
      </c>
      <c r="J210" s="3">
        <v>7.1899999999999997E-13</v>
      </c>
    </row>
    <row r="211" spans="1:10" x14ac:dyDescent="0.2">
      <c r="A211" s="3">
        <v>210</v>
      </c>
      <c r="B211" s="3">
        <v>1.49E-7</v>
      </c>
      <c r="C211" s="2">
        <v>1.0880000000000001E-2</v>
      </c>
      <c r="D211" s="3">
        <v>115000</v>
      </c>
      <c r="E211" s="3">
        <v>132000000000</v>
      </c>
      <c r="F211" s="3">
        <v>117000000000</v>
      </c>
      <c r="G211" s="3">
        <v>504000000</v>
      </c>
      <c r="H211" s="3">
        <v>16400000000</v>
      </c>
      <c r="I211" s="2">
        <v>4.2979999999999997E-3</v>
      </c>
      <c r="J211" s="3">
        <v>8.2000000000000004E-13</v>
      </c>
    </row>
    <row r="212" spans="1:10" x14ac:dyDescent="0.2">
      <c r="A212" s="3">
        <v>210</v>
      </c>
      <c r="B212" s="3">
        <v>1.4999999999999999E-7</v>
      </c>
      <c r="C212" s="2">
        <v>1.094E-2</v>
      </c>
      <c r="D212" s="3">
        <v>117000</v>
      </c>
      <c r="E212" s="3">
        <v>133000000000</v>
      </c>
      <c r="F212" s="3">
        <v>118000000000</v>
      </c>
      <c r="G212" s="2">
        <v>0</v>
      </c>
      <c r="H212" s="3">
        <v>16200000000</v>
      </c>
      <c r="I212" s="2">
        <v>-5.1470000000000002E-2</v>
      </c>
      <c r="J212" s="3">
        <v>8.0200000000000002E-13</v>
      </c>
    </row>
    <row r="213" spans="1:10" x14ac:dyDescent="0.2">
      <c r="A213" s="3">
        <v>210</v>
      </c>
      <c r="B213" s="3">
        <v>1.4999999999999999E-7</v>
      </c>
      <c r="C213" s="2">
        <v>1.099E-2</v>
      </c>
      <c r="D213" s="3">
        <v>107000</v>
      </c>
      <c r="E213" s="3">
        <v>126000000000</v>
      </c>
      <c r="F213" s="3">
        <v>112000000000</v>
      </c>
      <c r="G213" s="2">
        <v>0</v>
      </c>
      <c r="H213" s="3">
        <v>17400000000</v>
      </c>
      <c r="I213" s="2">
        <v>-1.481E-2</v>
      </c>
      <c r="J213" s="3">
        <v>9.5199999999999998E-13</v>
      </c>
    </row>
    <row r="214" spans="1:10" x14ac:dyDescent="0.2">
      <c r="A214" s="3">
        <v>210</v>
      </c>
      <c r="B214" s="3">
        <v>1.5099999999999999E-7</v>
      </c>
      <c r="C214" s="2">
        <v>1.1039999999999999E-2</v>
      </c>
      <c r="D214" s="3">
        <v>116000</v>
      </c>
      <c r="E214" s="3">
        <v>132000000000</v>
      </c>
      <c r="F214" s="3">
        <v>117000000000</v>
      </c>
      <c r="G214" s="3">
        <v>1380000000</v>
      </c>
      <c r="H214" s="3">
        <v>16300000000</v>
      </c>
      <c r="I214" s="2">
        <v>1.1780000000000001E-2</v>
      </c>
      <c r="J214" s="3">
        <v>8.1800000000000005E-13</v>
      </c>
    </row>
    <row r="215" spans="1:10" x14ac:dyDescent="0.2">
      <c r="A215" s="3">
        <v>210</v>
      </c>
      <c r="B215" s="3">
        <v>1.5099999999999999E-7</v>
      </c>
      <c r="C215" s="2">
        <v>1.1089999999999999E-2</v>
      </c>
      <c r="D215" s="3">
        <v>121000</v>
      </c>
      <c r="E215" s="3">
        <v>135000000000</v>
      </c>
      <c r="F215" s="3">
        <v>120000000000</v>
      </c>
      <c r="G215" s="3">
        <v>12700000000</v>
      </c>
      <c r="H215" s="3">
        <v>15800000000</v>
      </c>
      <c r="I215" s="2">
        <v>0.1056</v>
      </c>
      <c r="J215" s="3">
        <v>7.5500000000000001E-13</v>
      </c>
    </row>
    <row r="216" spans="1:10" x14ac:dyDescent="0.2">
      <c r="A216" s="3">
        <v>210</v>
      </c>
      <c r="B216" s="3">
        <v>1.5200000000000001E-7</v>
      </c>
      <c r="C216" s="2">
        <v>1.1140000000000001E-2</v>
      </c>
      <c r="D216" s="3">
        <v>130000</v>
      </c>
      <c r="E216" s="3">
        <v>141000000000</v>
      </c>
      <c r="F216" s="3">
        <v>124000000000</v>
      </c>
      <c r="G216" s="3">
        <v>8570000000</v>
      </c>
      <c r="H216" s="3">
        <v>14800000000</v>
      </c>
      <c r="I216" s="2">
        <v>6.898E-2</v>
      </c>
      <c r="J216" s="3">
        <v>6.63E-13</v>
      </c>
    </row>
    <row r="217" spans="1:10" x14ac:dyDescent="0.2">
      <c r="A217" s="3">
        <v>220</v>
      </c>
      <c r="B217" s="3">
        <v>1.5200000000000001E-7</v>
      </c>
      <c r="C217" s="2">
        <v>1.119E-2</v>
      </c>
      <c r="D217" s="3">
        <v>112000</v>
      </c>
      <c r="E217" s="3">
        <v>128000000000</v>
      </c>
      <c r="F217" s="3">
        <v>115000000000</v>
      </c>
      <c r="G217" s="3">
        <v>3220000000</v>
      </c>
      <c r="H217" s="3">
        <v>17000000000</v>
      </c>
      <c r="I217" s="2">
        <v>2.809E-2</v>
      </c>
      <c r="J217" s="3">
        <v>8.9200000000000004E-13</v>
      </c>
    </row>
    <row r="218" spans="1:10" x14ac:dyDescent="0.2">
      <c r="A218" s="3">
        <v>220</v>
      </c>
      <c r="B218" s="3">
        <v>1.5300000000000001E-7</v>
      </c>
      <c r="C218" s="2">
        <v>1.124E-2</v>
      </c>
      <c r="D218" s="3">
        <v>135000</v>
      </c>
      <c r="E218" s="3">
        <v>144000000000</v>
      </c>
      <c r="F218" s="3">
        <v>127000000000</v>
      </c>
      <c r="G218" s="2">
        <v>0</v>
      </c>
      <c r="H218" s="3">
        <v>14300000000</v>
      </c>
      <c r="I218" s="2">
        <v>-7.685E-3</v>
      </c>
      <c r="J218" s="3">
        <v>6.15E-13</v>
      </c>
    </row>
    <row r="219" spans="1:10" x14ac:dyDescent="0.2">
      <c r="A219" s="3">
        <v>220</v>
      </c>
      <c r="B219" s="3">
        <v>1.5300000000000001E-7</v>
      </c>
      <c r="C219" s="2">
        <v>1.1299999999999999E-2</v>
      </c>
      <c r="D219" s="3">
        <v>119000</v>
      </c>
      <c r="E219" s="3">
        <v>133000000000</v>
      </c>
      <c r="F219" s="3">
        <v>118000000000</v>
      </c>
      <c r="G219" s="2">
        <v>0</v>
      </c>
      <c r="H219" s="3">
        <v>16100000000</v>
      </c>
      <c r="I219" s="2">
        <v>-5.3809999999999997E-2</v>
      </c>
      <c r="J219" s="3">
        <v>7.9700000000000004E-13</v>
      </c>
    </row>
    <row r="220" spans="1:10" x14ac:dyDescent="0.2">
      <c r="A220" s="3">
        <v>220</v>
      </c>
      <c r="B220" s="3">
        <v>1.54E-7</v>
      </c>
      <c r="C220" s="2">
        <v>1.1350000000000001E-2</v>
      </c>
      <c r="D220" s="3">
        <v>117000</v>
      </c>
      <c r="E220" s="3">
        <v>131000000000</v>
      </c>
      <c r="F220" s="3">
        <v>117000000000</v>
      </c>
      <c r="G220" s="3">
        <v>8500000000</v>
      </c>
      <c r="H220" s="3">
        <v>16400000000</v>
      </c>
      <c r="I220" s="2">
        <v>7.2650000000000006E-2</v>
      </c>
      <c r="J220" s="3">
        <v>8.2800000000000001E-13</v>
      </c>
    </row>
    <row r="221" spans="1:10" x14ac:dyDescent="0.2">
      <c r="A221" s="3">
        <v>220</v>
      </c>
      <c r="B221" s="3">
        <v>1.54E-7</v>
      </c>
      <c r="C221" s="2">
        <v>1.14E-2</v>
      </c>
      <c r="D221" s="3">
        <v>116000</v>
      </c>
      <c r="E221" s="3">
        <v>131000000000</v>
      </c>
      <c r="F221" s="3">
        <v>117000000000</v>
      </c>
      <c r="G221" s="2">
        <v>0</v>
      </c>
      <c r="H221" s="3">
        <v>16600000000</v>
      </c>
      <c r="I221" s="2">
        <v>-2.8930000000000001E-2</v>
      </c>
      <c r="J221" s="3">
        <v>8.4300000000000004E-13</v>
      </c>
    </row>
    <row r="222" spans="1:10" x14ac:dyDescent="0.2">
      <c r="A222" s="3">
        <v>220</v>
      </c>
      <c r="B222" s="3">
        <v>1.55E-7</v>
      </c>
      <c r="C222" s="2">
        <v>1.145E-2</v>
      </c>
      <c r="D222" s="3">
        <v>119000</v>
      </c>
      <c r="E222" s="3">
        <v>132000000000</v>
      </c>
      <c r="F222" s="3">
        <v>117000000000</v>
      </c>
      <c r="G222" s="3">
        <v>1810000000</v>
      </c>
      <c r="H222" s="3">
        <v>16100000000</v>
      </c>
      <c r="I222" s="2">
        <v>1.537E-2</v>
      </c>
      <c r="J222" s="3">
        <v>8.0699999999999999E-13</v>
      </c>
    </row>
    <row r="223" spans="1:10" x14ac:dyDescent="0.2">
      <c r="A223" s="3">
        <v>220</v>
      </c>
      <c r="B223" s="3">
        <v>1.5599999999999999E-7</v>
      </c>
      <c r="C223" s="2">
        <v>1.1509999999999999E-2</v>
      </c>
      <c r="D223" s="3">
        <v>122000</v>
      </c>
      <c r="E223" s="3">
        <v>134000000000</v>
      </c>
      <c r="F223" s="3">
        <v>119000000000</v>
      </c>
      <c r="G223" s="3">
        <v>5900000000</v>
      </c>
      <c r="H223" s="3">
        <v>15800000000</v>
      </c>
      <c r="I223" s="2">
        <v>4.9700000000000001E-2</v>
      </c>
      <c r="J223" s="3">
        <v>7.7600000000000003E-13</v>
      </c>
    </row>
    <row r="224" spans="1:10" x14ac:dyDescent="0.2">
      <c r="A224" s="3">
        <v>220</v>
      </c>
      <c r="B224" s="3">
        <v>1.5599999999999999E-7</v>
      </c>
      <c r="C224" s="2">
        <v>1.1560000000000001E-2</v>
      </c>
      <c r="D224" s="3">
        <v>114000</v>
      </c>
      <c r="E224" s="3">
        <v>128000000000</v>
      </c>
      <c r="F224" s="3">
        <v>115000000000</v>
      </c>
      <c r="G224" s="3">
        <v>12600000000</v>
      </c>
      <c r="H224" s="3">
        <v>16900000000</v>
      </c>
      <c r="I224" s="2">
        <v>0.11020000000000001</v>
      </c>
      <c r="J224" s="3">
        <v>8.9000000000000004E-13</v>
      </c>
    </row>
    <row r="225" spans="1:10" x14ac:dyDescent="0.2">
      <c r="A225" s="3">
        <v>220</v>
      </c>
      <c r="B225" s="3">
        <v>1.5699999999999999E-7</v>
      </c>
      <c r="C225" s="2">
        <v>1.1610000000000001E-2</v>
      </c>
      <c r="D225" s="3">
        <v>129000</v>
      </c>
      <c r="E225" s="3">
        <v>138000000000</v>
      </c>
      <c r="F225" s="3">
        <v>122000000000</v>
      </c>
      <c r="G225" s="2">
        <v>0</v>
      </c>
      <c r="H225" s="3">
        <v>15200000000</v>
      </c>
      <c r="I225" s="2">
        <v>-4.0809999999999999E-2</v>
      </c>
      <c r="J225" s="3">
        <v>7.0100000000000004E-13</v>
      </c>
    </row>
    <row r="226" spans="1:10" x14ac:dyDescent="0.2">
      <c r="A226" s="3">
        <v>220</v>
      </c>
      <c r="B226" s="3">
        <v>1.5699999999999999E-7</v>
      </c>
      <c r="C226" s="2">
        <v>1.166E-2</v>
      </c>
      <c r="D226" s="3">
        <v>133000</v>
      </c>
      <c r="E226" s="3">
        <v>141000000000</v>
      </c>
      <c r="F226" s="3">
        <v>124000000000</v>
      </c>
      <c r="G226" s="2">
        <v>0</v>
      </c>
      <c r="H226" s="3">
        <v>14700000000</v>
      </c>
      <c r="I226" s="2">
        <v>-1.537E-2</v>
      </c>
      <c r="J226" s="3">
        <v>6.5800000000000002E-13</v>
      </c>
    </row>
    <row r="227" spans="1:10" x14ac:dyDescent="0.2">
      <c r="A227" s="3">
        <v>230</v>
      </c>
      <c r="B227" s="3">
        <v>1.5800000000000001E-7</v>
      </c>
      <c r="C227" s="2">
        <v>1.171E-2</v>
      </c>
      <c r="D227" s="3">
        <v>113000</v>
      </c>
      <c r="E227" s="3">
        <v>127000000000</v>
      </c>
      <c r="F227" s="3">
        <v>114000000000</v>
      </c>
      <c r="G227" s="3">
        <v>12300000000</v>
      </c>
      <c r="H227" s="3">
        <v>17200000000</v>
      </c>
      <c r="I227" s="2">
        <v>0.10829999999999999</v>
      </c>
      <c r="J227" s="3">
        <v>9.1799999999999993E-13</v>
      </c>
    </row>
    <row r="228" spans="1:10" x14ac:dyDescent="0.2">
      <c r="A228" s="3">
        <v>230</v>
      </c>
      <c r="B228" s="3">
        <v>1.5900000000000001E-7</v>
      </c>
      <c r="C228" s="2">
        <v>1.1769999999999999E-2</v>
      </c>
      <c r="D228" s="3">
        <v>116000</v>
      </c>
      <c r="E228" s="3">
        <v>129000000000</v>
      </c>
      <c r="F228" s="3">
        <v>115000000000</v>
      </c>
      <c r="G228" s="3">
        <v>3590000000</v>
      </c>
      <c r="H228" s="3">
        <v>16700000000</v>
      </c>
      <c r="I228" s="2">
        <v>3.125E-2</v>
      </c>
      <c r="J228" s="3">
        <v>8.77E-13</v>
      </c>
    </row>
    <row r="229" spans="1:10" x14ac:dyDescent="0.2">
      <c r="A229" s="3">
        <v>230</v>
      </c>
      <c r="B229" s="3">
        <v>1.5900000000000001E-7</v>
      </c>
      <c r="C229" s="2">
        <v>1.1820000000000001E-2</v>
      </c>
      <c r="D229" s="3">
        <v>121000</v>
      </c>
      <c r="E229" s="3">
        <v>132000000000</v>
      </c>
      <c r="F229" s="3">
        <v>118000000000</v>
      </c>
      <c r="G229" s="3">
        <v>8200000000</v>
      </c>
      <c r="H229" s="3">
        <v>16100000000</v>
      </c>
      <c r="I229" s="2">
        <v>6.973E-2</v>
      </c>
      <c r="J229" s="3">
        <v>8.0300000000000001E-13</v>
      </c>
    </row>
    <row r="230" spans="1:10" x14ac:dyDescent="0.2">
      <c r="A230" s="3">
        <v>230</v>
      </c>
      <c r="B230" s="3">
        <v>1.5900000000000001E-7</v>
      </c>
      <c r="C230" s="2">
        <v>1.187E-2</v>
      </c>
      <c r="D230" s="3">
        <v>110000</v>
      </c>
      <c r="E230" s="3">
        <v>125000000000</v>
      </c>
      <c r="F230" s="3">
        <v>112000000000</v>
      </c>
      <c r="G230" s="2">
        <v>0</v>
      </c>
      <c r="H230" s="3">
        <v>17900000000</v>
      </c>
      <c r="I230" s="2">
        <v>-8.3519999999999997E-2</v>
      </c>
      <c r="J230" s="3">
        <v>9.8400000000000005E-13</v>
      </c>
    </row>
    <row r="231" spans="1:10" x14ac:dyDescent="0.2">
      <c r="A231" s="3">
        <v>230</v>
      </c>
      <c r="B231" s="3">
        <v>1.6E-7</v>
      </c>
      <c r="C231" s="2">
        <v>1.192E-2</v>
      </c>
      <c r="D231" s="3">
        <v>110000</v>
      </c>
      <c r="E231" s="3">
        <v>125000000000</v>
      </c>
      <c r="F231" s="3">
        <v>112000000000</v>
      </c>
      <c r="G231" s="3">
        <v>1590000000</v>
      </c>
      <c r="H231" s="3">
        <v>17700000000</v>
      </c>
      <c r="I231" s="2">
        <v>1.4250000000000001E-2</v>
      </c>
      <c r="J231" s="3">
        <v>9.8200000000000006E-13</v>
      </c>
    </row>
    <row r="232" spans="1:10" x14ac:dyDescent="0.2">
      <c r="A232" s="3">
        <v>230</v>
      </c>
      <c r="B232" s="3">
        <v>1.6E-7</v>
      </c>
      <c r="C232" s="2">
        <v>1.197E-2</v>
      </c>
      <c r="D232" s="3">
        <v>115000</v>
      </c>
      <c r="E232" s="3">
        <v>128000000000</v>
      </c>
      <c r="F232" s="3">
        <v>114000000000</v>
      </c>
      <c r="G232" s="3">
        <v>5840000000</v>
      </c>
      <c r="H232" s="3">
        <v>17000000000</v>
      </c>
      <c r="I232" s="2">
        <v>5.1240000000000001E-2</v>
      </c>
      <c r="J232" s="3">
        <v>9.0399999999999999E-13</v>
      </c>
    </row>
    <row r="233" spans="1:10" x14ac:dyDescent="0.2">
      <c r="A233" s="3">
        <v>230</v>
      </c>
      <c r="B233" s="3">
        <v>1.61E-7</v>
      </c>
      <c r="C233" s="2">
        <v>1.2019999999999999E-2</v>
      </c>
      <c r="D233" s="3">
        <v>121000</v>
      </c>
      <c r="E233" s="3">
        <v>131000000000</v>
      </c>
      <c r="F233" s="3">
        <v>117000000000</v>
      </c>
      <c r="G233" s="2">
        <v>0</v>
      </c>
      <c r="H233" s="3">
        <v>16100000000</v>
      </c>
      <c r="I233" s="2">
        <v>-4.0329999999999998E-2</v>
      </c>
      <c r="J233" s="3">
        <v>8.1599999999999996E-13</v>
      </c>
    </row>
    <row r="234" spans="1:10" x14ac:dyDescent="0.2">
      <c r="A234" s="3">
        <v>230</v>
      </c>
      <c r="B234" s="3">
        <v>1.61E-7</v>
      </c>
      <c r="C234" s="2">
        <v>1.208E-2</v>
      </c>
      <c r="D234" s="3">
        <v>117000</v>
      </c>
      <c r="E234" s="3">
        <v>128000000000</v>
      </c>
      <c r="F234" s="3">
        <v>115000000000</v>
      </c>
      <c r="G234" s="2">
        <v>0</v>
      </c>
      <c r="H234" s="3">
        <v>16800000000</v>
      </c>
      <c r="I234" s="2">
        <v>-8.4539999999999995E-4</v>
      </c>
      <c r="J234" s="3">
        <v>8.8499999999999997E-13</v>
      </c>
    </row>
    <row r="235" spans="1:10" x14ac:dyDescent="0.2">
      <c r="A235" s="3">
        <v>230</v>
      </c>
      <c r="B235" s="3">
        <v>1.6199999999999999E-7</v>
      </c>
      <c r="C235" s="2">
        <v>1.213E-2</v>
      </c>
      <c r="D235" s="3">
        <v>134000</v>
      </c>
      <c r="E235" s="3">
        <v>139000000000</v>
      </c>
      <c r="F235" s="3">
        <v>123000000000</v>
      </c>
      <c r="G235" s="3">
        <v>2140000000</v>
      </c>
      <c r="H235" s="3">
        <v>14900000000</v>
      </c>
      <c r="I235" s="2">
        <v>1.7350000000000001E-2</v>
      </c>
      <c r="J235" s="3">
        <v>6.7900000000000004E-13</v>
      </c>
    </row>
    <row r="236" spans="1:10" x14ac:dyDescent="0.2">
      <c r="A236" s="3">
        <v>230</v>
      </c>
      <c r="B236" s="3">
        <v>1.6299999999999999E-7</v>
      </c>
      <c r="C236" s="2">
        <v>1.218E-2</v>
      </c>
      <c r="D236" s="3">
        <v>126000</v>
      </c>
      <c r="E236" s="3">
        <v>133000000000</v>
      </c>
      <c r="F236" s="3">
        <v>118000000000</v>
      </c>
      <c r="G236" s="2">
        <v>0</v>
      </c>
      <c r="H236" s="3">
        <v>15600000000</v>
      </c>
      <c r="I236" s="2">
        <v>-0.13200000000000001</v>
      </c>
      <c r="J236" s="3">
        <v>7.6899999999999995E-13</v>
      </c>
    </row>
    <row r="237" spans="1:10" x14ac:dyDescent="0.2">
      <c r="A237" s="3">
        <v>240</v>
      </c>
      <c r="B237" s="3">
        <v>1.6299999999999999E-7</v>
      </c>
      <c r="C237" s="2">
        <v>1.2239999999999999E-2</v>
      </c>
      <c r="D237" s="3">
        <v>116000</v>
      </c>
      <c r="E237" s="3">
        <v>127000000000</v>
      </c>
      <c r="F237" s="3">
        <v>114000000000</v>
      </c>
      <c r="G237" s="3">
        <v>851000000</v>
      </c>
      <c r="H237" s="3">
        <v>17000000000</v>
      </c>
      <c r="I237" s="2">
        <v>7.4960000000000001E-3</v>
      </c>
      <c r="J237" s="3">
        <v>9.0899999999999996E-13</v>
      </c>
    </row>
    <row r="238" spans="1:10" x14ac:dyDescent="0.2">
      <c r="A238" s="3">
        <v>240</v>
      </c>
      <c r="B238" s="3">
        <v>1.6400000000000001E-7</v>
      </c>
      <c r="C238" s="2">
        <v>1.2290000000000001E-2</v>
      </c>
      <c r="D238" s="3">
        <v>132000</v>
      </c>
      <c r="E238" s="3">
        <v>137000000000</v>
      </c>
      <c r="F238" s="3">
        <v>121000000000</v>
      </c>
      <c r="G238" s="3">
        <v>4780000000</v>
      </c>
      <c r="H238" s="3">
        <v>15100000000</v>
      </c>
      <c r="I238" s="2">
        <v>3.9440000000000003E-2</v>
      </c>
      <c r="J238" s="3">
        <v>7.1E-13</v>
      </c>
    </row>
    <row r="239" spans="1:10" x14ac:dyDescent="0.2">
      <c r="A239" s="3">
        <v>240</v>
      </c>
      <c r="B239" s="3">
        <v>1.6500000000000001E-7</v>
      </c>
      <c r="C239" s="2">
        <v>1.234E-2</v>
      </c>
      <c r="D239" s="3">
        <v>121000</v>
      </c>
      <c r="E239" s="3">
        <v>129000000000</v>
      </c>
      <c r="F239" s="3">
        <v>115000000000</v>
      </c>
      <c r="G239" s="2">
        <v>0</v>
      </c>
      <c r="H239" s="3">
        <v>16300000000</v>
      </c>
      <c r="I239" s="2">
        <v>-1.1129999999999999E-2</v>
      </c>
      <c r="J239" s="3">
        <v>8.4500000000000003E-13</v>
      </c>
    </row>
    <row r="240" spans="1:10" x14ac:dyDescent="0.2">
      <c r="A240" s="3">
        <v>240</v>
      </c>
      <c r="B240" s="3">
        <v>1.6500000000000001E-7</v>
      </c>
      <c r="C240" s="2">
        <v>1.239E-2</v>
      </c>
      <c r="D240" s="3">
        <v>130000</v>
      </c>
      <c r="E240" s="3">
        <v>135000000000</v>
      </c>
      <c r="F240" s="3">
        <v>120000000000</v>
      </c>
      <c r="G240" s="3">
        <v>10000000000</v>
      </c>
      <c r="H240" s="3">
        <v>15300000000</v>
      </c>
      <c r="I240" s="2">
        <v>8.3470000000000003E-2</v>
      </c>
      <c r="J240" s="3">
        <v>7.3200000000000001E-13</v>
      </c>
    </row>
    <row r="241" spans="1:10" x14ac:dyDescent="0.2">
      <c r="A241" s="3">
        <v>240</v>
      </c>
      <c r="B241" s="3">
        <v>1.66E-7</v>
      </c>
      <c r="C241" s="2">
        <v>1.244E-2</v>
      </c>
      <c r="D241" s="3">
        <v>119000</v>
      </c>
      <c r="E241" s="3">
        <v>128000000000</v>
      </c>
      <c r="F241" s="3">
        <v>114000000000</v>
      </c>
      <c r="G241" s="3">
        <v>4960000000</v>
      </c>
      <c r="H241" s="3">
        <v>16700000000</v>
      </c>
      <c r="I241" s="2">
        <v>4.3439999999999999E-2</v>
      </c>
      <c r="J241" s="3">
        <v>8.8399999999999997E-13</v>
      </c>
    </row>
    <row r="242" spans="1:10" x14ac:dyDescent="0.2">
      <c r="A242" s="3">
        <v>240</v>
      </c>
      <c r="B242" s="3">
        <v>1.66E-7</v>
      </c>
      <c r="C242" s="2">
        <v>1.2500000000000001E-2</v>
      </c>
      <c r="D242" s="3">
        <v>123000</v>
      </c>
      <c r="E242" s="3">
        <v>131000000000</v>
      </c>
      <c r="F242" s="3">
        <v>116000000000</v>
      </c>
      <c r="G242" s="3">
        <v>2630000000</v>
      </c>
      <c r="H242" s="3">
        <v>16100000000</v>
      </c>
      <c r="I242" s="2">
        <v>2.2620000000000001E-2</v>
      </c>
      <c r="J242" s="3">
        <v>8.2100000000000004E-13</v>
      </c>
    </row>
    <row r="243" spans="1:10" x14ac:dyDescent="0.2">
      <c r="A243" s="3">
        <v>240</v>
      </c>
      <c r="B243" s="3">
        <v>1.66E-7</v>
      </c>
      <c r="C243" s="2">
        <v>1.255E-2</v>
      </c>
      <c r="D243" s="3">
        <v>119000</v>
      </c>
      <c r="E243" s="3">
        <v>127000000000</v>
      </c>
      <c r="F243" s="3">
        <v>114000000000</v>
      </c>
      <c r="G243" s="3">
        <v>4930000000</v>
      </c>
      <c r="H243" s="3">
        <v>16800000000</v>
      </c>
      <c r="I243" s="2">
        <v>4.3270000000000003E-2</v>
      </c>
      <c r="J243" s="3">
        <v>8.9300000000000003E-13</v>
      </c>
    </row>
    <row r="244" spans="1:10" x14ac:dyDescent="0.2">
      <c r="A244" s="3">
        <v>240</v>
      </c>
      <c r="B244" s="3">
        <v>1.67E-7</v>
      </c>
      <c r="C244" s="2">
        <v>1.26E-2</v>
      </c>
      <c r="D244" s="3">
        <v>127000</v>
      </c>
      <c r="E244" s="3">
        <v>132000000000</v>
      </c>
      <c r="F244" s="3">
        <v>118000000000</v>
      </c>
      <c r="G244" s="3">
        <v>2220000000</v>
      </c>
      <c r="H244" s="3">
        <v>15600000000</v>
      </c>
      <c r="I244" s="2">
        <v>1.8839999999999999E-2</v>
      </c>
      <c r="J244" s="3">
        <v>7.7900000000000001E-13</v>
      </c>
    </row>
    <row r="245" spans="1:10" x14ac:dyDescent="0.2">
      <c r="A245" s="3">
        <v>240</v>
      </c>
      <c r="B245" s="3">
        <v>1.68E-7</v>
      </c>
      <c r="C245" s="2">
        <v>1.265E-2</v>
      </c>
      <c r="D245" s="3">
        <v>123000</v>
      </c>
      <c r="E245" s="3">
        <v>129000000000</v>
      </c>
      <c r="F245" s="3">
        <v>115000000000</v>
      </c>
      <c r="G245" s="2">
        <v>0</v>
      </c>
      <c r="H245" s="3">
        <v>16200000000</v>
      </c>
      <c r="I245" s="2">
        <v>-9.2779999999999998E-3</v>
      </c>
      <c r="J245" s="3">
        <v>8.3999999999999995E-13</v>
      </c>
    </row>
    <row r="246" spans="1:10" x14ac:dyDescent="0.2">
      <c r="A246" s="3">
        <v>240</v>
      </c>
      <c r="B246" s="3">
        <v>1.68E-7</v>
      </c>
      <c r="C246" s="2">
        <v>1.2699999999999999E-2</v>
      </c>
      <c r="D246" s="3">
        <v>117000</v>
      </c>
      <c r="E246" s="3">
        <v>126000000000</v>
      </c>
      <c r="F246" s="3">
        <v>113000000000</v>
      </c>
      <c r="G246" s="3">
        <v>259000000</v>
      </c>
      <c r="H246" s="3">
        <v>17100000000</v>
      </c>
      <c r="I246" s="2">
        <v>2.2950000000000002E-3</v>
      </c>
      <c r="J246" s="3">
        <v>9.2199999999999991E-13</v>
      </c>
    </row>
    <row r="247" spans="1:10" x14ac:dyDescent="0.2">
      <c r="A247" s="3">
        <v>250</v>
      </c>
      <c r="B247" s="3">
        <v>1.6899999999999999E-7</v>
      </c>
      <c r="C247" s="2">
        <v>1.2749999999999999E-2</v>
      </c>
      <c r="D247" s="3">
        <v>131000</v>
      </c>
      <c r="E247" s="3">
        <v>134000000000</v>
      </c>
      <c r="F247" s="3">
        <v>119000000000</v>
      </c>
      <c r="G247" s="3">
        <v>8230000000</v>
      </c>
      <c r="H247" s="3">
        <v>15400000000</v>
      </c>
      <c r="I247" s="2">
        <v>6.9139999999999993E-2</v>
      </c>
      <c r="J247" s="3">
        <v>7.4900000000000004E-13</v>
      </c>
    </row>
    <row r="248" spans="1:10" x14ac:dyDescent="0.2">
      <c r="A248" s="3">
        <v>250</v>
      </c>
      <c r="B248" s="3">
        <v>1.7100000000000001E-7</v>
      </c>
      <c r="C248" s="2">
        <v>1.281E-2</v>
      </c>
      <c r="D248" s="3">
        <v>121000</v>
      </c>
      <c r="E248" s="3">
        <v>126000000000</v>
      </c>
      <c r="F248" s="3">
        <v>113000000000</v>
      </c>
      <c r="G248" s="2">
        <v>0</v>
      </c>
      <c r="H248" s="3">
        <v>16200000000</v>
      </c>
      <c r="I248" s="2">
        <v>-6.3339999999999994E-2</v>
      </c>
      <c r="J248" s="3">
        <v>8.8199999999999998E-13</v>
      </c>
    </row>
    <row r="249" spans="1:10" x14ac:dyDescent="0.2">
      <c r="A249" s="3">
        <v>250</v>
      </c>
      <c r="B249" s="3">
        <v>1.72E-7</v>
      </c>
      <c r="C249" s="2">
        <v>1.286E-2</v>
      </c>
      <c r="D249" s="3">
        <v>132000</v>
      </c>
      <c r="E249" s="3">
        <v>133000000000</v>
      </c>
      <c r="F249" s="3">
        <v>118000000000</v>
      </c>
      <c r="G249" s="3">
        <v>6140000000</v>
      </c>
      <c r="H249" s="3">
        <v>14900000000</v>
      </c>
      <c r="I249" s="2">
        <v>5.2019999999999997E-2</v>
      </c>
      <c r="J249" s="3">
        <v>7.3799999999999999E-13</v>
      </c>
    </row>
    <row r="250" spans="1:10" x14ac:dyDescent="0.2">
      <c r="A250" s="3">
        <v>250</v>
      </c>
      <c r="B250" s="3">
        <v>1.72E-7</v>
      </c>
      <c r="C250" s="2">
        <v>1.291E-2</v>
      </c>
      <c r="D250" s="3">
        <v>122000</v>
      </c>
      <c r="E250" s="3">
        <v>126000000000</v>
      </c>
      <c r="F250" s="3">
        <v>113000000000</v>
      </c>
      <c r="G250" s="3">
        <v>11500000000</v>
      </c>
      <c r="H250" s="3">
        <v>16100000000</v>
      </c>
      <c r="I250" s="2">
        <v>0.1013</v>
      </c>
      <c r="J250" s="3">
        <v>8.7000000000000003E-13</v>
      </c>
    </row>
    <row r="251" spans="1:10" x14ac:dyDescent="0.2">
      <c r="A251" s="3">
        <v>250</v>
      </c>
      <c r="B251" s="3">
        <v>1.73E-7</v>
      </c>
      <c r="C251" s="2">
        <v>1.2959999999999999E-2</v>
      </c>
      <c r="D251" s="3">
        <v>110000</v>
      </c>
      <c r="E251" s="3">
        <v>120000000000</v>
      </c>
      <c r="F251" s="3">
        <v>108000000000</v>
      </c>
      <c r="G251" s="3">
        <v>9370000000</v>
      </c>
      <c r="H251" s="3">
        <v>17900000000</v>
      </c>
      <c r="I251" s="2">
        <v>8.695E-2</v>
      </c>
      <c r="J251" s="3">
        <v>1.0599999999999999E-12</v>
      </c>
    </row>
    <row r="252" spans="1:10" x14ac:dyDescent="0.2">
      <c r="A252" s="3">
        <v>250</v>
      </c>
      <c r="B252" s="3">
        <v>1.74E-7</v>
      </c>
      <c r="C252" s="2">
        <v>1.3010000000000001E-2</v>
      </c>
      <c r="D252" s="3">
        <v>127000</v>
      </c>
      <c r="E252" s="3">
        <v>129000000000</v>
      </c>
      <c r="F252" s="3">
        <v>115000000000</v>
      </c>
      <c r="G252" s="2">
        <v>0</v>
      </c>
      <c r="H252" s="3">
        <v>15500000000</v>
      </c>
      <c r="I252" s="2">
        <v>-7.782E-2</v>
      </c>
      <c r="J252" s="3">
        <v>8.1199999999999997E-13</v>
      </c>
    </row>
    <row r="253" spans="1:10" x14ac:dyDescent="0.2">
      <c r="A253" s="3">
        <v>250</v>
      </c>
      <c r="B253" s="3">
        <v>1.74E-7</v>
      </c>
      <c r="C253" s="2">
        <v>1.307E-2</v>
      </c>
      <c r="D253" s="3">
        <v>119000</v>
      </c>
      <c r="E253" s="3">
        <v>124000000000</v>
      </c>
      <c r="F253" s="3">
        <v>111000000000</v>
      </c>
      <c r="G253" s="3">
        <v>5370000000</v>
      </c>
      <c r="H253" s="3">
        <v>16500000000</v>
      </c>
      <c r="I253" s="2">
        <v>4.8329999999999998E-2</v>
      </c>
      <c r="J253" s="3">
        <v>9.2300000000000001E-13</v>
      </c>
    </row>
    <row r="254" spans="1:10" x14ac:dyDescent="0.2">
      <c r="A254" s="3">
        <v>250</v>
      </c>
      <c r="B254" s="3">
        <v>1.74E-7</v>
      </c>
      <c r="C254" s="2">
        <v>1.312E-2</v>
      </c>
      <c r="D254" s="3">
        <v>123000</v>
      </c>
      <c r="E254" s="3">
        <v>126000000000</v>
      </c>
      <c r="F254" s="3">
        <v>113000000000</v>
      </c>
      <c r="G254" s="2">
        <v>0</v>
      </c>
      <c r="H254" s="3">
        <v>16100000000</v>
      </c>
      <c r="I254" s="2">
        <v>-5.033E-2</v>
      </c>
      <c r="J254" s="3">
        <v>8.6900000000000003E-13</v>
      </c>
    </row>
    <row r="255" spans="1:10" x14ac:dyDescent="0.2">
      <c r="A255" s="3">
        <v>250</v>
      </c>
      <c r="B255" s="3">
        <v>1.7499999999999999E-7</v>
      </c>
      <c r="C255" s="2">
        <v>1.3169999999999999E-2</v>
      </c>
      <c r="D255" s="3">
        <v>119000</v>
      </c>
      <c r="E255" s="3">
        <v>123000000000</v>
      </c>
      <c r="F255" s="3">
        <v>110000000000</v>
      </c>
      <c r="G255" s="3">
        <v>179000000</v>
      </c>
      <c r="H255" s="3">
        <v>16600000000</v>
      </c>
      <c r="I255" s="2">
        <v>1.624E-3</v>
      </c>
      <c r="J255" s="3">
        <v>9.3800000000000004E-13</v>
      </c>
    </row>
    <row r="256" spans="1:10" x14ac:dyDescent="0.2">
      <c r="A256" s="3">
        <v>250</v>
      </c>
      <c r="B256" s="3">
        <v>1.7599999999999999E-7</v>
      </c>
      <c r="C256" s="2">
        <v>1.3220000000000001E-2</v>
      </c>
      <c r="D256" s="3">
        <v>122000</v>
      </c>
      <c r="E256" s="3">
        <v>125000000000</v>
      </c>
      <c r="F256" s="3">
        <v>112000000000</v>
      </c>
      <c r="G256" s="3">
        <v>9510000000</v>
      </c>
      <c r="H256" s="3">
        <v>16200000000</v>
      </c>
      <c r="I256" s="2">
        <v>8.5050000000000001E-2</v>
      </c>
      <c r="J256" s="3">
        <v>8.9500000000000002E-13</v>
      </c>
    </row>
    <row r="257" spans="1:10" x14ac:dyDescent="0.2">
      <c r="A257" s="3">
        <v>260</v>
      </c>
      <c r="B257" s="3">
        <v>1.7599999999999999E-7</v>
      </c>
      <c r="C257" s="2">
        <v>1.328E-2</v>
      </c>
      <c r="D257" s="3">
        <v>128000</v>
      </c>
      <c r="E257" s="3">
        <v>129000000000</v>
      </c>
      <c r="F257" s="3">
        <v>115000000000</v>
      </c>
      <c r="G257" s="3">
        <v>359000000</v>
      </c>
      <c r="H257" s="3">
        <v>15400000000</v>
      </c>
      <c r="I257" s="2">
        <v>3.1180000000000001E-3</v>
      </c>
      <c r="J257" s="3">
        <v>8.06E-13</v>
      </c>
    </row>
    <row r="258" spans="1:10" x14ac:dyDescent="0.2">
      <c r="A258" s="3">
        <v>260</v>
      </c>
      <c r="B258" s="3">
        <v>1.7599999999999999E-7</v>
      </c>
      <c r="C258" s="2">
        <v>1.333E-2</v>
      </c>
      <c r="D258" s="3">
        <v>117000</v>
      </c>
      <c r="E258" s="3">
        <v>122000000000</v>
      </c>
      <c r="F258" s="3">
        <v>110000000000</v>
      </c>
      <c r="G258" s="3">
        <v>12600000000</v>
      </c>
      <c r="H258" s="3">
        <v>16900000000</v>
      </c>
      <c r="I258" s="2">
        <v>0.1145</v>
      </c>
      <c r="J258" s="3">
        <v>9.6799999999999991E-13</v>
      </c>
    </row>
    <row r="259" spans="1:10" x14ac:dyDescent="0.2">
      <c r="A259" s="3">
        <v>260</v>
      </c>
      <c r="B259" s="3">
        <v>1.7700000000000001E-7</v>
      </c>
      <c r="C259" s="2">
        <v>1.338E-2</v>
      </c>
      <c r="D259" s="3">
        <v>148000</v>
      </c>
      <c r="E259" s="3">
        <v>142000000000</v>
      </c>
      <c r="F259" s="3">
        <v>125000000000</v>
      </c>
      <c r="G259" s="3">
        <v>1220000000</v>
      </c>
      <c r="H259" s="3">
        <v>13900000000</v>
      </c>
      <c r="I259" s="2">
        <v>9.7090000000000006E-3</v>
      </c>
      <c r="J259" s="3">
        <v>6.0900000000000003E-13</v>
      </c>
    </row>
    <row r="260" spans="1:10" x14ac:dyDescent="0.2">
      <c r="A260" s="3">
        <v>260</v>
      </c>
      <c r="B260" s="3">
        <v>1.7800000000000001E-7</v>
      </c>
      <c r="C260" s="2">
        <v>1.3429999999999999E-2</v>
      </c>
      <c r="D260" s="3">
        <v>121000</v>
      </c>
      <c r="E260" s="3">
        <v>124000000000</v>
      </c>
      <c r="F260" s="3">
        <v>111000000000</v>
      </c>
      <c r="G260" s="2">
        <v>0</v>
      </c>
      <c r="H260" s="3">
        <v>16400000000</v>
      </c>
      <c r="I260" s="2">
        <v>-8.1150000000000007E-3</v>
      </c>
      <c r="J260" s="3">
        <v>9.1900000000000002E-13</v>
      </c>
    </row>
    <row r="261" spans="1:10" x14ac:dyDescent="0.2">
      <c r="A261" s="3">
        <v>260</v>
      </c>
      <c r="B261" s="3">
        <v>1.7800000000000001E-7</v>
      </c>
      <c r="C261" s="2">
        <v>1.349E-2</v>
      </c>
      <c r="D261" s="3">
        <v>133000</v>
      </c>
      <c r="E261" s="3">
        <v>131000000000</v>
      </c>
      <c r="F261" s="3">
        <v>117000000000</v>
      </c>
      <c r="G261" s="3">
        <v>2300000000</v>
      </c>
      <c r="H261" s="3">
        <v>15000000000</v>
      </c>
      <c r="I261" s="2">
        <v>1.9689999999999999E-2</v>
      </c>
      <c r="J261" s="3">
        <v>7.5999999999999999E-13</v>
      </c>
    </row>
    <row r="262" spans="1:10" x14ac:dyDescent="0.2">
      <c r="A262" s="3">
        <v>260</v>
      </c>
      <c r="B262" s="3">
        <v>1.79E-7</v>
      </c>
      <c r="C262" s="2">
        <v>1.354E-2</v>
      </c>
      <c r="D262" s="3">
        <v>118000</v>
      </c>
      <c r="E262" s="3">
        <v>122000000000</v>
      </c>
      <c r="F262" s="3">
        <v>109000000000</v>
      </c>
      <c r="G262" s="2">
        <v>0</v>
      </c>
      <c r="H262" s="3">
        <v>17000000000</v>
      </c>
      <c r="I262" s="2">
        <v>-1.1639999999999999E-2</v>
      </c>
      <c r="J262" s="3">
        <v>9.8099999999999996E-13</v>
      </c>
    </row>
    <row r="263" spans="1:10" x14ac:dyDescent="0.2">
      <c r="A263" s="3">
        <v>260</v>
      </c>
      <c r="B263" s="3">
        <v>1.79E-7</v>
      </c>
      <c r="C263" s="2">
        <v>1.359E-2</v>
      </c>
      <c r="D263" s="3">
        <v>123000</v>
      </c>
      <c r="E263" s="3">
        <v>125000000000</v>
      </c>
      <c r="F263" s="3">
        <v>112000000000</v>
      </c>
      <c r="G263" s="3">
        <v>197000000</v>
      </c>
      <c r="H263" s="3">
        <v>16100000000</v>
      </c>
      <c r="I263" s="2">
        <v>1.7650000000000001E-3</v>
      </c>
      <c r="J263" s="3">
        <v>8.9200000000000004E-13</v>
      </c>
    </row>
    <row r="264" spans="1:10" x14ac:dyDescent="0.2">
      <c r="A264" s="3">
        <v>260</v>
      </c>
      <c r="B264" s="3">
        <v>1.8E-7</v>
      </c>
      <c r="C264" s="2">
        <v>1.3639999999999999E-2</v>
      </c>
      <c r="D264" s="3">
        <v>141000</v>
      </c>
      <c r="E264" s="3">
        <v>136000000000</v>
      </c>
      <c r="F264" s="3">
        <v>120000000000</v>
      </c>
      <c r="G264" s="3">
        <v>3260000000</v>
      </c>
      <c r="H264" s="3">
        <v>14400000000</v>
      </c>
      <c r="I264" s="2">
        <v>2.7089999999999999E-2</v>
      </c>
      <c r="J264" s="3">
        <v>6.8500000000000001E-13</v>
      </c>
    </row>
    <row r="265" spans="1:10" x14ac:dyDescent="0.2">
      <c r="A265" s="3">
        <v>260</v>
      </c>
      <c r="B265" s="3">
        <v>1.8E-7</v>
      </c>
      <c r="C265" s="2">
        <v>1.3690000000000001E-2</v>
      </c>
      <c r="D265" s="3">
        <v>125000</v>
      </c>
      <c r="E265" s="3">
        <v>125000000000</v>
      </c>
      <c r="F265" s="3">
        <v>112000000000</v>
      </c>
      <c r="G265" s="3">
        <v>6330000000</v>
      </c>
      <c r="H265" s="3">
        <v>16000000000</v>
      </c>
      <c r="I265" s="2">
        <v>5.6529999999999997E-2</v>
      </c>
      <c r="J265" s="3">
        <v>8.7999999999999999E-13</v>
      </c>
    </row>
    <row r="266" spans="1:10" x14ac:dyDescent="0.2">
      <c r="A266" s="3">
        <v>260</v>
      </c>
      <c r="B266" s="3">
        <v>1.8099999999999999E-7</v>
      </c>
      <c r="C266" s="2">
        <v>1.374E-2</v>
      </c>
      <c r="D266" s="3">
        <v>114000</v>
      </c>
      <c r="E266" s="3">
        <v>119000000000</v>
      </c>
      <c r="F266" s="3">
        <v>107000000000</v>
      </c>
      <c r="G266" s="2">
        <v>0</v>
      </c>
      <c r="H266" s="3">
        <v>17400000000</v>
      </c>
      <c r="I266" s="2">
        <v>-6.0660000000000002E-3</v>
      </c>
      <c r="J266" s="3">
        <v>1.05E-12</v>
      </c>
    </row>
    <row r="267" spans="1:10" x14ac:dyDescent="0.2">
      <c r="A267" s="3">
        <v>270</v>
      </c>
      <c r="B267" s="3">
        <v>1.8199999999999999E-7</v>
      </c>
      <c r="C267" s="2">
        <v>1.38E-2</v>
      </c>
      <c r="D267" s="3">
        <v>121000</v>
      </c>
      <c r="E267" s="3">
        <v>123000000000</v>
      </c>
      <c r="F267" s="3">
        <v>110000000000</v>
      </c>
      <c r="G267" s="3">
        <v>2950000000</v>
      </c>
      <c r="H267" s="3">
        <v>16500000000</v>
      </c>
      <c r="I267" s="2">
        <v>2.683E-2</v>
      </c>
      <c r="J267" s="3">
        <v>9.3899999999999994E-13</v>
      </c>
    </row>
    <row r="268" spans="1:10" x14ac:dyDescent="0.2">
      <c r="A268" s="3">
        <v>270</v>
      </c>
      <c r="B268" s="3">
        <v>1.8199999999999999E-7</v>
      </c>
      <c r="C268" s="2">
        <v>1.3849999999999999E-2</v>
      </c>
      <c r="D268" s="3">
        <v>132000</v>
      </c>
      <c r="E268" s="3">
        <v>128000000000</v>
      </c>
      <c r="F268" s="3">
        <v>115000000000</v>
      </c>
      <c r="G268" s="3">
        <v>4390000000</v>
      </c>
      <c r="H268" s="3">
        <v>15300000000</v>
      </c>
      <c r="I268" s="2">
        <v>3.8249999999999999E-2</v>
      </c>
      <c r="J268" s="3">
        <v>8.0000000000000002E-13</v>
      </c>
    </row>
    <row r="269" spans="1:10" x14ac:dyDescent="0.2">
      <c r="A269" s="3">
        <v>270</v>
      </c>
      <c r="B269" s="3">
        <v>1.8300000000000001E-7</v>
      </c>
      <c r="C269" s="2">
        <v>1.3899999999999999E-2</v>
      </c>
      <c r="D269" s="3">
        <v>133000</v>
      </c>
      <c r="E269" s="3">
        <v>129000000000</v>
      </c>
      <c r="F269" s="3">
        <v>115000000000</v>
      </c>
      <c r="G269" s="3">
        <v>104000000</v>
      </c>
      <c r="H269" s="3">
        <v>15200000000</v>
      </c>
      <c r="I269" s="2">
        <v>9.031E-4</v>
      </c>
      <c r="J269" s="3">
        <v>7.8999999999999997E-13</v>
      </c>
    </row>
    <row r="270" spans="1:10" x14ac:dyDescent="0.2">
      <c r="A270" s="3">
        <v>270</v>
      </c>
      <c r="B270" s="3">
        <v>1.8300000000000001E-7</v>
      </c>
      <c r="C270" s="2">
        <v>1.3950000000000001E-2</v>
      </c>
      <c r="D270" s="3">
        <v>124000</v>
      </c>
      <c r="E270" s="3">
        <v>124000000000</v>
      </c>
      <c r="F270" s="3">
        <v>111000000000</v>
      </c>
      <c r="G270" s="2">
        <v>0</v>
      </c>
      <c r="H270" s="3">
        <v>16200000000</v>
      </c>
      <c r="I270" s="2">
        <v>-1.984E-2</v>
      </c>
      <c r="J270" s="3">
        <v>9.0299999999999999E-13</v>
      </c>
    </row>
    <row r="271" spans="1:10" x14ac:dyDescent="0.2">
      <c r="A271" s="3">
        <v>270</v>
      </c>
      <c r="B271" s="3">
        <v>1.8400000000000001E-7</v>
      </c>
      <c r="C271" s="2">
        <v>1.401E-2</v>
      </c>
      <c r="D271" s="3">
        <v>127000</v>
      </c>
      <c r="E271" s="3">
        <v>125000000000</v>
      </c>
      <c r="F271" s="3">
        <v>112000000000</v>
      </c>
      <c r="G271" s="3">
        <v>8300000000</v>
      </c>
      <c r="H271" s="3">
        <v>15800000000</v>
      </c>
      <c r="I271" s="2">
        <v>7.4039999999999995E-2</v>
      </c>
      <c r="J271" s="3">
        <v>8.7000000000000003E-13</v>
      </c>
    </row>
    <row r="272" spans="1:10" x14ac:dyDescent="0.2">
      <c r="A272" s="3">
        <v>270</v>
      </c>
      <c r="B272" s="3">
        <v>1.8400000000000001E-7</v>
      </c>
      <c r="C272" s="2">
        <v>1.406E-2</v>
      </c>
      <c r="D272" s="3">
        <v>124000</v>
      </c>
      <c r="E272" s="3">
        <v>124000000000</v>
      </c>
      <c r="F272" s="3">
        <v>111000000000</v>
      </c>
      <c r="G272" s="3">
        <v>2020000000</v>
      </c>
      <c r="H272" s="3">
        <v>16200000000</v>
      </c>
      <c r="I272" s="2">
        <v>1.8280000000000001E-2</v>
      </c>
      <c r="J272" s="3">
        <v>9.0999999999999996E-13</v>
      </c>
    </row>
    <row r="273" spans="1:10" x14ac:dyDescent="0.2">
      <c r="A273" s="3">
        <v>270</v>
      </c>
      <c r="B273" s="3">
        <v>1.85E-7</v>
      </c>
      <c r="C273" s="2">
        <v>1.4109999999999999E-2</v>
      </c>
      <c r="D273" s="3">
        <v>134000</v>
      </c>
      <c r="E273" s="3">
        <v>129000000000</v>
      </c>
      <c r="F273" s="3">
        <v>116000000000</v>
      </c>
      <c r="G273" s="2">
        <v>0</v>
      </c>
      <c r="H273" s="3">
        <v>15100000000</v>
      </c>
      <c r="I273" s="2">
        <v>-3.5020000000000003E-2</v>
      </c>
      <c r="J273" s="3">
        <v>7.83E-13</v>
      </c>
    </row>
    <row r="274" spans="1:10" x14ac:dyDescent="0.2">
      <c r="A274" s="3">
        <v>270</v>
      </c>
      <c r="B274" s="3">
        <v>1.85E-7</v>
      </c>
      <c r="C274" s="2">
        <v>1.4160000000000001E-2</v>
      </c>
      <c r="D274" s="3">
        <v>135000</v>
      </c>
      <c r="E274" s="3">
        <v>130000000000</v>
      </c>
      <c r="F274" s="3">
        <v>116000000000</v>
      </c>
      <c r="G274" s="3">
        <v>131000000</v>
      </c>
      <c r="H274" s="3">
        <v>15200000000</v>
      </c>
      <c r="I274" s="2">
        <v>1.1310000000000001E-3</v>
      </c>
      <c r="J274" s="3">
        <v>7.82E-13</v>
      </c>
    </row>
    <row r="275" spans="1:10" x14ac:dyDescent="0.2">
      <c r="A275" s="3">
        <v>270</v>
      </c>
      <c r="B275" s="3">
        <v>1.86E-7</v>
      </c>
      <c r="C275" s="2">
        <v>1.421E-2</v>
      </c>
      <c r="D275" s="3">
        <v>131000</v>
      </c>
      <c r="E275" s="3">
        <v>127000000000</v>
      </c>
      <c r="F275" s="3">
        <v>114000000000</v>
      </c>
      <c r="G275" s="2">
        <v>0</v>
      </c>
      <c r="H275" s="3">
        <v>15400000000</v>
      </c>
      <c r="I275" s="2">
        <v>-9.2410000000000006E-2</v>
      </c>
      <c r="J275" s="3">
        <v>8.2300000000000003E-13</v>
      </c>
    </row>
    <row r="276" spans="1:10" x14ac:dyDescent="0.2">
      <c r="A276" s="3">
        <v>270</v>
      </c>
      <c r="B276" s="3">
        <v>1.86E-7</v>
      </c>
      <c r="C276" s="2">
        <v>1.426E-2</v>
      </c>
      <c r="D276" s="3">
        <v>120000</v>
      </c>
      <c r="E276" s="3">
        <v>120000000000</v>
      </c>
      <c r="F276" s="3">
        <v>108000000000</v>
      </c>
      <c r="G276" s="3">
        <v>678000000</v>
      </c>
      <c r="H276" s="3">
        <v>16900000000</v>
      </c>
      <c r="I276" s="2">
        <v>6.2599999999999999E-3</v>
      </c>
      <c r="J276" s="3">
        <v>9.9700000000000009E-13</v>
      </c>
    </row>
    <row r="277" spans="1:10" x14ac:dyDescent="0.2">
      <c r="A277" s="3">
        <v>280</v>
      </c>
      <c r="B277" s="3">
        <v>1.8699999999999999E-7</v>
      </c>
      <c r="C277" s="2">
        <v>1.4319999999999999E-2</v>
      </c>
      <c r="D277" s="3">
        <v>124000</v>
      </c>
      <c r="E277" s="3">
        <v>122000000000</v>
      </c>
      <c r="F277" s="3">
        <v>110000000000</v>
      </c>
      <c r="G277" s="2">
        <v>0</v>
      </c>
      <c r="H277" s="3">
        <v>16400000000</v>
      </c>
      <c r="I277" s="2">
        <v>-1.6219999999999998E-2</v>
      </c>
      <c r="J277" s="3">
        <v>9.3699999999999995E-13</v>
      </c>
    </row>
    <row r="278" spans="1:10" x14ac:dyDescent="0.2">
      <c r="A278" s="3">
        <v>280</v>
      </c>
      <c r="B278" s="3">
        <v>1.8699999999999999E-7</v>
      </c>
      <c r="C278" s="2">
        <v>1.4370000000000001E-2</v>
      </c>
      <c r="D278" s="3">
        <v>131000</v>
      </c>
      <c r="E278" s="3">
        <v>127000000000</v>
      </c>
      <c r="F278" s="3">
        <v>113000000000</v>
      </c>
      <c r="G278" s="2">
        <v>0</v>
      </c>
      <c r="H278" s="3">
        <v>15500000000</v>
      </c>
      <c r="I278" s="2">
        <v>-5.535E-3</v>
      </c>
      <c r="J278" s="3">
        <v>8.3299999999999998E-13</v>
      </c>
    </row>
    <row r="279" spans="1:10" x14ac:dyDescent="0.2">
      <c r="A279" s="3">
        <v>280</v>
      </c>
      <c r="B279" s="3">
        <v>1.8799999999999999E-7</v>
      </c>
      <c r="C279" s="2">
        <v>1.4420000000000001E-2</v>
      </c>
      <c r="D279" s="3">
        <v>135000</v>
      </c>
      <c r="E279" s="3">
        <v>129000000000</v>
      </c>
      <c r="F279" s="3">
        <v>115000000000</v>
      </c>
      <c r="G279" s="3">
        <v>2460000000</v>
      </c>
      <c r="H279" s="3">
        <v>15200000000</v>
      </c>
      <c r="I279" s="2">
        <v>2.1350000000000001E-2</v>
      </c>
      <c r="J279" s="3">
        <v>7.8699999999999998E-13</v>
      </c>
    </row>
    <row r="280" spans="1:10" x14ac:dyDescent="0.2">
      <c r="A280" s="3">
        <v>280</v>
      </c>
      <c r="B280" s="3">
        <v>1.8799999999999999E-7</v>
      </c>
      <c r="C280" s="2">
        <v>1.447E-2</v>
      </c>
      <c r="D280" s="3">
        <v>120000</v>
      </c>
      <c r="E280" s="3">
        <v>120000000000</v>
      </c>
      <c r="F280" s="3">
        <v>108000000000</v>
      </c>
      <c r="G280" s="3">
        <v>3500000000</v>
      </c>
      <c r="H280" s="3">
        <v>17000000000</v>
      </c>
      <c r="I280" s="2">
        <v>3.2460000000000003E-2</v>
      </c>
      <c r="J280" s="3">
        <v>1.0099999999999999E-12</v>
      </c>
    </row>
    <row r="281" spans="1:10" x14ac:dyDescent="0.2">
      <c r="A281" s="3">
        <v>280</v>
      </c>
      <c r="B281" s="3">
        <v>1.8900000000000001E-7</v>
      </c>
      <c r="C281" s="2">
        <v>1.453E-2</v>
      </c>
      <c r="D281" s="3">
        <v>127000</v>
      </c>
      <c r="E281" s="3">
        <v>124000000000</v>
      </c>
      <c r="F281" s="3">
        <v>111000000000</v>
      </c>
      <c r="G281" s="3">
        <v>2690000000</v>
      </c>
      <c r="H281" s="3">
        <v>16000000000</v>
      </c>
      <c r="I281" s="2">
        <v>2.4199999999999999E-2</v>
      </c>
      <c r="J281" s="3">
        <v>8.9600000000000002E-13</v>
      </c>
    </row>
    <row r="282" spans="1:10" x14ac:dyDescent="0.2">
      <c r="A282" s="3">
        <v>280</v>
      </c>
      <c r="B282" s="3">
        <v>1.9000000000000001E-7</v>
      </c>
      <c r="C282" s="2">
        <v>1.4579999999999999E-2</v>
      </c>
      <c r="D282" s="3">
        <v>133000</v>
      </c>
      <c r="E282" s="3">
        <v>127000000000</v>
      </c>
      <c r="F282" s="3">
        <v>113000000000</v>
      </c>
      <c r="G282" s="3">
        <v>4160000000</v>
      </c>
      <c r="H282" s="3">
        <v>15400000000</v>
      </c>
      <c r="I282" s="2">
        <v>3.671E-2</v>
      </c>
      <c r="J282" s="3">
        <v>8.2800000000000001E-13</v>
      </c>
    </row>
    <row r="283" spans="1:10" x14ac:dyDescent="0.2">
      <c r="A283" s="3">
        <v>280</v>
      </c>
      <c r="B283" s="3">
        <v>1.9000000000000001E-7</v>
      </c>
      <c r="C283" s="2">
        <v>1.4630000000000001E-2</v>
      </c>
      <c r="D283" s="3">
        <v>129000</v>
      </c>
      <c r="E283" s="3">
        <v>124000000000</v>
      </c>
      <c r="F283" s="3">
        <v>111000000000</v>
      </c>
      <c r="G283" s="2">
        <v>0</v>
      </c>
      <c r="H283" s="3">
        <v>15800000000</v>
      </c>
      <c r="I283" s="2">
        <v>-2.7720000000000002E-2</v>
      </c>
      <c r="J283" s="3">
        <v>8.8499999999999997E-13</v>
      </c>
    </row>
    <row r="284" spans="1:10" x14ac:dyDescent="0.2">
      <c r="A284" s="3">
        <v>280</v>
      </c>
      <c r="B284" s="3">
        <v>1.91E-7</v>
      </c>
      <c r="C284" s="2">
        <v>1.468E-2</v>
      </c>
      <c r="D284" s="3">
        <v>146000</v>
      </c>
      <c r="E284" s="3">
        <v>135000000000</v>
      </c>
      <c r="F284" s="3">
        <v>120000000000</v>
      </c>
      <c r="G284" s="2">
        <v>0</v>
      </c>
      <c r="H284" s="3">
        <v>14400000000</v>
      </c>
      <c r="I284" s="2">
        <v>-1.376E-2</v>
      </c>
      <c r="J284" s="3">
        <v>6.8899999999999999E-13</v>
      </c>
    </row>
    <row r="285" spans="1:10" x14ac:dyDescent="0.2">
      <c r="A285" s="3">
        <v>280</v>
      </c>
      <c r="B285" s="3">
        <v>1.92E-7</v>
      </c>
      <c r="C285" s="2">
        <v>1.473E-2</v>
      </c>
      <c r="D285" s="3">
        <v>124000</v>
      </c>
      <c r="E285" s="3">
        <v>121000000000</v>
      </c>
      <c r="F285" s="3">
        <v>109000000000</v>
      </c>
      <c r="G285" s="2">
        <v>0</v>
      </c>
      <c r="H285" s="3">
        <v>16400000000</v>
      </c>
      <c r="I285" s="2">
        <v>-1.7299999999999999E-2</v>
      </c>
      <c r="J285" s="3">
        <v>9.6100000000000005E-13</v>
      </c>
    </row>
    <row r="286" spans="1:10" x14ac:dyDescent="0.2">
      <c r="A286" s="3">
        <v>280</v>
      </c>
      <c r="B286" s="3">
        <v>1.92E-7</v>
      </c>
      <c r="C286" s="2">
        <v>1.478E-2</v>
      </c>
      <c r="D286" s="3">
        <v>149000</v>
      </c>
      <c r="E286" s="3">
        <v>137000000000</v>
      </c>
      <c r="F286" s="3">
        <v>121000000000</v>
      </c>
      <c r="G286" s="3">
        <v>12400000000</v>
      </c>
      <c r="H286" s="3">
        <v>14200000000</v>
      </c>
      <c r="I286" s="2">
        <v>0.1021</v>
      </c>
      <c r="J286" s="3">
        <v>6.6499999999999999E-13</v>
      </c>
    </row>
    <row r="287" spans="1:10" x14ac:dyDescent="0.2">
      <c r="A287" s="3">
        <v>290</v>
      </c>
      <c r="B287" s="3">
        <v>1.92E-7</v>
      </c>
      <c r="C287" s="2">
        <v>1.4840000000000001E-2</v>
      </c>
      <c r="D287" s="3">
        <v>129000</v>
      </c>
      <c r="E287" s="3">
        <v>124000000000</v>
      </c>
      <c r="F287" s="3">
        <v>111000000000</v>
      </c>
      <c r="G287" s="3">
        <v>16200000000</v>
      </c>
      <c r="H287" s="3">
        <v>15900000000</v>
      </c>
      <c r="I287" s="2">
        <v>0.14580000000000001</v>
      </c>
      <c r="J287" s="3">
        <v>8.9400000000000003E-13</v>
      </c>
    </row>
    <row r="288" spans="1:10" x14ac:dyDescent="0.2">
      <c r="A288" s="3">
        <v>290</v>
      </c>
      <c r="B288" s="3">
        <v>1.9299999999999999E-7</v>
      </c>
      <c r="C288" s="2">
        <v>1.489E-2</v>
      </c>
      <c r="D288" s="3">
        <v>126000</v>
      </c>
      <c r="E288" s="3">
        <v>122000000000</v>
      </c>
      <c r="F288" s="3">
        <v>110000000000</v>
      </c>
      <c r="G288" s="2">
        <v>0</v>
      </c>
      <c r="H288" s="3">
        <v>16200000000</v>
      </c>
      <c r="I288" s="2">
        <v>-2.0959999999999999E-2</v>
      </c>
      <c r="J288" s="3">
        <v>9.3499999999999995E-13</v>
      </c>
    </row>
    <row r="289" spans="1:10" x14ac:dyDescent="0.2">
      <c r="A289" s="3">
        <v>290</v>
      </c>
      <c r="B289" s="3">
        <v>1.9399999999999999E-7</v>
      </c>
      <c r="C289" s="2">
        <v>1.494E-2</v>
      </c>
      <c r="D289" s="3">
        <v>134000</v>
      </c>
      <c r="E289" s="3">
        <v>126000000000</v>
      </c>
      <c r="F289" s="3">
        <v>113000000000</v>
      </c>
      <c r="G289" s="3">
        <v>829000000</v>
      </c>
      <c r="H289" s="3">
        <v>15400000000</v>
      </c>
      <c r="I289" s="2">
        <v>7.3359999999999996E-3</v>
      </c>
      <c r="J289" s="3">
        <v>8.3099999999999999E-13</v>
      </c>
    </row>
    <row r="290" spans="1:10" x14ac:dyDescent="0.2">
      <c r="A290" s="3">
        <v>290</v>
      </c>
      <c r="B290" s="3">
        <v>1.9399999999999999E-7</v>
      </c>
      <c r="C290" s="2">
        <v>1.499E-2</v>
      </c>
      <c r="D290" s="3">
        <v>131000</v>
      </c>
      <c r="E290" s="3">
        <v>125000000000</v>
      </c>
      <c r="F290" s="3">
        <v>112000000000</v>
      </c>
      <c r="G290" s="3">
        <v>6490000000</v>
      </c>
      <c r="H290" s="3">
        <v>15700000000</v>
      </c>
      <c r="I290" s="2">
        <v>5.8180000000000003E-2</v>
      </c>
      <c r="J290" s="3">
        <v>8.7300000000000002E-13</v>
      </c>
    </row>
    <row r="291" spans="1:10" x14ac:dyDescent="0.2">
      <c r="A291" s="3">
        <v>290</v>
      </c>
      <c r="B291" s="3">
        <v>1.9500000000000001E-7</v>
      </c>
      <c r="C291" s="2">
        <v>1.504E-2</v>
      </c>
      <c r="D291" s="3">
        <v>132000</v>
      </c>
      <c r="E291" s="3">
        <v>124000000000</v>
      </c>
      <c r="F291" s="3">
        <v>111000000000</v>
      </c>
      <c r="G291" s="2">
        <v>0</v>
      </c>
      <c r="H291" s="3">
        <v>15600000000</v>
      </c>
      <c r="I291" s="2">
        <v>-1.5270000000000001E-2</v>
      </c>
      <c r="J291" s="3">
        <v>8.7000000000000003E-13</v>
      </c>
    </row>
    <row r="292" spans="1:10" x14ac:dyDescent="0.2">
      <c r="A292" s="3">
        <v>290</v>
      </c>
      <c r="B292" s="3">
        <v>1.9500000000000001E-7</v>
      </c>
      <c r="C292" s="2">
        <v>1.5100000000000001E-2</v>
      </c>
      <c r="D292" s="3">
        <v>135000</v>
      </c>
      <c r="E292" s="3">
        <v>126000000000</v>
      </c>
      <c r="F292" s="3">
        <v>113000000000</v>
      </c>
      <c r="G292" s="2">
        <v>0</v>
      </c>
      <c r="H292" s="3">
        <v>15400000000</v>
      </c>
      <c r="I292" s="2">
        <v>-9.2440000000000005E-3</v>
      </c>
      <c r="J292" s="3">
        <v>8.3099999999999999E-13</v>
      </c>
    </row>
    <row r="293" spans="1:10" x14ac:dyDescent="0.2">
      <c r="A293" s="3">
        <v>290</v>
      </c>
      <c r="B293" s="3">
        <v>1.9600000000000001E-7</v>
      </c>
      <c r="C293" s="2">
        <v>1.515E-2</v>
      </c>
      <c r="D293" s="3">
        <v>119000</v>
      </c>
      <c r="E293" s="3">
        <v>117000000000</v>
      </c>
      <c r="F293" s="3">
        <v>106000000000</v>
      </c>
      <c r="G293" s="3">
        <v>6760000000</v>
      </c>
      <c r="H293" s="3">
        <v>17400000000</v>
      </c>
      <c r="I293" s="2">
        <v>6.4089999999999994E-2</v>
      </c>
      <c r="J293" s="3">
        <v>1.08E-12</v>
      </c>
    </row>
    <row r="294" spans="1:10" x14ac:dyDescent="0.2">
      <c r="A294" s="3">
        <v>290</v>
      </c>
      <c r="B294" s="3">
        <v>1.9600000000000001E-7</v>
      </c>
      <c r="C294" s="2">
        <v>1.52E-2</v>
      </c>
      <c r="D294" s="3">
        <v>143000</v>
      </c>
      <c r="E294" s="3">
        <v>131000000000</v>
      </c>
      <c r="F294" s="3">
        <v>117000000000</v>
      </c>
      <c r="G294" s="3">
        <v>6040000000</v>
      </c>
      <c r="H294" s="3">
        <v>14800000000</v>
      </c>
      <c r="I294" s="2">
        <v>5.1819999999999998E-2</v>
      </c>
      <c r="J294" s="3">
        <v>7.4900000000000004E-13</v>
      </c>
    </row>
    <row r="295" spans="1:10" x14ac:dyDescent="0.2">
      <c r="A295" s="3">
        <v>290</v>
      </c>
      <c r="B295" s="3">
        <v>1.9600000000000001E-7</v>
      </c>
      <c r="C295" s="2">
        <v>1.525E-2</v>
      </c>
      <c r="D295" s="3">
        <v>129000</v>
      </c>
      <c r="E295" s="3">
        <v>123000000000</v>
      </c>
      <c r="F295" s="3">
        <v>110000000000</v>
      </c>
      <c r="G295" s="3">
        <v>13700000000</v>
      </c>
      <c r="H295" s="3">
        <v>16000000000</v>
      </c>
      <c r="I295" s="2">
        <v>0.12429999999999999</v>
      </c>
      <c r="J295" s="3">
        <v>9.1500000000000004E-13</v>
      </c>
    </row>
    <row r="296" spans="1:10" x14ac:dyDescent="0.2">
      <c r="A296" s="3">
        <v>290</v>
      </c>
      <c r="B296" s="3">
        <v>1.97E-7</v>
      </c>
      <c r="C296" s="2">
        <v>1.5310000000000001E-2</v>
      </c>
      <c r="D296" s="3">
        <v>136000</v>
      </c>
      <c r="E296" s="3">
        <v>126000000000</v>
      </c>
      <c r="F296" s="3">
        <v>113000000000</v>
      </c>
      <c r="G296" s="2">
        <v>0</v>
      </c>
      <c r="H296" s="3">
        <v>15400000000</v>
      </c>
      <c r="I296" s="2">
        <v>-2.8819999999999998E-2</v>
      </c>
      <c r="J296" s="3">
        <v>8.3199999999999999E-13</v>
      </c>
    </row>
    <row r="297" spans="1:10" x14ac:dyDescent="0.2">
      <c r="A297" s="3">
        <v>300</v>
      </c>
      <c r="B297" s="3">
        <v>1.98E-7</v>
      </c>
      <c r="C297" s="2">
        <v>1.536E-2</v>
      </c>
      <c r="D297" s="3">
        <v>134000</v>
      </c>
      <c r="E297" s="3">
        <v>125000000000</v>
      </c>
      <c r="F297" s="3">
        <v>112000000000</v>
      </c>
      <c r="G297" s="2">
        <v>0</v>
      </c>
      <c r="H297" s="3">
        <v>15500000000</v>
      </c>
      <c r="I297" s="2">
        <v>-6.2770000000000006E-2</v>
      </c>
      <c r="J297" s="3">
        <v>8.5000000000000001E-13</v>
      </c>
    </row>
    <row r="298" spans="1:10" x14ac:dyDescent="0.2">
      <c r="A298" s="3">
        <v>300</v>
      </c>
      <c r="B298" s="3">
        <v>1.98E-7</v>
      </c>
      <c r="C298" s="2">
        <v>1.541E-2</v>
      </c>
      <c r="D298" s="3">
        <v>135000</v>
      </c>
      <c r="E298" s="3">
        <v>125000000000</v>
      </c>
      <c r="F298" s="3">
        <v>112000000000</v>
      </c>
      <c r="G298" s="2">
        <v>0</v>
      </c>
      <c r="H298" s="3">
        <v>15500000000</v>
      </c>
      <c r="I298" s="2">
        <v>-3.803E-3</v>
      </c>
      <c r="J298" s="3">
        <v>8.4900000000000002E-13</v>
      </c>
    </row>
    <row r="299" spans="1:10" x14ac:dyDescent="0.2">
      <c r="A299" s="3">
        <v>300</v>
      </c>
      <c r="B299" s="3">
        <v>1.99E-7</v>
      </c>
      <c r="C299" s="2">
        <v>1.546E-2</v>
      </c>
      <c r="D299" s="3">
        <v>135000</v>
      </c>
      <c r="E299" s="3">
        <v>125000000000</v>
      </c>
      <c r="F299" s="3">
        <v>112000000000</v>
      </c>
      <c r="G299" s="2">
        <v>0</v>
      </c>
      <c r="H299" s="3">
        <v>15500000000</v>
      </c>
      <c r="I299" s="2">
        <v>-3.7859999999999998E-2</v>
      </c>
      <c r="J299" s="3">
        <v>8.4700000000000003E-13</v>
      </c>
    </row>
    <row r="300" spans="1:10" x14ac:dyDescent="0.2">
      <c r="A300" s="3">
        <v>300</v>
      </c>
      <c r="B300" s="3">
        <v>1.99E-7</v>
      </c>
      <c r="C300" s="2">
        <v>1.5509999999999999E-2</v>
      </c>
      <c r="D300" s="3">
        <v>135000</v>
      </c>
      <c r="E300" s="3">
        <v>125000000000</v>
      </c>
      <c r="F300" s="3">
        <v>112000000000</v>
      </c>
      <c r="G300" s="2">
        <v>0</v>
      </c>
      <c r="H300" s="3">
        <v>15500000000</v>
      </c>
      <c r="I300" s="2">
        <v>-5.6079999999999997E-4</v>
      </c>
      <c r="J300" s="3">
        <v>8.5699999999999998E-13</v>
      </c>
    </row>
    <row r="301" spans="1:10" x14ac:dyDescent="0.2">
      <c r="A301" s="3">
        <v>300</v>
      </c>
      <c r="B301" s="3">
        <v>1.9999999999999999E-7</v>
      </c>
      <c r="C301" s="2">
        <v>1.5570000000000001E-2</v>
      </c>
      <c r="D301" s="3">
        <v>119000</v>
      </c>
      <c r="E301" s="3">
        <v>116000000000</v>
      </c>
      <c r="F301" s="3">
        <v>105000000000</v>
      </c>
      <c r="G301" s="2">
        <v>0</v>
      </c>
      <c r="H301" s="3">
        <v>17400000000</v>
      </c>
      <c r="I301" s="2">
        <v>-5.3699999999999998E-2</v>
      </c>
      <c r="J301" s="3">
        <v>1.09E-12</v>
      </c>
    </row>
    <row r="302" spans="1:10" x14ac:dyDescent="0.2">
      <c r="A302" s="3">
        <v>300</v>
      </c>
      <c r="B302" s="3">
        <v>2.0100000000000001E-7</v>
      </c>
      <c r="C302" s="2">
        <v>1.562E-2</v>
      </c>
      <c r="D302" s="3">
        <v>128000</v>
      </c>
      <c r="E302" s="3">
        <v>121000000000</v>
      </c>
      <c r="F302" s="3">
        <v>108000000000</v>
      </c>
      <c r="G302" s="3">
        <v>1530000000</v>
      </c>
      <c r="H302" s="3">
        <v>16200000000</v>
      </c>
      <c r="I302" s="2">
        <v>1.41E-2</v>
      </c>
      <c r="J302" s="3">
        <v>9.5100000000000009E-13</v>
      </c>
    </row>
    <row r="303" spans="1:10" x14ac:dyDescent="0.2">
      <c r="A303" s="3">
        <v>300</v>
      </c>
      <c r="B303" s="3">
        <v>2.0100000000000001E-7</v>
      </c>
      <c r="C303" s="2">
        <v>1.567E-2</v>
      </c>
      <c r="D303" s="3">
        <v>127000</v>
      </c>
      <c r="E303" s="3">
        <v>120000000000</v>
      </c>
      <c r="F303" s="3">
        <v>108000000000</v>
      </c>
      <c r="G303" s="2">
        <v>0</v>
      </c>
      <c r="H303" s="3">
        <v>16300000000</v>
      </c>
      <c r="I303" s="2">
        <v>-5.2310000000000002E-2</v>
      </c>
      <c r="J303" s="3">
        <v>9.6500000000000003E-13</v>
      </c>
    </row>
    <row r="304" spans="1:10" x14ac:dyDescent="0.2">
      <c r="A304" s="3">
        <v>300</v>
      </c>
      <c r="B304" s="3">
        <v>2.0200000000000001E-7</v>
      </c>
      <c r="C304" s="2">
        <v>1.5720000000000001E-2</v>
      </c>
      <c r="D304" s="3">
        <v>127000</v>
      </c>
      <c r="E304" s="3">
        <v>120000000000</v>
      </c>
      <c r="F304" s="3">
        <v>108000000000</v>
      </c>
      <c r="G304" s="3">
        <v>4800000000</v>
      </c>
      <c r="H304" s="3">
        <v>16300000000</v>
      </c>
      <c r="I304" s="2">
        <v>4.4549999999999999E-2</v>
      </c>
      <c r="J304" s="3">
        <v>9.720000000000001E-13</v>
      </c>
    </row>
    <row r="305" spans="1:10" x14ac:dyDescent="0.2">
      <c r="A305" s="3">
        <v>300</v>
      </c>
      <c r="B305" s="3">
        <v>2.0200000000000001E-7</v>
      </c>
      <c r="C305" s="2">
        <v>1.5769999999999999E-2</v>
      </c>
      <c r="D305" s="3">
        <v>128000</v>
      </c>
      <c r="E305" s="3">
        <v>120000000000</v>
      </c>
      <c r="F305" s="3">
        <v>108000000000</v>
      </c>
      <c r="G305" s="2">
        <v>0</v>
      </c>
      <c r="H305" s="3">
        <v>16300000000</v>
      </c>
      <c r="I305" s="2">
        <v>-4.648E-2</v>
      </c>
      <c r="J305" s="3">
        <v>9.6900000000000001E-13</v>
      </c>
    </row>
    <row r="306" spans="1:10" x14ac:dyDescent="0.2">
      <c r="A306" s="3">
        <v>300</v>
      </c>
      <c r="B306" s="3">
        <v>2.03E-7</v>
      </c>
      <c r="C306" s="2">
        <v>1.5820000000000001E-2</v>
      </c>
      <c r="D306" s="3">
        <v>143000</v>
      </c>
      <c r="E306" s="3">
        <v>129000000000</v>
      </c>
      <c r="F306" s="3">
        <v>115000000000</v>
      </c>
      <c r="G306" s="3">
        <v>5000000000</v>
      </c>
      <c r="H306" s="3">
        <v>14900000000</v>
      </c>
      <c r="I306" s="2">
        <v>4.342E-2</v>
      </c>
      <c r="J306" s="3">
        <v>7.7800000000000002E-13</v>
      </c>
    </row>
    <row r="307" spans="1:10" x14ac:dyDescent="0.2">
      <c r="A307" s="3">
        <v>310</v>
      </c>
      <c r="B307" s="3">
        <v>2.03E-7</v>
      </c>
      <c r="C307" s="2">
        <v>1.5879999999999998E-2</v>
      </c>
      <c r="D307" s="3">
        <v>132000</v>
      </c>
      <c r="E307" s="3">
        <v>123000000000</v>
      </c>
      <c r="F307" s="3">
        <v>110000000000</v>
      </c>
      <c r="G307" s="3">
        <v>3870000000</v>
      </c>
      <c r="H307" s="3">
        <v>15900000000</v>
      </c>
      <c r="I307" s="2">
        <v>3.5189999999999999E-2</v>
      </c>
      <c r="J307" s="3">
        <v>9.0699999999999997E-13</v>
      </c>
    </row>
    <row r="308" spans="1:10" x14ac:dyDescent="0.2">
      <c r="A308" s="3">
        <v>310</v>
      </c>
      <c r="B308" s="3">
        <v>2.04E-7</v>
      </c>
      <c r="C308" s="2">
        <v>1.593E-2</v>
      </c>
      <c r="D308" s="3">
        <v>122000</v>
      </c>
      <c r="E308" s="3">
        <v>116000000000</v>
      </c>
      <c r="F308" s="3">
        <v>105000000000</v>
      </c>
      <c r="G308" s="3">
        <v>6200000000</v>
      </c>
      <c r="H308" s="3">
        <v>17000000000</v>
      </c>
      <c r="I308" s="2">
        <v>5.91E-2</v>
      </c>
      <c r="J308" s="3">
        <v>1.0700000000000001E-12</v>
      </c>
    </row>
    <row r="309" spans="1:10" x14ac:dyDescent="0.2">
      <c r="A309" s="3">
        <v>310</v>
      </c>
      <c r="B309" s="3">
        <v>2.04E-7</v>
      </c>
      <c r="C309" s="2">
        <v>1.5980000000000001E-2</v>
      </c>
      <c r="D309" s="3">
        <v>127000</v>
      </c>
      <c r="E309" s="3">
        <v>119000000000</v>
      </c>
      <c r="F309" s="3">
        <v>107000000000</v>
      </c>
      <c r="G309" s="2">
        <v>0</v>
      </c>
      <c r="H309" s="3">
        <v>16500000000</v>
      </c>
      <c r="I309" s="2">
        <v>-6.4170000000000005E-2</v>
      </c>
      <c r="J309" s="3">
        <v>9.9799999999999999E-13</v>
      </c>
    </row>
    <row r="310" spans="1:10" x14ac:dyDescent="0.2">
      <c r="A310" s="3">
        <v>310</v>
      </c>
      <c r="B310" s="3">
        <v>2.05E-7</v>
      </c>
      <c r="C310" s="2">
        <v>1.6039999999999999E-2</v>
      </c>
      <c r="D310" s="3">
        <v>138000</v>
      </c>
      <c r="E310" s="3">
        <v>125000000000</v>
      </c>
      <c r="F310" s="3">
        <v>112000000000</v>
      </c>
      <c r="G310" s="2">
        <v>0</v>
      </c>
      <c r="H310" s="3">
        <v>15400000000</v>
      </c>
      <c r="I310" s="2">
        <v>-8.4810000000000007E-3</v>
      </c>
      <c r="J310" s="3">
        <v>8.4600000000000003E-13</v>
      </c>
    </row>
    <row r="311" spans="1:10" x14ac:dyDescent="0.2">
      <c r="A311" s="3">
        <v>310</v>
      </c>
      <c r="B311" s="3">
        <v>2.05E-7</v>
      </c>
      <c r="C311" s="2">
        <v>1.609E-2</v>
      </c>
      <c r="D311" s="3">
        <v>129000</v>
      </c>
      <c r="E311" s="3">
        <v>120000000000</v>
      </c>
      <c r="F311" s="3">
        <v>108000000000</v>
      </c>
      <c r="G311" s="3">
        <v>10100000000</v>
      </c>
      <c r="H311" s="3">
        <v>16400000000</v>
      </c>
      <c r="I311" s="2">
        <v>9.3369999999999995E-2</v>
      </c>
      <c r="J311" s="3">
        <v>9.7400000000000009E-13</v>
      </c>
    </row>
    <row r="312" spans="1:10" x14ac:dyDescent="0.2">
      <c r="A312" s="3">
        <v>310</v>
      </c>
      <c r="B312" s="3">
        <v>2.0599999999999999E-7</v>
      </c>
      <c r="C312" s="2">
        <v>1.6140000000000002E-2</v>
      </c>
      <c r="D312" s="3">
        <v>137000</v>
      </c>
      <c r="E312" s="3">
        <v>125000000000</v>
      </c>
      <c r="F312" s="3">
        <v>112000000000</v>
      </c>
      <c r="G312" s="3">
        <v>8930000000</v>
      </c>
      <c r="H312" s="3">
        <v>15500000000</v>
      </c>
      <c r="I312" s="2">
        <v>8.0100000000000005E-2</v>
      </c>
      <c r="J312" s="3">
        <v>8.5799999999999998E-13</v>
      </c>
    </row>
    <row r="313" spans="1:10" x14ac:dyDescent="0.2">
      <c r="A313" s="3">
        <v>310</v>
      </c>
      <c r="B313" s="3">
        <v>2.0599999999999999E-7</v>
      </c>
      <c r="C313" s="2">
        <v>1.619E-2</v>
      </c>
      <c r="D313" s="3">
        <v>123000</v>
      </c>
      <c r="E313" s="3">
        <v>116000000000</v>
      </c>
      <c r="F313" s="3">
        <v>105000000000</v>
      </c>
      <c r="G313" s="2">
        <v>0</v>
      </c>
      <c r="H313" s="3">
        <v>17100000000</v>
      </c>
      <c r="I313" s="2">
        <v>-3.5020000000000003E-2</v>
      </c>
      <c r="J313" s="3">
        <v>1.0700000000000001E-12</v>
      </c>
    </row>
    <row r="314" spans="1:10" x14ac:dyDescent="0.2">
      <c r="A314" s="3">
        <v>310</v>
      </c>
      <c r="B314" s="3">
        <v>2.0699999999999999E-7</v>
      </c>
      <c r="C314" s="2">
        <v>1.6250000000000001E-2</v>
      </c>
      <c r="D314" s="3">
        <v>149000</v>
      </c>
      <c r="E314" s="3">
        <v>132000000000</v>
      </c>
      <c r="F314" s="3">
        <v>117000000000</v>
      </c>
      <c r="G314" s="2">
        <v>0</v>
      </c>
      <c r="H314" s="3">
        <v>14600000000</v>
      </c>
      <c r="I314" s="2">
        <v>-2.2249999999999999E-2</v>
      </c>
      <c r="J314" s="3">
        <v>7.3200000000000001E-13</v>
      </c>
    </row>
    <row r="315" spans="1:10" x14ac:dyDescent="0.2">
      <c r="A315" s="3">
        <v>310</v>
      </c>
      <c r="B315" s="3">
        <v>2.0699999999999999E-7</v>
      </c>
      <c r="C315" s="2">
        <v>1.6299999999999999E-2</v>
      </c>
      <c r="D315" s="3">
        <v>133000</v>
      </c>
      <c r="E315" s="3">
        <v>122000000000</v>
      </c>
      <c r="F315" s="3">
        <v>109000000000</v>
      </c>
      <c r="G315" s="3">
        <v>2010000000</v>
      </c>
      <c r="H315" s="3">
        <v>15900000000</v>
      </c>
      <c r="I315" s="2">
        <v>1.8409999999999999E-2</v>
      </c>
      <c r="J315" s="3">
        <v>9.1999999999999992E-13</v>
      </c>
    </row>
    <row r="316" spans="1:10" x14ac:dyDescent="0.2">
      <c r="A316" s="3">
        <v>310</v>
      </c>
      <c r="B316" s="3">
        <v>2.0800000000000001E-7</v>
      </c>
      <c r="C316" s="2">
        <v>1.635E-2</v>
      </c>
      <c r="D316" s="3">
        <v>137000</v>
      </c>
      <c r="E316" s="3">
        <v>124000000000</v>
      </c>
      <c r="F316" s="3">
        <v>111000000000</v>
      </c>
      <c r="G316" s="3">
        <v>484000000</v>
      </c>
      <c r="H316" s="3">
        <v>15600000000</v>
      </c>
      <c r="I316" s="2">
        <v>4.3509999999999998E-3</v>
      </c>
      <c r="J316" s="3">
        <v>8.7000000000000003E-13</v>
      </c>
    </row>
    <row r="317" spans="1:10" x14ac:dyDescent="0.2">
      <c r="A317" s="3">
        <v>320</v>
      </c>
      <c r="B317" s="3">
        <v>2.0800000000000001E-7</v>
      </c>
      <c r="C317" s="2">
        <v>1.6400000000000001E-2</v>
      </c>
      <c r="D317" s="3">
        <v>135000</v>
      </c>
      <c r="E317" s="3">
        <v>123000000000</v>
      </c>
      <c r="F317" s="3">
        <v>110000000000</v>
      </c>
      <c r="G317" s="2">
        <v>0</v>
      </c>
      <c r="H317" s="3">
        <v>15800000000</v>
      </c>
      <c r="I317" s="2">
        <v>-0.1033</v>
      </c>
      <c r="J317" s="3">
        <v>9.0299999999999999E-13</v>
      </c>
    </row>
    <row r="318" spans="1:10" x14ac:dyDescent="0.2">
      <c r="A318" s="3">
        <v>320</v>
      </c>
      <c r="B318" s="3">
        <v>2.0900000000000001E-7</v>
      </c>
      <c r="C318" s="2">
        <v>1.6449999999999999E-2</v>
      </c>
      <c r="D318" s="3">
        <v>127000</v>
      </c>
      <c r="E318" s="3">
        <v>117000000000</v>
      </c>
      <c r="F318" s="3">
        <v>106000000000</v>
      </c>
      <c r="G318" s="3">
        <v>3230000000</v>
      </c>
      <c r="H318" s="3">
        <v>16600000000</v>
      </c>
      <c r="I318" s="2">
        <v>3.0530000000000002E-2</v>
      </c>
      <c r="J318" s="3">
        <v>1.0300000000000001E-12</v>
      </c>
    </row>
    <row r="319" spans="1:10" x14ac:dyDescent="0.2">
      <c r="A319" s="3">
        <v>320</v>
      </c>
      <c r="B319" s="3">
        <v>2.0900000000000001E-7</v>
      </c>
      <c r="C319" s="2">
        <v>1.6500000000000001E-2</v>
      </c>
      <c r="D319" s="3">
        <v>127000</v>
      </c>
      <c r="E319" s="3">
        <v>118000000000</v>
      </c>
      <c r="F319" s="3">
        <v>106000000000</v>
      </c>
      <c r="G319" s="3">
        <v>7580000000</v>
      </c>
      <c r="H319" s="3">
        <v>16700000000</v>
      </c>
      <c r="I319" s="2">
        <v>7.1459999999999996E-2</v>
      </c>
      <c r="J319" s="3">
        <v>1.0200000000000001E-12</v>
      </c>
    </row>
    <row r="320" spans="1:10" x14ac:dyDescent="0.2">
      <c r="A320" s="3">
        <v>320</v>
      </c>
      <c r="B320" s="3">
        <v>2.1E-7</v>
      </c>
      <c r="C320" s="2">
        <v>1.6549999999999999E-2</v>
      </c>
      <c r="D320" s="3">
        <v>133000</v>
      </c>
      <c r="E320" s="3">
        <v>121000000000</v>
      </c>
      <c r="F320" s="3">
        <v>109000000000</v>
      </c>
      <c r="G320" s="2">
        <v>0</v>
      </c>
      <c r="H320" s="3">
        <v>16000000000</v>
      </c>
      <c r="I320" s="2">
        <v>-0.12820000000000001</v>
      </c>
      <c r="J320" s="3">
        <v>9.3400000000000006E-13</v>
      </c>
    </row>
    <row r="321" spans="1:10" x14ac:dyDescent="0.2">
      <c r="A321" s="3">
        <v>320</v>
      </c>
      <c r="B321" s="3">
        <v>2.1299999999999999E-7</v>
      </c>
      <c r="C321" s="2">
        <v>1.661E-2</v>
      </c>
      <c r="D321" s="3">
        <v>88100</v>
      </c>
      <c r="E321" s="3">
        <v>102000000000</v>
      </c>
      <c r="F321" s="3">
        <v>93100000000</v>
      </c>
      <c r="G321" s="3">
        <v>71600000000</v>
      </c>
      <c r="H321" s="3">
        <v>26900000000</v>
      </c>
      <c r="I321" s="2">
        <v>0.76910000000000001</v>
      </c>
      <c r="J321" s="3">
        <v>2.1400000000000002E-12</v>
      </c>
    </row>
    <row r="322" spans="1:10" x14ac:dyDescent="0.2">
      <c r="A322" s="3">
        <v>320</v>
      </c>
      <c r="B322" s="3">
        <v>2.5699999999999999E-7</v>
      </c>
      <c r="C322" s="2">
        <v>1.66E-2</v>
      </c>
      <c r="D322" s="3">
        <v>256000</v>
      </c>
      <c r="E322" s="3">
        <v>179000000000</v>
      </c>
      <c r="F322" s="3">
        <v>154000000000</v>
      </c>
      <c r="G322" s="2">
        <v>0</v>
      </c>
      <c r="H322" s="3">
        <v>8690000000</v>
      </c>
      <c r="I322" s="2">
        <v>-0.13170000000000001</v>
      </c>
      <c r="J322" s="3">
        <v>2.5399999999999998E-13</v>
      </c>
    </row>
    <row r="323" spans="1:10" x14ac:dyDescent="0.2">
      <c r="A323" s="3">
        <v>320</v>
      </c>
      <c r="B323" s="3">
        <v>2.5800000000000001E-7</v>
      </c>
      <c r="C323" s="2">
        <v>1.668E-2</v>
      </c>
      <c r="D323" s="3">
        <v>144000</v>
      </c>
      <c r="E323" s="3">
        <v>105000000000</v>
      </c>
      <c r="F323" s="3">
        <v>96000000000</v>
      </c>
      <c r="G323" s="2">
        <v>0</v>
      </c>
      <c r="H323" s="3">
        <v>10700000000</v>
      </c>
      <c r="I323" s="2">
        <v>-6.905E-2</v>
      </c>
      <c r="J323" s="3">
        <v>8.0300000000000001E-13</v>
      </c>
    </row>
    <row r="324" spans="1:10" x14ac:dyDescent="0.2">
      <c r="A324" s="3">
        <v>320</v>
      </c>
      <c r="B324" s="3">
        <v>2.5899999999999998E-7</v>
      </c>
      <c r="C324" s="2">
        <v>1.6750000000000001E-2</v>
      </c>
      <c r="D324" s="3">
        <v>144000</v>
      </c>
      <c r="E324" s="3">
        <v>105000000000</v>
      </c>
      <c r="F324" s="3">
        <v>95900000000</v>
      </c>
      <c r="G324" s="2">
        <v>0</v>
      </c>
      <c r="H324" s="3">
        <v>10700000000</v>
      </c>
      <c r="I324" s="2">
        <v>-2.0650000000000002E-2</v>
      </c>
      <c r="J324" s="3">
        <v>8.0300000000000001E-13</v>
      </c>
    </row>
    <row r="325" spans="1:10" x14ac:dyDescent="0.2">
      <c r="A325" s="3">
        <v>320</v>
      </c>
      <c r="B325" s="3">
        <v>2.6E-7</v>
      </c>
      <c r="C325" s="2">
        <v>1.6809999999999999E-2</v>
      </c>
      <c r="D325" s="3">
        <v>161000</v>
      </c>
      <c r="E325" s="3">
        <v>116000000000</v>
      </c>
      <c r="F325" s="3">
        <v>104000000000</v>
      </c>
      <c r="G325" s="3">
        <v>4350000000</v>
      </c>
      <c r="H325" s="3">
        <v>10200000000</v>
      </c>
      <c r="I325" s="2">
        <v>4.1669999999999999E-2</v>
      </c>
      <c r="J325" s="3">
        <v>6.4499999999999998E-13</v>
      </c>
    </row>
    <row r="326" spans="1:10" x14ac:dyDescent="0.2">
      <c r="A326" s="3">
        <v>320</v>
      </c>
      <c r="B326" s="3">
        <v>2.6E-7</v>
      </c>
      <c r="C326" s="2">
        <v>1.686E-2</v>
      </c>
      <c r="D326" s="3">
        <v>163000</v>
      </c>
      <c r="E326" s="3">
        <v>116000000000</v>
      </c>
      <c r="F326" s="3">
        <v>105000000000</v>
      </c>
      <c r="G326" s="3">
        <v>5980000000</v>
      </c>
      <c r="H326" s="3">
        <v>10200000000</v>
      </c>
      <c r="I326" s="2">
        <v>5.6989999999999999E-2</v>
      </c>
      <c r="J326" s="3">
        <v>6.3800000000000001E-13</v>
      </c>
    </row>
    <row r="327" spans="1:10" x14ac:dyDescent="0.2">
      <c r="A327" s="3">
        <v>330</v>
      </c>
      <c r="B327" s="3">
        <v>2.6100000000000002E-7</v>
      </c>
      <c r="C327" s="2">
        <v>1.6920000000000001E-2</v>
      </c>
      <c r="D327" s="3">
        <v>149000</v>
      </c>
      <c r="E327" s="3">
        <v>108000000000</v>
      </c>
      <c r="F327" s="3">
        <v>97900000000</v>
      </c>
      <c r="G327" s="2">
        <v>0</v>
      </c>
      <c r="H327" s="3">
        <v>10600000000</v>
      </c>
      <c r="I327" s="2">
        <v>-2.1590000000000002E-2</v>
      </c>
      <c r="J327" s="3">
        <v>7.6599999999999997E-13</v>
      </c>
    </row>
    <row r="328" spans="1:10" x14ac:dyDescent="0.2">
      <c r="A328" s="3">
        <v>330</v>
      </c>
      <c r="B328" s="3">
        <v>2.6100000000000002E-7</v>
      </c>
      <c r="C328" s="2">
        <v>1.6969999999999999E-2</v>
      </c>
      <c r="D328" s="3">
        <v>158000</v>
      </c>
      <c r="E328" s="3">
        <v>113000000000</v>
      </c>
      <c r="F328" s="3">
        <v>102000000000</v>
      </c>
      <c r="G328" s="2">
        <v>0</v>
      </c>
      <c r="H328" s="3">
        <v>10300000000</v>
      </c>
      <c r="I328" s="2">
        <v>-0.1123</v>
      </c>
      <c r="J328" s="3">
        <v>6.8100000000000003E-13</v>
      </c>
    </row>
    <row r="329" spans="1:10" x14ac:dyDescent="0.2">
      <c r="A329" s="3">
        <v>330</v>
      </c>
      <c r="B329" s="3">
        <v>2.6100000000000002E-7</v>
      </c>
      <c r="C329" s="2">
        <v>1.702E-2</v>
      </c>
      <c r="D329" s="3">
        <v>147000</v>
      </c>
      <c r="E329" s="3">
        <v>107000000000</v>
      </c>
      <c r="F329" s="3">
        <v>97100000000</v>
      </c>
      <c r="G329" s="2">
        <v>0</v>
      </c>
      <c r="H329" s="3">
        <v>10700000000</v>
      </c>
      <c r="I329" s="2">
        <v>-9.2200000000000004E-2</v>
      </c>
      <c r="J329" s="3">
        <v>7.8499999999999999E-13</v>
      </c>
    </row>
    <row r="330" spans="1:10" x14ac:dyDescent="0.2">
      <c r="A330" s="3">
        <v>330</v>
      </c>
      <c r="B330" s="3">
        <v>2.6199999999999999E-7</v>
      </c>
      <c r="C330" s="2">
        <v>1.7069999999999998E-2</v>
      </c>
      <c r="D330" s="3">
        <v>162000</v>
      </c>
      <c r="E330" s="3">
        <v>116000000000</v>
      </c>
      <c r="F330" s="3">
        <v>104000000000</v>
      </c>
      <c r="G330" s="3">
        <v>189000000</v>
      </c>
      <c r="H330" s="3">
        <v>10300000000</v>
      </c>
      <c r="I330" s="2">
        <v>1.8109999999999999E-3</v>
      </c>
      <c r="J330" s="3">
        <v>6.4999999999999996E-13</v>
      </c>
    </row>
    <row r="331" spans="1:10" x14ac:dyDescent="0.2">
      <c r="A331" s="3">
        <v>330</v>
      </c>
      <c r="B331" s="3">
        <v>2.6300000000000001E-7</v>
      </c>
      <c r="C331" s="2">
        <v>1.7129999999999999E-2</v>
      </c>
      <c r="D331" s="3">
        <v>166000</v>
      </c>
      <c r="E331" s="3">
        <v>118000000000</v>
      </c>
      <c r="F331" s="3">
        <v>106000000000</v>
      </c>
      <c r="G331" s="2">
        <v>0</v>
      </c>
      <c r="H331" s="3">
        <v>10200000000</v>
      </c>
      <c r="I331" s="2">
        <v>-8.6480000000000001E-2</v>
      </c>
      <c r="J331" s="3">
        <v>6.1899999999999999E-13</v>
      </c>
    </row>
    <row r="332" spans="1:10" x14ac:dyDescent="0.2">
      <c r="A332" s="3">
        <v>330</v>
      </c>
      <c r="B332" s="3">
        <v>2.6300000000000001E-7</v>
      </c>
      <c r="C332" s="2">
        <v>1.7180000000000001E-2</v>
      </c>
      <c r="D332" s="3">
        <v>139000</v>
      </c>
      <c r="E332" s="3">
        <v>102000000000</v>
      </c>
      <c r="F332" s="3">
        <v>92900000000</v>
      </c>
      <c r="G332" s="3">
        <v>2310000000</v>
      </c>
      <c r="H332" s="3">
        <v>11100000000</v>
      </c>
      <c r="I332" s="2">
        <v>2.487E-2</v>
      </c>
      <c r="J332" s="3">
        <v>8.9100000000000004E-13</v>
      </c>
    </row>
    <row r="333" spans="1:10" x14ac:dyDescent="0.2">
      <c r="A333" s="3">
        <v>330</v>
      </c>
      <c r="B333" s="3">
        <v>2.6300000000000001E-7</v>
      </c>
      <c r="C333" s="2">
        <v>1.7229999999999999E-2</v>
      </c>
      <c r="D333" s="3">
        <v>157000</v>
      </c>
      <c r="E333" s="3">
        <v>112000000000</v>
      </c>
      <c r="F333" s="3">
        <v>101000000000</v>
      </c>
      <c r="G333" s="3">
        <v>11000000000</v>
      </c>
      <c r="H333" s="3">
        <v>10500000000</v>
      </c>
      <c r="I333" s="2">
        <v>0.1086</v>
      </c>
      <c r="J333" s="3">
        <v>7.0200000000000004E-13</v>
      </c>
    </row>
    <row r="334" spans="1:10" x14ac:dyDescent="0.2">
      <c r="A334" s="3">
        <v>330</v>
      </c>
      <c r="B334" s="3">
        <v>2.6399999999999998E-7</v>
      </c>
      <c r="C334" s="2">
        <v>1.728E-2</v>
      </c>
      <c r="D334" s="3">
        <v>160000</v>
      </c>
      <c r="E334" s="3">
        <v>114000000000</v>
      </c>
      <c r="F334" s="3">
        <v>103000000000</v>
      </c>
      <c r="G334" s="3">
        <v>420000000</v>
      </c>
      <c r="H334" s="3">
        <v>10400000000</v>
      </c>
      <c r="I334" s="2">
        <v>4.0639999999999999E-3</v>
      </c>
      <c r="J334" s="3">
        <v>6.7299999999999996E-13</v>
      </c>
    </row>
    <row r="335" spans="1:10" x14ac:dyDescent="0.2">
      <c r="A335" s="3">
        <v>330</v>
      </c>
      <c r="B335" s="3">
        <v>2.6399999999999998E-7</v>
      </c>
      <c r="C335" s="2">
        <v>1.7340000000000001E-2</v>
      </c>
      <c r="D335" s="3">
        <v>157000</v>
      </c>
      <c r="E335" s="3">
        <v>112000000000</v>
      </c>
      <c r="F335" s="3">
        <v>102000000000</v>
      </c>
      <c r="G335" s="3">
        <v>2090000000</v>
      </c>
      <c r="H335" s="3">
        <v>10500000000</v>
      </c>
      <c r="I335" s="2">
        <v>2.0539999999999999E-2</v>
      </c>
      <c r="J335" s="3">
        <v>7.0400000000000003E-13</v>
      </c>
    </row>
    <row r="336" spans="1:10" x14ac:dyDescent="0.2">
      <c r="A336" s="3">
        <v>330</v>
      </c>
      <c r="B336" s="3">
        <v>2.65E-7</v>
      </c>
      <c r="C336" s="2">
        <v>1.7389999999999999E-2</v>
      </c>
      <c r="D336" s="3">
        <v>143000</v>
      </c>
      <c r="E336" s="3">
        <v>104000000000</v>
      </c>
      <c r="F336" s="3">
        <v>94400000000</v>
      </c>
      <c r="G336" s="3">
        <v>6240000000</v>
      </c>
      <c r="H336" s="3">
        <v>11100000000</v>
      </c>
      <c r="I336" s="2">
        <v>6.6100000000000006E-2</v>
      </c>
      <c r="J336" s="3">
        <v>8.5699999999999998E-13</v>
      </c>
    </row>
    <row r="337" spans="1:10" x14ac:dyDescent="0.2">
      <c r="A337" s="3">
        <v>340</v>
      </c>
      <c r="B337" s="3">
        <v>2.65E-7</v>
      </c>
      <c r="C337" s="2">
        <v>1.7440000000000001E-2</v>
      </c>
      <c r="D337" s="3">
        <v>173000</v>
      </c>
      <c r="E337" s="3">
        <v>122000000000</v>
      </c>
      <c r="F337" s="3">
        <v>109000000000</v>
      </c>
      <c r="G337" s="3">
        <v>1320000000</v>
      </c>
      <c r="H337" s="3">
        <v>10100000000</v>
      </c>
      <c r="I337" s="2">
        <v>1.2030000000000001E-2</v>
      </c>
      <c r="J337" s="3">
        <v>5.8600000000000003E-13</v>
      </c>
    </row>
    <row r="338" spans="1:10" x14ac:dyDescent="0.2">
      <c r="A338" s="3">
        <v>340</v>
      </c>
      <c r="B338" s="3">
        <v>2.65E-7</v>
      </c>
      <c r="C338" s="2">
        <v>1.7489999999999999E-2</v>
      </c>
      <c r="D338" s="3">
        <v>151000</v>
      </c>
      <c r="E338" s="3">
        <v>109000000000</v>
      </c>
      <c r="F338" s="3">
        <v>98600000000</v>
      </c>
      <c r="G338" s="3">
        <v>6960000000</v>
      </c>
      <c r="H338" s="3">
        <v>10800000000</v>
      </c>
      <c r="I338" s="2">
        <v>7.0610000000000006E-2</v>
      </c>
      <c r="J338" s="3">
        <v>7.6699999999999996E-13</v>
      </c>
    </row>
    <row r="339" spans="1:10" x14ac:dyDescent="0.2">
      <c r="A339" s="3">
        <v>340</v>
      </c>
      <c r="B339" s="3">
        <v>2.6600000000000003E-7</v>
      </c>
      <c r="C339" s="2">
        <v>1.755E-2</v>
      </c>
      <c r="D339" s="3">
        <v>155000</v>
      </c>
      <c r="E339" s="3">
        <v>110000000000</v>
      </c>
      <c r="F339" s="3">
        <v>100000000000</v>
      </c>
      <c r="G339" s="2">
        <v>0</v>
      </c>
      <c r="H339" s="3">
        <v>10700000000</v>
      </c>
      <c r="I339" s="2">
        <v>-7.783E-3</v>
      </c>
      <c r="J339" s="3">
        <v>7.3599999999999999E-13</v>
      </c>
    </row>
    <row r="340" spans="1:10" x14ac:dyDescent="0.2">
      <c r="A340" s="3">
        <v>340</v>
      </c>
      <c r="B340" s="3">
        <v>2.6600000000000003E-7</v>
      </c>
      <c r="C340" s="2">
        <v>1.7600000000000001E-2</v>
      </c>
      <c r="D340" s="3">
        <v>169000</v>
      </c>
      <c r="E340" s="3">
        <v>119000000000</v>
      </c>
      <c r="F340" s="3">
        <v>107000000000</v>
      </c>
      <c r="G340" s="3">
        <v>10700000000</v>
      </c>
      <c r="H340" s="3">
        <v>10300000000</v>
      </c>
      <c r="I340" s="2">
        <v>9.9650000000000002E-2</v>
      </c>
      <c r="J340" s="3">
        <v>6.1400000000000001E-13</v>
      </c>
    </row>
    <row r="341" spans="1:10" x14ac:dyDescent="0.2">
      <c r="A341" s="3">
        <v>340</v>
      </c>
      <c r="B341" s="3">
        <v>2.6800000000000002E-7</v>
      </c>
      <c r="C341" s="2">
        <v>1.7649999999999999E-2</v>
      </c>
      <c r="D341" s="3">
        <v>149000</v>
      </c>
      <c r="E341" s="3">
        <v>107000000000</v>
      </c>
      <c r="F341" s="3">
        <v>97100000000</v>
      </c>
      <c r="G341" s="3">
        <v>1360000000</v>
      </c>
      <c r="H341" s="3">
        <v>10900000000</v>
      </c>
      <c r="I341" s="2">
        <v>1.3979999999999999E-2</v>
      </c>
      <c r="J341" s="3">
        <v>7.9400000000000005E-13</v>
      </c>
    </row>
    <row r="342" spans="1:10" x14ac:dyDescent="0.2">
      <c r="A342" s="3">
        <v>340</v>
      </c>
      <c r="B342" s="3">
        <v>2.6800000000000002E-7</v>
      </c>
      <c r="C342" s="2">
        <v>1.77E-2</v>
      </c>
      <c r="D342" s="3">
        <v>143000</v>
      </c>
      <c r="E342" s="3">
        <v>103000000000</v>
      </c>
      <c r="F342" s="3">
        <v>94100000000</v>
      </c>
      <c r="G342" s="3">
        <v>2630000000</v>
      </c>
      <c r="H342" s="3">
        <v>11100000000</v>
      </c>
      <c r="I342" s="2">
        <v>2.7910000000000001E-2</v>
      </c>
      <c r="J342" s="3">
        <v>8.6600000000000005E-13</v>
      </c>
    </row>
    <row r="343" spans="1:10" x14ac:dyDescent="0.2">
      <c r="A343" s="3">
        <v>340</v>
      </c>
      <c r="B343" s="3">
        <v>2.6899999999999999E-7</v>
      </c>
      <c r="C343" s="2">
        <v>1.7749999999999998E-2</v>
      </c>
      <c r="D343" s="3">
        <v>171000</v>
      </c>
      <c r="E343" s="3">
        <v>120000000000</v>
      </c>
      <c r="F343" s="3">
        <v>108000000000</v>
      </c>
      <c r="G343" s="3">
        <v>2030000000</v>
      </c>
      <c r="H343" s="3">
        <v>10200000000</v>
      </c>
      <c r="I343" s="2">
        <v>1.8870000000000001E-2</v>
      </c>
      <c r="J343" s="3">
        <v>6.0500000000000005E-13</v>
      </c>
    </row>
    <row r="344" spans="1:10" x14ac:dyDescent="0.2">
      <c r="A344" s="3">
        <v>340</v>
      </c>
      <c r="B344" s="3">
        <v>2.7000000000000001E-7</v>
      </c>
      <c r="C344" s="2">
        <v>1.7809999999999999E-2</v>
      </c>
      <c r="D344" s="3">
        <v>182000</v>
      </c>
      <c r="E344" s="3">
        <v>127000000000</v>
      </c>
      <c r="F344" s="3">
        <v>113000000000</v>
      </c>
      <c r="G344" s="3">
        <v>2450000000</v>
      </c>
      <c r="H344" s="3">
        <v>9930000000</v>
      </c>
      <c r="I344" s="2">
        <v>2.164E-2</v>
      </c>
      <c r="J344" s="3">
        <v>5.3500000000000004E-13</v>
      </c>
    </row>
    <row r="345" spans="1:10" x14ac:dyDescent="0.2">
      <c r="A345" s="3">
        <v>340</v>
      </c>
      <c r="B345" s="3">
        <v>2.7000000000000001E-7</v>
      </c>
      <c r="C345" s="2">
        <v>1.7860000000000001E-2</v>
      </c>
      <c r="D345" s="3">
        <v>155000</v>
      </c>
      <c r="E345" s="3">
        <v>110000000000</v>
      </c>
      <c r="F345" s="3">
        <v>99400000000</v>
      </c>
      <c r="G345" s="2">
        <v>0</v>
      </c>
      <c r="H345" s="3">
        <v>10700000000</v>
      </c>
      <c r="I345" s="2">
        <v>-3.2179999999999999E-3</v>
      </c>
      <c r="J345" s="3">
        <v>7.4800000000000004E-13</v>
      </c>
    </row>
    <row r="346" spans="1:10" x14ac:dyDescent="0.2">
      <c r="A346" s="3">
        <v>340</v>
      </c>
      <c r="B346" s="3">
        <v>2.7099999999999998E-7</v>
      </c>
      <c r="C346" s="2">
        <v>1.7909999999999999E-2</v>
      </c>
      <c r="D346" s="3">
        <v>147000</v>
      </c>
      <c r="E346" s="3">
        <v>105000000000</v>
      </c>
      <c r="F346" s="3">
        <v>95600000000</v>
      </c>
      <c r="G346" s="3">
        <v>764000000</v>
      </c>
      <c r="H346" s="3">
        <v>11000000000</v>
      </c>
      <c r="I346" s="2">
        <v>7.9930000000000001E-3</v>
      </c>
      <c r="J346" s="3">
        <v>8.2800000000000001E-13</v>
      </c>
    </row>
    <row r="347" spans="1:10" x14ac:dyDescent="0.2">
      <c r="A347" s="3">
        <v>350</v>
      </c>
      <c r="B347" s="3">
        <v>2.72E-7</v>
      </c>
      <c r="C347" s="2">
        <v>1.796E-2</v>
      </c>
      <c r="D347" s="3">
        <v>160000</v>
      </c>
      <c r="E347" s="3">
        <v>112000000000</v>
      </c>
      <c r="F347" s="3">
        <v>102000000000</v>
      </c>
      <c r="G347" s="3">
        <v>17000000000</v>
      </c>
      <c r="H347" s="3">
        <v>10500000000</v>
      </c>
      <c r="I347" s="2">
        <v>0.16739999999999999</v>
      </c>
      <c r="J347" s="3">
        <v>7.0400000000000003E-13</v>
      </c>
    </row>
    <row r="348" spans="1:10" x14ac:dyDescent="0.2">
      <c r="A348" s="3">
        <v>350</v>
      </c>
      <c r="B348" s="3">
        <v>2.72E-7</v>
      </c>
      <c r="C348" s="2">
        <v>1.8010000000000002E-2</v>
      </c>
      <c r="D348" s="3">
        <v>163000</v>
      </c>
      <c r="E348" s="3">
        <v>114000000000</v>
      </c>
      <c r="F348" s="3">
        <v>103000000000</v>
      </c>
      <c r="G348" s="3">
        <v>3960000000</v>
      </c>
      <c r="H348" s="3">
        <v>10500000000</v>
      </c>
      <c r="I348" s="2">
        <v>3.8440000000000002E-2</v>
      </c>
      <c r="J348" s="3">
        <v>6.8100000000000003E-13</v>
      </c>
    </row>
    <row r="349" spans="1:10" x14ac:dyDescent="0.2">
      <c r="A349" s="3">
        <v>350</v>
      </c>
      <c r="B349" s="3">
        <v>2.7300000000000002E-7</v>
      </c>
      <c r="C349" s="2">
        <v>1.806E-2</v>
      </c>
      <c r="D349" s="3">
        <v>155000</v>
      </c>
      <c r="E349" s="3">
        <v>109000000000</v>
      </c>
      <c r="F349" s="3">
        <v>99100000000</v>
      </c>
      <c r="G349" s="3">
        <v>13900000000</v>
      </c>
      <c r="H349" s="3">
        <v>10700000000</v>
      </c>
      <c r="I349" s="2">
        <v>0.13980000000000001</v>
      </c>
      <c r="J349" s="3">
        <v>7.5200000000000003E-13</v>
      </c>
    </row>
    <row r="350" spans="1:10" x14ac:dyDescent="0.2">
      <c r="A350" s="3">
        <v>350</v>
      </c>
      <c r="B350" s="3">
        <v>2.7399999999999999E-7</v>
      </c>
      <c r="C350" s="2">
        <v>1.8120000000000001E-2</v>
      </c>
      <c r="D350" s="3">
        <v>161000</v>
      </c>
      <c r="E350" s="3">
        <v>113000000000</v>
      </c>
      <c r="F350" s="3">
        <v>102000000000</v>
      </c>
      <c r="G350" s="2">
        <v>0</v>
      </c>
      <c r="H350" s="3">
        <v>10500000000</v>
      </c>
      <c r="I350" s="2">
        <v>-8.8380000000000004E-3</v>
      </c>
      <c r="J350" s="3">
        <v>6.9799999999999995E-13</v>
      </c>
    </row>
    <row r="351" spans="1:10" x14ac:dyDescent="0.2">
      <c r="A351" s="3">
        <v>350</v>
      </c>
      <c r="B351" s="3">
        <v>2.7399999999999999E-7</v>
      </c>
      <c r="C351" s="2">
        <v>1.8169999999999999E-2</v>
      </c>
      <c r="D351" s="3">
        <v>144000</v>
      </c>
      <c r="E351" s="3">
        <v>103000000000</v>
      </c>
      <c r="F351" s="3">
        <v>93600000000</v>
      </c>
      <c r="G351" s="3">
        <v>9640000000</v>
      </c>
      <c r="H351" s="3">
        <v>11100000000</v>
      </c>
      <c r="I351" s="2">
        <v>0.10290000000000001</v>
      </c>
      <c r="J351" s="3">
        <v>8.76E-13</v>
      </c>
    </row>
    <row r="352" spans="1:10" x14ac:dyDescent="0.2">
      <c r="A352" s="3">
        <v>350</v>
      </c>
      <c r="B352" s="3">
        <v>2.7500000000000001E-7</v>
      </c>
      <c r="C352" s="2">
        <v>1.822E-2</v>
      </c>
      <c r="D352" s="3">
        <v>191000</v>
      </c>
      <c r="E352" s="3">
        <v>131000000000</v>
      </c>
      <c r="F352" s="3">
        <v>116000000000</v>
      </c>
      <c r="G352" s="3">
        <v>10900000000</v>
      </c>
      <c r="H352" s="3">
        <v>9790000000</v>
      </c>
      <c r="I352" s="2">
        <v>9.4E-2</v>
      </c>
      <c r="J352" s="3">
        <v>4.9899999999999999E-13</v>
      </c>
    </row>
    <row r="353" spans="1:10" x14ac:dyDescent="0.2">
      <c r="A353" s="3">
        <v>350</v>
      </c>
      <c r="B353" s="3">
        <v>2.7599999999999998E-7</v>
      </c>
      <c r="C353" s="2">
        <v>1.8270000000000002E-2</v>
      </c>
      <c r="D353" s="3">
        <v>170000</v>
      </c>
      <c r="E353" s="3">
        <v>117000000000</v>
      </c>
      <c r="F353" s="3">
        <v>106000000000</v>
      </c>
      <c r="G353" s="2">
        <v>0</v>
      </c>
      <c r="H353" s="3">
        <v>10300000000</v>
      </c>
      <c r="I353" s="2">
        <v>-3.3649999999999999E-2</v>
      </c>
      <c r="J353" s="3">
        <v>6.3600000000000002E-13</v>
      </c>
    </row>
    <row r="354" spans="1:10" x14ac:dyDescent="0.2">
      <c r="A354" s="3">
        <v>350</v>
      </c>
      <c r="B354" s="3">
        <v>2.7700000000000001E-7</v>
      </c>
      <c r="C354" s="2">
        <v>1.8329999999999999E-2</v>
      </c>
      <c r="D354" s="3">
        <v>162000</v>
      </c>
      <c r="E354" s="3">
        <v>112000000000</v>
      </c>
      <c r="F354" s="3">
        <v>102000000000</v>
      </c>
      <c r="G354" s="3">
        <v>5990000000</v>
      </c>
      <c r="H354" s="3">
        <v>10500000000</v>
      </c>
      <c r="I354" s="2">
        <v>5.8979999999999998E-2</v>
      </c>
      <c r="J354" s="3">
        <v>7.0100000000000004E-13</v>
      </c>
    </row>
    <row r="355" spans="1:10" x14ac:dyDescent="0.2">
      <c r="A355" s="3">
        <v>350</v>
      </c>
      <c r="B355" s="3">
        <v>2.7700000000000001E-7</v>
      </c>
      <c r="C355" s="2">
        <v>1.8380000000000001E-2</v>
      </c>
      <c r="D355" s="3">
        <v>172000</v>
      </c>
      <c r="E355" s="3">
        <v>118000000000</v>
      </c>
      <c r="F355" s="3">
        <v>107000000000</v>
      </c>
      <c r="G355" s="2">
        <v>0</v>
      </c>
      <c r="H355" s="3">
        <v>10200000000</v>
      </c>
      <c r="I355" s="2">
        <v>-1.7010000000000001E-2</v>
      </c>
      <c r="J355" s="3">
        <v>6.2199999999999997E-13</v>
      </c>
    </row>
    <row r="356" spans="1:10" x14ac:dyDescent="0.2">
      <c r="A356" s="3">
        <v>350</v>
      </c>
      <c r="B356" s="3">
        <v>2.7799999999999997E-7</v>
      </c>
      <c r="C356" s="2">
        <v>1.8429999999999998E-2</v>
      </c>
      <c r="D356" s="3">
        <v>167000</v>
      </c>
      <c r="E356" s="3">
        <v>115000000000</v>
      </c>
      <c r="F356" s="3">
        <v>104000000000</v>
      </c>
      <c r="G356" s="2">
        <v>0</v>
      </c>
      <c r="H356" s="3">
        <v>10400000000</v>
      </c>
      <c r="I356" s="2">
        <v>-3.7409999999999999E-2</v>
      </c>
      <c r="J356" s="3">
        <v>6.5800000000000002E-13</v>
      </c>
    </row>
    <row r="357" spans="1:10" x14ac:dyDescent="0.2">
      <c r="A357" s="3">
        <v>360</v>
      </c>
      <c r="B357" s="3">
        <v>2.7799999999999997E-7</v>
      </c>
      <c r="C357" s="2">
        <v>1.848E-2</v>
      </c>
      <c r="D357" s="3">
        <v>169000</v>
      </c>
      <c r="E357" s="3">
        <v>116000000000</v>
      </c>
      <c r="F357" s="3">
        <v>105000000000</v>
      </c>
      <c r="G357" s="3">
        <v>4060000000</v>
      </c>
      <c r="H357" s="3">
        <v>10300000000</v>
      </c>
      <c r="I357" s="2">
        <v>3.8649999999999997E-2</v>
      </c>
      <c r="J357" s="3">
        <v>6.4699999999999997E-13</v>
      </c>
    </row>
    <row r="358" spans="1:10" x14ac:dyDescent="0.2">
      <c r="A358" s="3">
        <v>360</v>
      </c>
      <c r="B358" s="3">
        <v>2.79E-7</v>
      </c>
      <c r="C358" s="2">
        <v>1.8530000000000001E-2</v>
      </c>
      <c r="D358" s="3">
        <v>169000</v>
      </c>
      <c r="E358" s="3">
        <v>116000000000</v>
      </c>
      <c r="F358" s="3">
        <v>105000000000</v>
      </c>
      <c r="G358" s="2">
        <v>0</v>
      </c>
      <c r="H358" s="3">
        <v>10300000000</v>
      </c>
      <c r="I358" s="2">
        <v>-2.6120000000000001E-2</v>
      </c>
      <c r="J358" s="3">
        <v>6.4499999999999998E-13</v>
      </c>
    </row>
    <row r="359" spans="1:10" x14ac:dyDescent="0.2">
      <c r="A359" s="3">
        <v>360</v>
      </c>
      <c r="B359" s="3">
        <v>2.8000000000000002E-7</v>
      </c>
      <c r="C359" s="2">
        <v>1.8589999999999999E-2</v>
      </c>
      <c r="D359" s="3">
        <v>156000</v>
      </c>
      <c r="E359" s="3">
        <v>108000000000</v>
      </c>
      <c r="F359" s="3">
        <v>98300000000</v>
      </c>
      <c r="G359" s="3">
        <v>398000000</v>
      </c>
      <c r="H359" s="3">
        <v>10700000000</v>
      </c>
      <c r="I359" s="2">
        <v>4.052E-3</v>
      </c>
      <c r="J359" s="3">
        <v>7.6499999999999997E-13</v>
      </c>
    </row>
    <row r="360" spans="1:10" x14ac:dyDescent="0.2">
      <c r="A360" s="3">
        <v>360</v>
      </c>
      <c r="B360" s="3">
        <v>2.8099999999999999E-7</v>
      </c>
      <c r="C360" s="2">
        <v>1.864E-2</v>
      </c>
      <c r="D360" s="3">
        <v>154000</v>
      </c>
      <c r="E360" s="3">
        <v>107000000000</v>
      </c>
      <c r="F360" s="3">
        <v>97400000000</v>
      </c>
      <c r="G360" s="2">
        <v>0</v>
      </c>
      <c r="H360" s="3">
        <v>10800000000</v>
      </c>
      <c r="I360" s="2">
        <v>-6.0380000000000003E-2</v>
      </c>
      <c r="J360" s="3">
        <v>7.8399999999999999E-13</v>
      </c>
    </row>
    <row r="361" spans="1:10" x14ac:dyDescent="0.2">
      <c r="A361" s="3">
        <v>360</v>
      </c>
      <c r="B361" s="3">
        <v>2.8099999999999999E-7</v>
      </c>
      <c r="C361" s="2">
        <v>1.8689999999999998E-2</v>
      </c>
      <c r="D361" s="3">
        <v>169000</v>
      </c>
      <c r="E361" s="3">
        <v>115000000000</v>
      </c>
      <c r="F361" s="3">
        <v>104000000000</v>
      </c>
      <c r="G361" s="3">
        <v>6580000000</v>
      </c>
      <c r="H361" s="3">
        <v>10300000000</v>
      </c>
      <c r="I361" s="2">
        <v>6.3130000000000006E-2</v>
      </c>
      <c r="J361" s="3">
        <v>6.5600000000000003E-13</v>
      </c>
    </row>
    <row r="362" spans="1:10" x14ac:dyDescent="0.2">
      <c r="A362" s="3">
        <v>360</v>
      </c>
      <c r="B362" s="3">
        <v>2.8200000000000001E-7</v>
      </c>
      <c r="C362" s="2">
        <v>1.874E-2</v>
      </c>
      <c r="D362" s="3">
        <v>146000</v>
      </c>
      <c r="E362" s="3">
        <v>102000000000</v>
      </c>
      <c r="F362" s="3">
        <v>93400000000</v>
      </c>
      <c r="G362" s="3">
        <v>1200000000</v>
      </c>
      <c r="H362" s="3">
        <v>11100000000</v>
      </c>
      <c r="I362" s="2">
        <v>1.2800000000000001E-2</v>
      </c>
      <c r="J362" s="3">
        <v>8.7799999999999999E-13</v>
      </c>
    </row>
    <row r="363" spans="1:10" x14ac:dyDescent="0.2">
      <c r="A363" s="3">
        <v>360</v>
      </c>
      <c r="B363" s="3">
        <v>2.8200000000000001E-7</v>
      </c>
      <c r="C363" s="2">
        <v>1.8790000000000001E-2</v>
      </c>
      <c r="D363" s="3">
        <v>165000</v>
      </c>
      <c r="E363" s="3">
        <v>113000000000</v>
      </c>
      <c r="F363" s="3">
        <v>103000000000</v>
      </c>
      <c r="G363" s="3">
        <v>10700000000</v>
      </c>
      <c r="H363" s="3">
        <v>10500000000</v>
      </c>
      <c r="I363" s="2">
        <v>0.1041</v>
      </c>
      <c r="J363" s="3">
        <v>6.87E-13</v>
      </c>
    </row>
    <row r="364" spans="1:10" x14ac:dyDescent="0.2">
      <c r="A364" s="3">
        <v>360</v>
      </c>
      <c r="B364" s="3">
        <v>2.8299999999999998E-7</v>
      </c>
      <c r="C364" s="2">
        <v>1.8849999999999999E-2</v>
      </c>
      <c r="D364" s="3">
        <v>175000</v>
      </c>
      <c r="E364" s="3">
        <v>119000000000</v>
      </c>
      <c r="F364" s="3">
        <v>107000000000</v>
      </c>
      <c r="G364" s="3">
        <v>3550000000</v>
      </c>
      <c r="H364" s="3">
        <v>10200000000</v>
      </c>
      <c r="I364" s="2">
        <v>3.322E-2</v>
      </c>
      <c r="J364" s="3">
        <v>6.15E-13</v>
      </c>
    </row>
    <row r="365" spans="1:10" x14ac:dyDescent="0.2">
      <c r="A365" s="3">
        <v>360</v>
      </c>
      <c r="B365" s="3">
        <v>2.84E-7</v>
      </c>
      <c r="C365" s="2">
        <v>1.89E-2</v>
      </c>
      <c r="D365" s="3">
        <v>162000</v>
      </c>
      <c r="E365" s="3">
        <v>111000000000</v>
      </c>
      <c r="F365" s="3">
        <v>101000000000</v>
      </c>
      <c r="G365" s="3">
        <v>8670000000</v>
      </c>
      <c r="H365" s="3">
        <v>10600000000</v>
      </c>
      <c r="I365" s="2">
        <v>8.6209999999999995E-2</v>
      </c>
      <c r="J365" s="3">
        <v>7.1999999999999996E-13</v>
      </c>
    </row>
    <row r="366" spans="1:10" x14ac:dyDescent="0.2">
      <c r="A366" s="3">
        <v>360</v>
      </c>
      <c r="B366" s="3">
        <v>2.84E-7</v>
      </c>
      <c r="C366" s="2">
        <v>1.8950000000000002E-2</v>
      </c>
      <c r="D366" s="3">
        <v>198000</v>
      </c>
      <c r="E366" s="3">
        <v>132000000000</v>
      </c>
      <c r="F366" s="3">
        <v>118000000000</v>
      </c>
      <c r="G366" s="3">
        <v>8160000000</v>
      </c>
      <c r="H366" s="3">
        <v>9740000000</v>
      </c>
      <c r="I366" s="2">
        <v>6.9269999999999998E-2</v>
      </c>
      <c r="J366" s="3">
        <v>4.8399999999999996E-13</v>
      </c>
    </row>
    <row r="367" spans="1:10" x14ac:dyDescent="0.2">
      <c r="A367" s="3">
        <v>370</v>
      </c>
      <c r="B367" s="3">
        <v>2.8500000000000002E-7</v>
      </c>
      <c r="C367" s="2">
        <v>1.9E-2</v>
      </c>
      <c r="D367" s="3">
        <v>179000</v>
      </c>
      <c r="E367" s="3">
        <v>121000000000</v>
      </c>
      <c r="F367" s="3">
        <v>109000000000</v>
      </c>
      <c r="G367" s="2">
        <v>0</v>
      </c>
      <c r="H367" s="3">
        <v>10100000000</v>
      </c>
      <c r="I367" s="2">
        <v>-4.0939999999999997E-2</v>
      </c>
      <c r="J367" s="3">
        <v>5.92E-13</v>
      </c>
    </row>
    <row r="368" spans="1:10" x14ac:dyDescent="0.2">
      <c r="A368" s="3">
        <v>370</v>
      </c>
      <c r="B368" s="3">
        <v>2.8599999999999999E-7</v>
      </c>
      <c r="C368" s="2">
        <v>1.9060000000000001E-2</v>
      </c>
      <c r="D368" s="3">
        <v>172000</v>
      </c>
      <c r="E368" s="3">
        <v>117000000000</v>
      </c>
      <c r="F368" s="3">
        <v>105000000000</v>
      </c>
      <c r="G368" s="3">
        <v>11000000000</v>
      </c>
      <c r="H368" s="3">
        <v>10300000000</v>
      </c>
      <c r="I368" s="2">
        <v>0.105</v>
      </c>
      <c r="J368" s="3">
        <v>6.4399999999999998E-13</v>
      </c>
    </row>
    <row r="369" spans="1:10" x14ac:dyDescent="0.2">
      <c r="A369" s="3">
        <v>370</v>
      </c>
      <c r="B369" s="3">
        <v>2.8700000000000002E-7</v>
      </c>
      <c r="C369" s="2">
        <v>1.9099999999999999E-2</v>
      </c>
      <c r="D369" s="3">
        <v>154000</v>
      </c>
      <c r="E369" s="3">
        <v>106000000000</v>
      </c>
      <c r="F369" s="3">
        <v>96400000000</v>
      </c>
      <c r="G369" s="3">
        <v>6080000000</v>
      </c>
      <c r="H369" s="3">
        <v>10800000000</v>
      </c>
      <c r="I369" s="2">
        <v>6.3039999999999999E-2</v>
      </c>
      <c r="J369" s="3">
        <v>8.0400000000000001E-13</v>
      </c>
    </row>
    <row r="370" spans="1:10" x14ac:dyDescent="0.2">
      <c r="A370" s="3">
        <v>370</v>
      </c>
      <c r="B370" s="3">
        <v>2.8700000000000002E-7</v>
      </c>
      <c r="C370" s="2">
        <v>1.916E-2</v>
      </c>
      <c r="D370" s="3">
        <v>166000</v>
      </c>
      <c r="E370" s="3">
        <v>113000000000</v>
      </c>
      <c r="F370" s="3">
        <v>102000000000</v>
      </c>
      <c r="G370" s="3">
        <v>1420000000</v>
      </c>
      <c r="H370" s="3">
        <v>10500000000</v>
      </c>
      <c r="I370" s="2">
        <v>1.391E-2</v>
      </c>
      <c r="J370" s="3">
        <v>6.9599999999999996E-13</v>
      </c>
    </row>
    <row r="371" spans="1:10" x14ac:dyDescent="0.2">
      <c r="A371" s="3">
        <v>370</v>
      </c>
      <c r="B371" s="3">
        <v>2.8799999999999998E-7</v>
      </c>
      <c r="C371" s="2">
        <v>1.9210000000000001E-2</v>
      </c>
      <c r="D371" s="3">
        <v>172000</v>
      </c>
      <c r="E371" s="3">
        <v>116000000000</v>
      </c>
      <c r="F371" s="3">
        <v>105000000000</v>
      </c>
      <c r="G371" s="3">
        <v>4420000000</v>
      </c>
      <c r="H371" s="3">
        <v>10300000000</v>
      </c>
      <c r="I371" s="2">
        <v>4.2220000000000001E-2</v>
      </c>
      <c r="J371" s="3">
        <v>6.4799999999999997E-13</v>
      </c>
    </row>
    <row r="372" spans="1:10" x14ac:dyDescent="0.2">
      <c r="A372" s="3">
        <v>370</v>
      </c>
      <c r="B372" s="3">
        <v>2.8900000000000001E-7</v>
      </c>
      <c r="C372" s="2">
        <v>1.9259999999999999E-2</v>
      </c>
      <c r="D372" s="3">
        <v>169000</v>
      </c>
      <c r="E372" s="3">
        <v>114000000000</v>
      </c>
      <c r="F372" s="3">
        <v>103000000000</v>
      </c>
      <c r="G372" s="3">
        <v>930000000</v>
      </c>
      <c r="H372" s="3">
        <v>10400000000</v>
      </c>
      <c r="I372" s="2">
        <v>9.0329999999999994E-3</v>
      </c>
      <c r="J372" s="3">
        <v>6.7499999999999995E-13</v>
      </c>
    </row>
    <row r="373" spans="1:10" x14ac:dyDescent="0.2">
      <c r="A373" s="3">
        <v>370</v>
      </c>
      <c r="B373" s="3">
        <v>2.8900000000000001E-7</v>
      </c>
      <c r="C373" s="2">
        <v>1.9310000000000001E-2</v>
      </c>
      <c r="D373" s="3">
        <v>164000</v>
      </c>
      <c r="E373" s="3">
        <v>111000000000</v>
      </c>
      <c r="F373" s="3">
        <v>101000000000</v>
      </c>
      <c r="G373" s="3">
        <v>8720000000</v>
      </c>
      <c r="H373" s="3">
        <v>10500000000</v>
      </c>
      <c r="I373" s="2">
        <v>8.6599999999999996E-2</v>
      </c>
      <c r="J373" s="3">
        <v>7.1499999999999998E-13</v>
      </c>
    </row>
    <row r="374" spans="1:10" x14ac:dyDescent="0.2">
      <c r="A374" s="3">
        <v>370</v>
      </c>
      <c r="B374" s="3">
        <v>2.91E-7</v>
      </c>
      <c r="C374" s="2">
        <v>1.9369999999999998E-2</v>
      </c>
      <c r="D374" s="3">
        <v>177000</v>
      </c>
      <c r="E374" s="3">
        <v>118000000000</v>
      </c>
      <c r="F374" s="3">
        <v>107000000000</v>
      </c>
      <c r="G374" s="3">
        <v>1090000000</v>
      </c>
      <c r="H374" s="3">
        <v>10100000000</v>
      </c>
      <c r="I374" s="2">
        <v>1.022E-2</v>
      </c>
      <c r="J374" s="3">
        <v>6.15E-13</v>
      </c>
    </row>
    <row r="375" spans="1:10" x14ac:dyDescent="0.2">
      <c r="A375" s="3">
        <v>370</v>
      </c>
      <c r="B375" s="3">
        <v>2.91E-7</v>
      </c>
      <c r="C375" s="2">
        <v>1.942E-2</v>
      </c>
      <c r="D375" s="3">
        <v>192000</v>
      </c>
      <c r="E375" s="3">
        <v>127000000000</v>
      </c>
      <c r="F375" s="3">
        <v>114000000000</v>
      </c>
      <c r="G375" s="3">
        <v>4010000000</v>
      </c>
      <c r="H375" s="3">
        <v>9840000000</v>
      </c>
      <c r="I375" s="2">
        <v>3.5270000000000003E-2</v>
      </c>
      <c r="J375" s="3">
        <v>5.2699999999999998E-13</v>
      </c>
    </row>
    <row r="376" spans="1:10" x14ac:dyDescent="0.2">
      <c r="A376" s="3">
        <v>370</v>
      </c>
      <c r="B376" s="3">
        <v>2.9200000000000002E-7</v>
      </c>
      <c r="C376" s="2">
        <v>1.9470000000000001E-2</v>
      </c>
      <c r="D376" s="3">
        <v>152000</v>
      </c>
      <c r="E376" s="3">
        <v>103000000000</v>
      </c>
      <c r="F376" s="3">
        <v>94200000000</v>
      </c>
      <c r="G376" s="3">
        <v>8500000000</v>
      </c>
      <c r="H376" s="3">
        <v>10900000000</v>
      </c>
      <c r="I376" s="2">
        <v>9.0190000000000006E-2</v>
      </c>
      <c r="J376" s="3">
        <v>8.4700000000000003E-13</v>
      </c>
    </row>
    <row r="377" spans="1:10" x14ac:dyDescent="0.2">
      <c r="A377" s="3">
        <v>380</v>
      </c>
      <c r="B377" s="3">
        <v>2.9299999999999999E-7</v>
      </c>
      <c r="C377" s="2">
        <v>1.9519999999999999E-2</v>
      </c>
      <c r="D377" s="3">
        <v>160000</v>
      </c>
      <c r="E377" s="3">
        <v>108000000000</v>
      </c>
      <c r="F377" s="3">
        <v>98200000000</v>
      </c>
      <c r="G377" s="3">
        <v>5040000000</v>
      </c>
      <c r="H377" s="3">
        <v>10600000000</v>
      </c>
      <c r="I377" s="2">
        <v>5.1369999999999999E-2</v>
      </c>
      <c r="J377" s="3">
        <v>7.5999999999999999E-13</v>
      </c>
    </row>
    <row r="378" spans="1:10" x14ac:dyDescent="0.2">
      <c r="A378" s="3">
        <v>380</v>
      </c>
      <c r="B378" s="3">
        <v>2.9400000000000001E-7</v>
      </c>
      <c r="C378" s="2">
        <v>1.9570000000000001E-2</v>
      </c>
      <c r="D378" s="3">
        <v>181000</v>
      </c>
      <c r="E378" s="3">
        <v>120000000000</v>
      </c>
      <c r="F378" s="3">
        <v>108000000000</v>
      </c>
      <c r="G378" s="3">
        <v>2480000000</v>
      </c>
      <c r="H378" s="3">
        <v>10100000000</v>
      </c>
      <c r="I378" s="2">
        <v>2.3099999999999999E-2</v>
      </c>
      <c r="J378" s="3">
        <v>5.9999999999999997E-13</v>
      </c>
    </row>
    <row r="379" spans="1:10" x14ac:dyDescent="0.2">
      <c r="A379" s="3">
        <v>380</v>
      </c>
      <c r="B379" s="3">
        <v>2.9400000000000001E-7</v>
      </c>
      <c r="C379" s="2">
        <v>1.9630000000000002E-2</v>
      </c>
      <c r="D379" s="3">
        <v>144000</v>
      </c>
      <c r="E379" s="3">
        <v>98400000000</v>
      </c>
      <c r="F379" s="3">
        <v>90200000000</v>
      </c>
      <c r="G379" s="3">
        <v>5900000000</v>
      </c>
      <c r="H379" s="3">
        <v>11200000000</v>
      </c>
      <c r="I379" s="2">
        <v>6.5460000000000004E-2</v>
      </c>
      <c r="J379" s="3">
        <v>9.5399999999999997E-13</v>
      </c>
    </row>
    <row r="380" spans="1:10" x14ac:dyDescent="0.2">
      <c r="A380" s="3">
        <v>380</v>
      </c>
      <c r="B380" s="3">
        <v>2.9499999999999998E-7</v>
      </c>
      <c r="C380" s="2">
        <v>1.968E-2</v>
      </c>
      <c r="D380" s="3">
        <v>167000</v>
      </c>
      <c r="E380" s="3">
        <v>112000000000</v>
      </c>
      <c r="F380" s="3">
        <v>101000000000</v>
      </c>
      <c r="G380" s="3">
        <v>11100000000</v>
      </c>
      <c r="H380" s="3">
        <v>10400000000</v>
      </c>
      <c r="I380" s="2">
        <v>0.1101</v>
      </c>
      <c r="J380" s="3">
        <v>7.0400000000000003E-13</v>
      </c>
    </row>
    <row r="381" spans="1:10" x14ac:dyDescent="0.2">
      <c r="A381" s="3">
        <v>380</v>
      </c>
      <c r="B381" s="3">
        <v>2.96E-7</v>
      </c>
      <c r="C381" s="2">
        <v>1.9730000000000001E-2</v>
      </c>
      <c r="D381" s="3">
        <v>163000</v>
      </c>
      <c r="E381" s="3">
        <v>109000000000</v>
      </c>
      <c r="F381" s="3">
        <v>98900000000</v>
      </c>
      <c r="G381" s="3">
        <v>9470000000</v>
      </c>
      <c r="H381" s="3">
        <v>10500000000</v>
      </c>
      <c r="I381" s="2">
        <v>9.5729999999999996E-2</v>
      </c>
      <c r="J381" s="3">
        <v>7.4399999999999996E-13</v>
      </c>
    </row>
    <row r="382" spans="1:10" x14ac:dyDescent="0.2">
      <c r="A382" s="3">
        <v>380</v>
      </c>
      <c r="B382" s="3">
        <v>2.96E-7</v>
      </c>
      <c r="C382" s="2">
        <v>1.9779999999999999E-2</v>
      </c>
      <c r="D382" s="3">
        <v>171000</v>
      </c>
      <c r="E382" s="3">
        <v>114000000000</v>
      </c>
      <c r="F382" s="3">
        <v>103000000000</v>
      </c>
      <c r="G382" s="3">
        <v>13900000000</v>
      </c>
      <c r="H382" s="3">
        <v>10300000000</v>
      </c>
      <c r="I382" s="2">
        <v>0.13539999999999999</v>
      </c>
      <c r="J382" s="3">
        <v>6.7600000000000005E-13</v>
      </c>
    </row>
    <row r="383" spans="1:10" x14ac:dyDescent="0.2">
      <c r="A383" s="3">
        <v>380</v>
      </c>
      <c r="B383" s="3">
        <v>2.9700000000000003E-7</v>
      </c>
      <c r="C383" s="2">
        <v>1.984E-2</v>
      </c>
      <c r="D383" s="3">
        <v>161000</v>
      </c>
      <c r="E383" s="3">
        <v>108000000000</v>
      </c>
      <c r="F383" s="3">
        <v>97900000000</v>
      </c>
      <c r="G383" s="3">
        <v>9110000000</v>
      </c>
      <c r="H383" s="3">
        <v>10600000000</v>
      </c>
      <c r="I383" s="2">
        <v>9.3109999999999998E-2</v>
      </c>
      <c r="J383" s="3">
        <v>7.6599999999999997E-13</v>
      </c>
    </row>
    <row r="384" spans="1:10" x14ac:dyDescent="0.2">
      <c r="A384" s="3">
        <v>380</v>
      </c>
      <c r="B384" s="3">
        <v>2.9700000000000003E-7</v>
      </c>
      <c r="C384" s="2">
        <v>1.9890000000000001E-2</v>
      </c>
      <c r="D384" s="3">
        <v>167000</v>
      </c>
      <c r="E384" s="3">
        <v>111000000000</v>
      </c>
      <c r="F384" s="3">
        <v>101000000000</v>
      </c>
      <c r="G384" s="3">
        <v>7690000000</v>
      </c>
      <c r="H384" s="3">
        <v>10500000000</v>
      </c>
      <c r="I384" s="2">
        <v>7.6429999999999998E-2</v>
      </c>
      <c r="J384" s="3">
        <v>7.1299999999999999E-13</v>
      </c>
    </row>
    <row r="385" spans="1:10" x14ac:dyDescent="0.2">
      <c r="A385" s="3">
        <v>380</v>
      </c>
      <c r="B385" s="3">
        <v>2.9799999999999999E-7</v>
      </c>
      <c r="C385" s="2">
        <v>1.9939999999999999E-2</v>
      </c>
      <c r="D385" s="3">
        <v>189000</v>
      </c>
      <c r="E385" s="3">
        <v>124000000000</v>
      </c>
      <c r="F385" s="3">
        <v>111000000000</v>
      </c>
      <c r="G385" s="3">
        <v>1590000000</v>
      </c>
      <c r="H385" s="3">
        <v>9920000000</v>
      </c>
      <c r="I385" s="2">
        <v>1.43E-2</v>
      </c>
      <c r="J385" s="3">
        <v>5.5700000000000005E-13</v>
      </c>
    </row>
    <row r="386" spans="1:10" x14ac:dyDescent="0.2">
      <c r="A386" s="3">
        <v>380</v>
      </c>
      <c r="B386" s="3">
        <v>2.9900000000000002E-7</v>
      </c>
      <c r="C386" s="2">
        <v>1.9990000000000001E-2</v>
      </c>
      <c r="D386" s="3">
        <v>183000</v>
      </c>
      <c r="E386" s="3">
        <v>119000000000</v>
      </c>
      <c r="F386" s="3">
        <v>108000000000</v>
      </c>
      <c r="G386" s="3">
        <v>12600000000</v>
      </c>
      <c r="H386" s="3">
        <v>10100000000</v>
      </c>
      <c r="I386" s="2">
        <v>0.1174</v>
      </c>
      <c r="J386" s="3">
        <v>5.9999999999999997E-13</v>
      </c>
    </row>
    <row r="387" spans="1:10" x14ac:dyDescent="0.2">
      <c r="A387" s="3">
        <v>390</v>
      </c>
      <c r="B387" s="3">
        <v>2.9999999999999999E-7</v>
      </c>
      <c r="C387" s="2">
        <v>2.0039999999999999E-2</v>
      </c>
      <c r="D387" s="3">
        <v>154000</v>
      </c>
      <c r="E387" s="3">
        <v>103000000000</v>
      </c>
      <c r="F387" s="3">
        <v>94000000000</v>
      </c>
      <c r="G387" s="3">
        <v>2310000000</v>
      </c>
      <c r="H387" s="3">
        <v>10900000000</v>
      </c>
      <c r="I387" s="2">
        <v>2.4510000000000001E-2</v>
      </c>
      <c r="J387" s="3">
        <v>8.4900000000000002E-13</v>
      </c>
    </row>
    <row r="388" spans="1:10" x14ac:dyDescent="0.2">
      <c r="A388" s="3">
        <v>390</v>
      </c>
      <c r="B388" s="3">
        <v>2.9999999999999999E-7</v>
      </c>
      <c r="C388" s="2">
        <v>2.009E-2</v>
      </c>
      <c r="D388" s="3">
        <v>177000</v>
      </c>
      <c r="E388" s="3">
        <v>116000000000</v>
      </c>
      <c r="F388" s="3">
        <v>105000000000</v>
      </c>
      <c r="G388" s="3">
        <v>5610000000</v>
      </c>
      <c r="H388" s="3">
        <v>10200000000</v>
      </c>
      <c r="I388" s="2">
        <v>5.3499999999999999E-2</v>
      </c>
      <c r="J388" s="3">
        <v>6.4E-13</v>
      </c>
    </row>
    <row r="389" spans="1:10" x14ac:dyDescent="0.2">
      <c r="A389" s="3">
        <v>390</v>
      </c>
      <c r="B389" s="3">
        <v>3.0100000000000001E-7</v>
      </c>
      <c r="C389" s="2">
        <v>2.0150000000000001E-2</v>
      </c>
      <c r="D389" s="3">
        <v>162000</v>
      </c>
      <c r="E389" s="3">
        <v>107000000000</v>
      </c>
      <c r="F389" s="3">
        <v>97500000000</v>
      </c>
      <c r="G389" s="3">
        <v>6350000000</v>
      </c>
      <c r="H389" s="3">
        <v>10600000000</v>
      </c>
      <c r="I389" s="2">
        <v>6.5129999999999993E-2</v>
      </c>
      <c r="J389" s="3">
        <v>7.7100000000000005E-13</v>
      </c>
    </row>
    <row r="390" spans="1:10" x14ac:dyDescent="0.2">
      <c r="A390" s="3">
        <v>390</v>
      </c>
      <c r="B390" s="3">
        <v>3.0199999999999998E-7</v>
      </c>
      <c r="C390" s="2">
        <v>2.0199999999999999E-2</v>
      </c>
      <c r="D390" s="3">
        <v>168000</v>
      </c>
      <c r="E390" s="3">
        <v>111000000000</v>
      </c>
      <c r="F390" s="3">
        <v>101000000000</v>
      </c>
      <c r="G390" s="3">
        <v>4250000000</v>
      </c>
      <c r="H390" s="3">
        <v>10400000000</v>
      </c>
      <c r="I390" s="2">
        <v>4.2279999999999998E-2</v>
      </c>
      <c r="J390" s="3">
        <v>7.1299999999999999E-13</v>
      </c>
    </row>
    <row r="391" spans="1:10" x14ac:dyDescent="0.2">
      <c r="A391" s="3">
        <v>390</v>
      </c>
      <c r="B391" s="3">
        <v>3.0199999999999998E-7</v>
      </c>
      <c r="C391" s="2">
        <v>2.0250000000000001E-2</v>
      </c>
      <c r="D391" s="3">
        <v>179000</v>
      </c>
      <c r="E391" s="3">
        <v>117000000000</v>
      </c>
      <c r="F391" s="3">
        <v>105000000000</v>
      </c>
      <c r="G391" s="2">
        <v>0</v>
      </c>
      <c r="H391" s="3">
        <v>10200000000</v>
      </c>
      <c r="I391" s="2">
        <v>-8.7279999999999996E-4</v>
      </c>
      <c r="J391" s="3">
        <v>6.3600000000000002E-13</v>
      </c>
    </row>
    <row r="392" spans="1:10" x14ac:dyDescent="0.2">
      <c r="A392" s="3">
        <v>390</v>
      </c>
      <c r="B392" s="3">
        <v>3.03E-7</v>
      </c>
      <c r="C392" s="2">
        <v>2.0299999999999999E-2</v>
      </c>
      <c r="D392" s="3">
        <v>172000</v>
      </c>
      <c r="E392" s="3">
        <v>113000000000</v>
      </c>
      <c r="F392" s="3">
        <v>102000000000</v>
      </c>
      <c r="G392" s="2">
        <v>0</v>
      </c>
      <c r="H392" s="3">
        <v>10400000000</v>
      </c>
      <c r="I392" s="2">
        <v>-9.5160000000000002E-3</v>
      </c>
      <c r="J392" s="3">
        <v>6.8999999999999999E-13</v>
      </c>
    </row>
    <row r="393" spans="1:10" x14ac:dyDescent="0.2">
      <c r="A393" s="3">
        <v>390</v>
      </c>
      <c r="B393" s="3">
        <v>3.03E-7</v>
      </c>
      <c r="C393" s="2">
        <v>2.036E-2</v>
      </c>
      <c r="D393" s="3">
        <v>170000</v>
      </c>
      <c r="E393" s="3">
        <v>111000000000</v>
      </c>
      <c r="F393" s="3">
        <v>101000000000</v>
      </c>
      <c r="G393" s="3">
        <v>5340000000</v>
      </c>
      <c r="H393" s="3">
        <v>10400000000</v>
      </c>
      <c r="I393" s="2">
        <v>5.2850000000000001E-2</v>
      </c>
      <c r="J393" s="3">
        <v>7.0600000000000002E-13</v>
      </c>
    </row>
    <row r="394" spans="1:10" x14ac:dyDescent="0.2">
      <c r="A394" s="3">
        <v>390</v>
      </c>
      <c r="B394" s="3">
        <v>3.0400000000000002E-7</v>
      </c>
      <c r="C394" s="2">
        <v>2.0410000000000001E-2</v>
      </c>
      <c r="D394" s="3">
        <v>174000</v>
      </c>
      <c r="E394" s="3">
        <v>114000000000</v>
      </c>
      <c r="F394" s="3">
        <v>103000000000</v>
      </c>
      <c r="G394" s="3">
        <v>5600000000</v>
      </c>
      <c r="H394" s="3">
        <v>10300000000</v>
      </c>
      <c r="I394" s="2">
        <v>5.4339999999999999E-2</v>
      </c>
      <c r="J394" s="3">
        <v>6.7199999999999996E-13</v>
      </c>
    </row>
    <row r="395" spans="1:10" x14ac:dyDescent="0.2">
      <c r="A395" s="3">
        <v>390</v>
      </c>
      <c r="B395" s="3">
        <v>3.0400000000000002E-7</v>
      </c>
      <c r="C395" s="2">
        <v>2.0459999999999999E-2</v>
      </c>
      <c r="D395" s="3">
        <v>185000</v>
      </c>
      <c r="E395" s="3">
        <v>120000000000</v>
      </c>
      <c r="F395" s="3">
        <v>108000000000</v>
      </c>
      <c r="G395" s="2">
        <v>0</v>
      </c>
      <c r="H395" s="3">
        <v>10100000000</v>
      </c>
      <c r="I395" s="2">
        <v>-1.1650000000000001E-2</v>
      </c>
      <c r="J395" s="3">
        <v>5.9899999999999997E-13</v>
      </c>
    </row>
    <row r="396" spans="1:10" x14ac:dyDescent="0.2">
      <c r="A396" s="3">
        <v>390</v>
      </c>
      <c r="B396" s="3">
        <v>3.0499999999999999E-7</v>
      </c>
      <c r="C396" s="2">
        <v>2.051E-2</v>
      </c>
      <c r="D396" s="3">
        <v>166000</v>
      </c>
      <c r="E396" s="3">
        <v>109000000000</v>
      </c>
      <c r="F396" s="3">
        <v>98900000000</v>
      </c>
      <c r="G396" s="2">
        <v>0</v>
      </c>
      <c r="H396" s="3">
        <v>10600000000</v>
      </c>
      <c r="I396" s="2">
        <v>-2.3179999999999999E-2</v>
      </c>
      <c r="J396" s="3">
        <v>7.4499999999999996E-13</v>
      </c>
    </row>
    <row r="397" spans="1:10" x14ac:dyDescent="0.2">
      <c r="A397" s="3">
        <v>400</v>
      </c>
      <c r="B397" s="3">
        <v>3.0600000000000001E-7</v>
      </c>
      <c r="C397" s="2">
        <v>2.0559999999999998E-2</v>
      </c>
      <c r="D397" s="3">
        <v>165000</v>
      </c>
      <c r="E397" s="3">
        <v>109000000000</v>
      </c>
      <c r="F397" s="3">
        <v>98600000000</v>
      </c>
      <c r="G397" s="2">
        <v>0</v>
      </c>
      <c r="H397" s="3">
        <v>10600000000</v>
      </c>
      <c r="I397" s="2">
        <v>-5.1959999999999999E-2</v>
      </c>
      <c r="J397" s="3">
        <v>7.5100000000000003E-13</v>
      </c>
    </row>
    <row r="398" spans="1:10" x14ac:dyDescent="0.2">
      <c r="A398" s="3">
        <v>400</v>
      </c>
      <c r="B398" s="3">
        <v>3.0600000000000001E-7</v>
      </c>
      <c r="C398" s="2">
        <v>2.0619999999999999E-2</v>
      </c>
      <c r="D398" s="3">
        <v>178000</v>
      </c>
      <c r="E398" s="3">
        <v>116000000000</v>
      </c>
      <c r="F398" s="3">
        <v>104000000000</v>
      </c>
      <c r="G398" s="3">
        <v>7610000000</v>
      </c>
      <c r="H398" s="3">
        <v>10300000000</v>
      </c>
      <c r="I398" s="2">
        <v>7.3010000000000005E-2</v>
      </c>
      <c r="J398" s="3">
        <v>6.4999999999999996E-13</v>
      </c>
    </row>
    <row r="399" spans="1:10" x14ac:dyDescent="0.2">
      <c r="A399" s="3">
        <v>400</v>
      </c>
      <c r="B399" s="3">
        <v>3.0699999999999998E-7</v>
      </c>
      <c r="C399" s="2">
        <v>2.0670000000000001E-2</v>
      </c>
      <c r="D399" s="3">
        <v>164000</v>
      </c>
      <c r="E399" s="3">
        <v>108000000000</v>
      </c>
      <c r="F399" s="3">
        <v>97800000000</v>
      </c>
      <c r="G399" s="2">
        <v>0</v>
      </c>
      <c r="H399" s="3">
        <v>10600000000</v>
      </c>
      <c r="I399" s="2">
        <v>-3.891E-2</v>
      </c>
      <c r="J399" s="3">
        <v>7.6699999999999996E-13</v>
      </c>
    </row>
    <row r="400" spans="1:10" x14ac:dyDescent="0.2">
      <c r="A400" s="3">
        <v>400</v>
      </c>
      <c r="B400" s="3">
        <v>3.0800000000000001E-7</v>
      </c>
      <c r="C400" s="2">
        <v>2.0719999999999999E-2</v>
      </c>
      <c r="D400" s="3">
        <v>163000</v>
      </c>
      <c r="E400" s="3">
        <v>106000000000</v>
      </c>
      <c r="F400" s="3">
        <v>96800000000</v>
      </c>
      <c r="G400" s="3">
        <v>4680000000</v>
      </c>
      <c r="H400" s="3">
        <v>10700000000</v>
      </c>
      <c r="I400" s="2">
        <v>4.8349999999999997E-2</v>
      </c>
      <c r="J400" s="3">
        <v>7.8499999999999999E-13</v>
      </c>
    </row>
    <row r="401" spans="1:10" x14ac:dyDescent="0.2">
      <c r="A401" s="3">
        <v>400</v>
      </c>
      <c r="B401" s="3">
        <v>3.0899999999999997E-7</v>
      </c>
      <c r="C401" s="2">
        <v>2.077E-2</v>
      </c>
      <c r="D401" s="3">
        <v>172000</v>
      </c>
      <c r="E401" s="3">
        <v>112000000000</v>
      </c>
      <c r="F401" s="3">
        <v>101000000000</v>
      </c>
      <c r="G401" s="2">
        <v>0</v>
      </c>
      <c r="H401" s="3">
        <v>10400000000</v>
      </c>
      <c r="I401" s="2">
        <v>-5.876E-2</v>
      </c>
      <c r="J401" s="3">
        <v>7.0000000000000005E-13</v>
      </c>
    </row>
    <row r="402" spans="1:10" x14ac:dyDescent="0.2">
      <c r="A402" s="3">
        <v>400</v>
      </c>
      <c r="B402" s="3">
        <v>3.0899999999999997E-7</v>
      </c>
      <c r="C402" s="2">
        <v>2.0820000000000002E-2</v>
      </c>
      <c r="D402" s="3">
        <v>160000</v>
      </c>
      <c r="E402" s="3">
        <v>105000000000</v>
      </c>
      <c r="F402" s="3">
        <v>95300000000</v>
      </c>
      <c r="G402" s="3">
        <v>8050000000</v>
      </c>
      <c r="H402" s="3">
        <v>10800000000</v>
      </c>
      <c r="I402" s="2">
        <v>8.4440000000000001E-2</v>
      </c>
      <c r="J402" s="3">
        <v>8.1900000000000004E-13</v>
      </c>
    </row>
    <row r="403" spans="1:10" x14ac:dyDescent="0.2">
      <c r="A403" s="3">
        <v>400</v>
      </c>
      <c r="B403" s="3">
        <v>3.1E-7</v>
      </c>
      <c r="C403" s="2">
        <v>2.0879999999999999E-2</v>
      </c>
      <c r="D403" s="3">
        <v>166000</v>
      </c>
      <c r="E403" s="3">
        <v>108000000000</v>
      </c>
      <c r="F403" s="3">
        <v>98000000000</v>
      </c>
      <c r="G403" s="3">
        <v>8790000000</v>
      </c>
      <c r="H403" s="3">
        <v>10600000000</v>
      </c>
      <c r="I403" s="2">
        <v>8.9700000000000002E-2</v>
      </c>
      <c r="J403" s="3">
        <v>7.5999999999999999E-13</v>
      </c>
    </row>
    <row r="404" spans="1:10" x14ac:dyDescent="0.2">
      <c r="A404" s="3">
        <v>400</v>
      </c>
      <c r="B404" s="3">
        <v>3.1E-7</v>
      </c>
      <c r="C404" s="2">
        <v>2.0930000000000001E-2</v>
      </c>
      <c r="D404" s="3">
        <v>166000</v>
      </c>
      <c r="E404" s="3">
        <v>108000000000</v>
      </c>
      <c r="F404" s="3">
        <v>97900000000</v>
      </c>
      <c r="G404" s="3">
        <v>3900000000</v>
      </c>
      <c r="H404" s="3">
        <v>10600000000</v>
      </c>
      <c r="I404" s="2">
        <v>3.9809999999999998E-2</v>
      </c>
      <c r="J404" s="3">
        <v>7.6399999999999998E-13</v>
      </c>
    </row>
    <row r="405" spans="1:10" x14ac:dyDescent="0.2">
      <c r="A405" s="3">
        <v>400</v>
      </c>
      <c r="B405" s="3">
        <v>3.1100000000000002E-7</v>
      </c>
      <c r="C405" s="2">
        <v>2.0979999999999999E-2</v>
      </c>
      <c r="D405" s="3">
        <v>166000</v>
      </c>
      <c r="E405" s="3">
        <v>108000000000</v>
      </c>
      <c r="F405" s="3">
        <v>97900000000</v>
      </c>
      <c r="G405" s="3">
        <v>9880000000</v>
      </c>
      <c r="H405" s="3">
        <v>10600000000</v>
      </c>
      <c r="I405" s="2">
        <v>0.1009</v>
      </c>
      <c r="J405" s="3">
        <v>7.6199999999999998E-13</v>
      </c>
    </row>
    <row r="406" spans="1:10" x14ac:dyDescent="0.2">
      <c r="A406" s="3">
        <v>400</v>
      </c>
      <c r="B406" s="3">
        <v>3.1199999999999999E-7</v>
      </c>
      <c r="C406" s="2">
        <v>2.103E-2</v>
      </c>
      <c r="D406" s="3">
        <v>169000</v>
      </c>
      <c r="E406" s="3">
        <v>109000000000</v>
      </c>
      <c r="F406" s="3">
        <v>99000000000</v>
      </c>
      <c r="G406" s="3">
        <v>3090000000</v>
      </c>
      <c r="H406" s="3">
        <v>10500000000</v>
      </c>
      <c r="I406" s="2">
        <v>3.1150000000000001E-2</v>
      </c>
      <c r="J406" s="3">
        <v>7.3899999999999998E-13</v>
      </c>
    </row>
    <row r="407" spans="1:10" x14ac:dyDescent="0.2">
      <c r="A407" s="3">
        <v>410</v>
      </c>
      <c r="B407" s="3">
        <v>3.1300000000000001E-7</v>
      </c>
      <c r="C407" s="2">
        <v>2.1090000000000001E-2</v>
      </c>
      <c r="D407" s="3">
        <v>174000</v>
      </c>
      <c r="E407" s="3">
        <v>112000000000</v>
      </c>
      <c r="F407" s="3">
        <v>101000000000</v>
      </c>
      <c r="G407" s="2">
        <v>0</v>
      </c>
      <c r="H407" s="3">
        <v>10400000000</v>
      </c>
      <c r="I407" s="2">
        <v>-8.0549999999999997E-2</v>
      </c>
      <c r="J407" s="3">
        <v>7.0000000000000005E-13</v>
      </c>
    </row>
    <row r="408" spans="1:10" x14ac:dyDescent="0.2">
      <c r="A408" s="3">
        <v>410</v>
      </c>
      <c r="B408" s="3">
        <v>3.1399999999999998E-7</v>
      </c>
      <c r="C408" s="2">
        <v>2.1139999999999999E-2</v>
      </c>
      <c r="D408" s="3">
        <v>176000</v>
      </c>
      <c r="E408" s="3">
        <v>113000000000</v>
      </c>
      <c r="F408" s="3">
        <v>102000000000</v>
      </c>
      <c r="G408" s="3">
        <v>2570000000</v>
      </c>
      <c r="H408" s="3">
        <v>10300000000</v>
      </c>
      <c r="I408" s="2">
        <v>2.513E-2</v>
      </c>
      <c r="J408" s="3">
        <v>6.8000000000000003E-13</v>
      </c>
    </row>
    <row r="409" spans="1:10" x14ac:dyDescent="0.2">
      <c r="A409" s="3">
        <v>410</v>
      </c>
      <c r="B409" s="3">
        <v>3.15E-7</v>
      </c>
      <c r="C409" s="2">
        <v>2.1190000000000001E-2</v>
      </c>
      <c r="D409" s="3">
        <v>168000</v>
      </c>
      <c r="E409" s="3">
        <v>108000000000</v>
      </c>
      <c r="F409" s="3">
        <v>98100000000</v>
      </c>
      <c r="G409" s="3">
        <v>11700000000</v>
      </c>
      <c r="H409" s="3">
        <v>10500000000</v>
      </c>
      <c r="I409" s="2">
        <v>0.1188</v>
      </c>
      <c r="J409" s="3">
        <v>7.5400000000000002E-13</v>
      </c>
    </row>
    <row r="410" spans="1:10" x14ac:dyDescent="0.2">
      <c r="A410" s="3">
        <v>410</v>
      </c>
      <c r="B410" s="3">
        <v>3.15E-7</v>
      </c>
      <c r="C410" s="2">
        <v>2.1239999999999998E-2</v>
      </c>
      <c r="D410" s="3">
        <v>163000</v>
      </c>
      <c r="E410" s="3">
        <v>106000000000</v>
      </c>
      <c r="F410" s="3">
        <v>96100000000</v>
      </c>
      <c r="G410" s="3">
        <v>15900000000</v>
      </c>
      <c r="H410" s="3">
        <v>10700000000</v>
      </c>
      <c r="I410" s="2">
        <v>0.16489999999999999</v>
      </c>
      <c r="J410" s="3">
        <v>7.9600000000000004E-13</v>
      </c>
    </row>
    <row r="411" spans="1:10" x14ac:dyDescent="0.2">
      <c r="A411" s="3">
        <v>410</v>
      </c>
      <c r="B411" s="3">
        <v>3.1600000000000002E-7</v>
      </c>
      <c r="C411" s="2">
        <v>2.129E-2</v>
      </c>
      <c r="D411" s="3">
        <v>181000</v>
      </c>
      <c r="E411" s="3">
        <v>115000000000</v>
      </c>
      <c r="F411" s="3">
        <v>104000000000</v>
      </c>
      <c r="G411" s="3">
        <v>7520000000</v>
      </c>
      <c r="H411" s="3">
        <v>10200000000</v>
      </c>
      <c r="I411" s="2">
        <v>7.2389999999999996E-2</v>
      </c>
      <c r="J411" s="3">
        <v>6.5300000000000004E-13</v>
      </c>
    </row>
    <row r="412" spans="1:10" x14ac:dyDescent="0.2">
      <c r="A412" s="3">
        <v>410</v>
      </c>
      <c r="B412" s="3">
        <v>3.1699999999999999E-7</v>
      </c>
      <c r="C412" s="2">
        <v>2.1340000000000001E-2</v>
      </c>
      <c r="D412" s="3">
        <v>168000</v>
      </c>
      <c r="E412" s="3">
        <v>108000000000</v>
      </c>
      <c r="F412" s="3">
        <v>97900000000</v>
      </c>
      <c r="G412" s="2">
        <v>0</v>
      </c>
      <c r="H412" s="3">
        <v>10500000000</v>
      </c>
      <c r="I412" s="2">
        <v>-1.5810000000000001E-2</v>
      </c>
      <c r="J412" s="3">
        <v>7.5600000000000001E-13</v>
      </c>
    </row>
    <row r="413" spans="1:10" x14ac:dyDescent="0.2">
      <c r="A413" s="3">
        <v>410</v>
      </c>
      <c r="B413" s="3">
        <v>3.1800000000000002E-7</v>
      </c>
      <c r="C413" s="2">
        <v>2.1399999999999999E-2</v>
      </c>
      <c r="D413" s="3">
        <v>176000</v>
      </c>
      <c r="E413" s="3">
        <v>112000000000</v>
      </c>
      <c r="F413" s="3">
        <v>102000000000</v>
      </c>
      <c r="G413" s="3">
        <v>1630000000</v>
      </c>
      <c r="H413" s="3">
        <v>10300000000</v>
      </c>
      <c r="I413" s="2">
        <v>1.601E-2</v>
      </c>
      <c r="J413" s="3">
        <v>6.8999999999999999E-13</v>
      </c>
    </row>
    <row r="414" spans="1:10" x14ac:dyDescent="0.2">
      <c r="A414" s="3">
        <v>410</v>
      </c>
      <c r="B414" s="3">
        <v>3.1800000000000002E-7</v>
      </c>
      <c r="C414" s="2">
        <v>2.145E-2</v>
      </c>
      <c r="D414" s="3">
        <v>169000</v>
      </c>
      <c r="E414" s="3">
        <v>108000000000</v>
      </c>
      <c r="F414" s="3">
        <v>98000000000</v>
      </c>
      <c r="G414" s="3">
        <v>9610000</v>
      </c>
      <c r="H414" s="3">
        <v>10500000000</v>
      </c>
      <c r="I414" s="3">
        <v>9.8099999999999999E-5</v>
      </c>
      <c r="J414" s="3">
        <v>7.5400000000000002E-13</v>
      </c>
    </row>
    <row r="415" spans="1:10" x14ac:dyDescent="0.2">
      <c r="A415" s="3">
        <v>410</v>
      </c>
      <c r="B415" s="3">
        <v>3.1899999999999998E-7</v>
      </c>
      <c r="C415" s="2">
        <v>2.1499999999999998E-2</v>
      </c>
      <c r="D415" s="3">
        <v>176000</v>
      </c>
      <c r="E415" s="3">
        <v>112000000000</v>
      </c>
      <c r="F415" s="3">
        <v>101000000000</v>
      </c>
      <c r="G415" s="3">
        <v>3080000000</v>
      </c>
      <c r="H415" s="3">
        <v>10300000000</v>
      </c>
      <c r="I415" s="2">
        <v>3.0339999999999999E-2</v>
      </c>
      <c r="J415" s="3">
        <v>6.9299999999999998E-13</v>
      </c>
    </row>
    <row r="416" spans="1:10" x14ac:dyDescent="0.2">
      <c r="A416" s="3">
        <v>410</v>
      </c>
      <c r="B416" s="3">
        <v>3.1899999999999998E-7</v>
      </c>
      <c r="C416" s="2">
        <v>2.155E-2</v>
      </c>
      <c r="D416" s="3">
        <v>189000</v>
      </c>
      <c r="E416" s="3">
        <v>119000000000</v>
      </c>
      <c r="F416" s="3">
        <v>107000000000</v>
      </c>
      <c r="G416" s="3">
        <v>14500000000</v>
      </c>
      <c r="H416" s="3">
        <v>10000000000</v>
      </c>
      <c r="I416" s="2">
        <v>0.13489999999999999</v>
      </c>
      <c r="J416" s="3">
        <v>6.0199999999999996E-13</v>
      </c>
    </row>
    <row r="417" spans="1:10" x14ac:dyDescent="0.2">
      <c r="A417" s="3">
        <v>420</v>
      </c>
      <c r="B417" s="3">
        <v>3.2000000000000001E-7</v>
      </c>
      <c r="C417" s="2">
        <v>2.1600000000000001E-2</v>
      </c>
      <c r="D417" s="3">
        <v>192000</v>
      </c>
      <c r="E417" s="3">
        <v>121000000000</v>
      </c>
      <c r="F417" s="3">
        <v>108000000000</v>
      </c>
      <c r="G417" s="3">
        <v>2750000000</v>
      </c>
      <c r="H417" s="3">
        <v>9970000000</v>
      </c>
      <c r="I417" s="2">
        <v>2.5409999999999999E-2</v>
      </c>
      <c r="J417" s="3">
        <v>5.8700000000000002E-13</v>
      </c>
    </row>
    <row r="418" spans="1:10" x14ac:dyDescent="0.2">
      <c r="A418" s="3">
        <v>420</v>
      </c>
      <c r="B418" s="3">
        <v>3.2099999999999998E-7</v>
      </c>
      <c r="C418" s="2">
        <v>2.1659999999999999E-2</v>
      </c>
      <c r="D418" s="3">
        <v>176000</v>
      </c>
      <c r="E418" s="3">
        <v>112000000000</v>
      </c>
      <c r="F418" s="3">
        <v>101000000000</v>
      </c>
      <c r="G418" s="3">
        <v>5470000000</v>
      </c>
      <c r="H418" s="3">
        <v>10300000000</v>
      </c>
      <c r="I418" s="2">
        <v>5.4170000000000003E-2</v>
      </c>
      <c r="J418" s="3">
        <v>6.9699999999999996E-13</v>
      </c>
    </row>
    <row r="419" spans="1:10" x14ac:dyDescent="0.2">
      <c r="A419" s="3">
        <v>420</v>
      </c>
      <c r="B419" s="3">
        <v>3.2099999999999998E-7</v>
      </c>
      <c r="C419" s="2">
        <v>2.171E-2</v>
      </c>
      <c r="D419" s="3">
        <v>187000</v>
      </c>
      <c r="E419" s="3">
        <v>117000000000</v>
      </c>
      <c r="F419" s="3">
        <v>106000000000</v>
      </c>
      <c r="G419" s="2">
        <v>0</v>
      </c>
      <c r="H419" s="3">
        <v>10100000000</v>
      </c>
      <c r="I419" s="2">
        <v>-8.3089999999999997E-2</v>
      </c>
      <c r="J419" s="3">
        <v>6.2399999999999997E-13</v>
      </c>
    </row>
    <row r="420" spans="1:10" x14ac:dyDescent="0.2">
      <c r="A420" s="3">
        <v>420</v>
      </c>
      <c r="B420" s="3">
        <v>3.22E-7</v>
      </c>
      <c r="C420" s="2">
        <v>2.1760000000000002E-2</v>
      </c>
      <c r="D420" s="3">
        <v>157000</v>
      </c>
      <c r="E420" s="3">
        <v>101000000000</v>
      </c>
      <c r="F420" s="3">
        <v>92100000000</v>
      </c>
      <c r="G420" s="3">
        <v>1570000000</v>
      </c>
      <c r="H420" s="3">
        <v>10900000000</v>
      </c>
      <c r="I420" s="2">
        <v>1.7090000000000001E-2</v>
      </c>
      <c r="J420" s="3">
        <v>8.8699999999999996E-13</v>
      </c>
    </row>
    <row r="421" spans="1:10" x14ac:dyDescent="0.2">
      <c r="A421" s="3">
        <v>420</v>
      </c>
      <c r="B421" s="3">
        <v>3.22E-7</v>
      </c>
      <c r="C421" s="2">
        <v>2.181E-2</v>
      </c>
      <c r="D421" s="3">
        <v>188000</v>
      </c>
      <c r="E421" s="3">
        <v>118000000000</v>
      </c>
      <c r="F421" s="3">
        <v>106000000000</v>
      </c>
      <c r="G421" s="3">
        <v>9050000000</v>
      </c>
      <c r="H421" s="3">
        <v>10100000000</v>
      </c>
      <c r="I421" s="2">
        <v>8.5319999999999993E-2</v>
      </c>
      <c r="J421" s="3">
        <v>6.1999999999999998E-13</v>
      </c>
    </row>
    <row r="422" spans="1:10" x14ac:dyDescent="0.2">
      <c r="A422" s="3">
        <v>420</v>
      </c>
      <c r="B422" s="3">
        <v>3.2300000000000002E-7</v>
      </c>
      <c r="C422" s="2">
        <v>2.1870000000000001E-2</v>
      </c>
      <c r="D422" s="3">
        <v>173000</v>
      </c>
      <c r="E422" s="3">
        <v>109000000000</v>
      </c>
      <c r="F422" s="3">
        <v>99300000000</v>
      </c>
      <c r="G422" s="3">
        <v>3130000000</v>
      </c>
      <c r="H422" s="3">
        <v>10400000000</v>
      </c>
      <c r="I422" s="2">
        <v>3.1460000000000002E-2</v>
      </c>
      <c r="J422" s="3">
        <v>7.3100000000000002E-13</v>
      </c>
    </row>
    <row r="423" spans="1:10" x14ac:dyDescent="0.2">
      <c r="A423" s="3">
        <v>420</v>
      </c>
      <c r="B423" s="3">
        <v>3.2399999999999999E-7</v>
      </c>
      <c r="C423" s="2">
        <v>2.1919999999999999E-2</v>
      </c>
      <c r="D423" s="3">
        <v>179000</v>
      </c>
      <c r="E423" s="3">
        <v>113000000000</v>
      </c>
      <c r="F423" s="3">
        <v>102000000000</v>
      </c>
      <c r="G423" s="2">
        <v>0</v>
      </c>
      <c r="H423" s="3">
        <v>10300000000</v>
      </c>
      <c r="I423" s="2">
        <v>-0.1065</v>
      </c>
      <c r="J423" s="3">
        <v>6.8500000000000001E-13</v>
      </c>
    </row>
    <row r="424" spans="1:10" x14ac:dyDescent="0.2">
      <c r="A424" s="3">
        <v>420</v>
      </c>
      <c r="B424" s="3">
        <v>3.2500000000000001E-7</v>
      </c>
      <c r="C424" s="2">
        <v>2.197E-2</v>
      </c>
      <c r="D424" s="3">
        <v>167000</v>
      </c>
      <c r="E424" s="3">
        <v>106000000000</v>
      </c>
      <c r="F424" s="3">
        <v>96200000000</v>
      </c>
      <c r="G424" s="3">
        <v>6860000000</v>
      </c>
      <c r="H424" s="3">
        <v>10600000000</v>
      </c>
      <c r="I424" s="2">
        <v>7.1349999999999997E-2</v>
      </c>
      <c r="J424" s="3">
        <v>7.9099999999999996E-13</v>
      </c>
    </row>
    <row r="425" spans="1:10" x14ac:dyDescent="0.2">
      <c r="A425" s="3">
        <v>420</v>
      </c>
      <c r="B425" s="3">
        <v>3.2500000000000001E-7</v>
      </c>
      <c r="C425" s="2">
        <v>2.2020000000000001E-2</v>
      </c>
      <c r="D425" s="3">
        <v>178000</v>
      </c>
      <c r="E425" s="3">
        <v>112000000000</v>
      </c>
      <c r="F425" s="3">
        <v>101000000000</v>
      </c>
      <c r="G425" s="3">
        <v>3470000000</v>
      </c>
      <c r="H425" s="3">
        <v>10300000000</v>
      </c>
      <c r="I425" s="2">
        <v>3.4270000000000002E-2</v>
      </c>
      <c r="J425" s="3">
        <v>6.9199999999999998E-13</v>
      </c>
    </row>
    <row r="426" spans="1:10" x14ac:dyDescent="0.2">
      <c r="A426" s="3">
        <v>420</v>
      </c>
      <c r="B426" s="3">
        <v>3.2599999999999998E-7</v>
      </c>
      <c r="C426" s="2">
        <v>2.2069999999999999E-2</v>
      </c>
      <c r="D426" s="3">
        <v>169000</v>
      </c>
      <c r="E426" s="3">
        <v>107000000000</v>
      </c>
      <c r="F426" s="3">
        <v>97100000000</v>
      </c>
      <c r="G426" s="3">
        <v>8210000000</v>
      </c>
      <c r="H426" s="3">
        <v>10500000000</v>
      </c>
      <c r="I426" s="2">
        <v>8.4559999999999996E-2</v>
      </c>
      <c r="J426" s="3">
        <v>7.7200000000000004E-13</v>
      </c>
    </row>
    <row r="427" spans="1:10" x14ac:dyDescent="0.2">
      <c r="A427" s="3">
        <v>430</v>
      </c>
      <c r="B427" s="3">
        <v>3.27E-7</v>
      </c>
      <c r="C427" s="2">
        <v>2.213E-2</v>
      </c>
      <c r="D427" s="3">
        <v>194000</v>
      </c>
      <c r="E427" s="3">
        <v>120000000000</v>
      </c>
      <c r="F427" s="3">
        <v>108000000000</v>
      </c>
      <c r="G427" s="2">
        <v>0</v>
      </c>
      <c r="H427" s="3">
        <v>9980000000</v>
      </c>
      <c r="I427" s="2">
        <v>-5.2620000000000002E-3</v>
      </c>
      <c r="J427" s="3">
        <v>5.8900000000000001E-13</v>
      </c>
    </row>
    <row r="428" spans="1:10" x14ac:dyDescent="0.2">
      <c r="A428" s="3">
        <v>430</v>
      </c>
      <c r="B428" s="3">
        <v>3.27E-7</v>
      </c>
      <c r="C428" s="2">
        <v>2.2179999999999998E-2</v>
      </c>
      <c r="D428" s="3">
        <v>178000</v>
      </c>
      <c r="E428" s="3">
        <v>111000000000</v>
      </c>
      <c r="F428" s="3">
        <v>101000000000</v>
      </c>
      <c r="G428" s="2">
        <v>0</v>
      </c>
      <c r="H428" s="3">
        <v>10300000000</v>
      </c>
      <c r="I428" s="2">
        <v>-1.0200000000000001E-3</v>
      </c>
      <c r="J428" s="3">
        <v>6.9799999999999995E-13</v>
      </c>
    </row>
    <row r="429" spans="1:10" x14ac:dyDescent="0.2">
      <c r="A429" s="3">
        <v>430</v>
      </c>
      <c r="B429" s="3">
        <v>3.2800000000000003E-7</v>
      </c>
      <c r="C429" s="2">
        <v>2.223E-2</v>
      </c>
      <c r="D429" s="3">
        <v>177000</v>
      </c>
      <c r="E429" s="3">
        <v>110000000000</v>
      </c>
      <c r="F429" s="3">
        <v>100000000000</v>
      </c>
      <c r="G429" s="3">
        <v>1020000000</v>
      </c>
      <c r="H429" s="3">
        <v>10400000000</v>
      </c>
      <c r="I429" s="2">
        <v>1.018E-2</v>
      </c>
      <c r="J429" s="3">
        <v>7.1299999999999999E-13</v>
      </c>
    </row>
    <row r="430" spans="1:10" x14ac:dyDescent="0.2">
      <c r="A430" s="3">
        <v>430</v>
      </c>
      <c r="B430" s="3">
        <v>3.2899999999999999E-7</v>
      </c>
      <c r="C430" s="2">
        <v>2.2280000000000001E-2</v>
      </c>
      <c r="D430" s="3">
        <v>172000</v>
      </c>
      <c r="E430" s="3">
        <v>108000000000</v>
      </c>
      <c r="F430" s="3">
        <v>97800000000</v>
      </c>
      <c r="G430" s="3">
        <v>2580000000</v>
      </c>
      <c r="H430" s="3">
        <v>10500000000</v>
      </c>
      <c r="I430" s="2">
        <v>2.639E-2</v>
      </c>
      <c r="J430" s="3">
        <v>7.5500000000000001E-13</v>
      </c>
    </row>
    <row r="431" spans="1:10" x14ac:dyDescent="0.2">
      <c r="A431" s="3">
        <v>430</v>
      </c>
      <c r="B431" s="3">
        <v>3.3000000000000002E-7</v>
      </c>
      <c r="C431" s="2">
        <v>2.2329999999999999E-2</v>
      </c>
      <c r="D431" s="3">
        <v>183000</v>
      </c>
      <c r="E431" s="3">
        <v>114000000000</v>
      </c>
      <c r="F431" s="3">
        <v>103000000000</v>
      </c>
      <c r="G431" s="3">
        <v>2640000000</v>
      </c>
      <c r="H431" s="3">
        <v>10200000000</v>
      </c>
      <c r="I431" s="2">
        <v>2.5749999999999999E-2</v>
      </c>
      <c r="J431" s="3">
        <v>6.6699999999999999E-13</v>
      </c>
    </row>
    <row r="432" spans="1:10" x14ac:dyDescent="0.2">
      <c r="A432" s="3">
        <v>430</v>
      </c>
      <c r="B432" s="3">
        <v>3.3099999999999999E-7</v>
      </c>
      <c r="C432" s="2">
        <v>2.239E-2</v>
      </c>
      <c r="D432" s="3">
        <v>172000</v>
      </c>
      <c r="E432" s="3">
        <v>108000000000</v>
      </c>
      <c r="F432" s="3">
        <v>97700000000</v>
      </c>
      <c r="G432" s="2">
        <v>0</v>
      </c>
      <c r="H432" s="3">
        <v>10500000000</v>
      </c>
      <c r="I432" s="2">
        <v>-9.9129999999999996E-2</v>
      </c>
      <c r="J432" s="3">
        <v>7.5500000000000001E-13</v>
      </c>
    </row>
    <row r="433" spans="1:10" x14ac:dyDescent="0.2">
      <c r="A433" s="3">
        <v>430</v>
      </c>
      <c r="B433" s="3">
        <v>3.3200000000000001E-7</v>
      </c>
      <c r="C433" s="2">
        <v>2.2440000000000002E-2</v>
      </c>
      <c r="D433" s="3">
        <v>187000</v>
      </c>
      <c r="E433" s="3">
        <v>115000000000</v>
      </c>
      <c r="F433" s="3">
        <v>104000000000</v>
      </c>
      <c r="G433" s="2">
        <v>0</v>
      </c>
      <c r="H433" s="3">
        <v>10100000000</v>
      </c>
      <c r="I433" s="2">
        <v>-1.3990000000000001E-2</v>
      </c>
      <c r="J433" s="3">
        <v>6.4499999999999998E-13</v>
      </c>
    </row>
    <row r="434" spans="1:10" x14ac:dyDescent="0.2">
      <c r="A434" s="3">
        <v>430</v>
      </c>
      <c r="B434" s="3">
        <v>3.3299999999999998E-7</v>
      </c>
      <c r="C434" s="2">
        <v>2.249E-2</v>
      </c>
      <c r="D434" s="3">
        <v>182000</v>
      </c>
      <c r="E434" s="3">
        <v>112000000000</v>
      </c>
      <c r="F434" s="3">
        <v>102000000000</v>
      </c>
      <c r="G434" s="3">
        <v>5530000000</v>
      </c>
      <c r="H434" s="3">
        <v>10200000000</v>
      </c>
      <c r="I434" s="2">
        <v>5.4350000000000002E-2</v>
      </c>
      <c r="J434" s="3">
        <v>6.7900000000000004E-13</v>
      </c>
    </row>
    <row r="435" spans="1:10" x14ac:dyDescent="0.2">
      <c r="A435" s="3">
        <v>430</v>
      </c>
      <c r="B435" s="3">
        <v>3.3299999999999998E-7</v>
      </c>
      <c r="C435" s="2">
        <v>2.2540000000000001E-2</v>
      </c>
      <c r="D435" s="3">
        <v>182000</v>
      </c>
      <c r="E435" s="3">
        <v>113000000000</v>
      </c>
      <c r="F435" s="3">
        <v>102000000000</v>
      </c>
      <c r="G435" s="3">
        <v>6610000000</v>
      </c>
      <c r="H435" s="3">
        <v>10200000000</v>
      </c>
      <c r="I435" s="2">
        <v>6.4850000000000005E-2</v>
      </c>
      <c r="J435" s="3">
        <v>6.7700000000000004E-13</v>
      </c>
    </row>
    <row r="436" spans="1:10" x14ac:dyDescent="0.2">
      <c r="A436" s="3">
        <v>430</v>
      </c>
      <c r="B436" s="3">
        <v>3.34E-7</v>
      </c>
      <c r="C436" s="2">
        <v>2.2589999999999999E-2</v>
      </c>
      <c r="D436" s="3">
        <v>182000</v>
      </c>
      <c r="E436" s="3">
        <v>112000000000</v>
      </c>
      <c r="F436" s="3">
        <v>101000000000</v>
      </c>
      <c r="G436" s="3">
        <v>3490000000</v>
      </c>
      <c r="H436" s="3">
        <v>10200000000</v>
      </c>
      <c r="I436" s="2">
        <v>3.44E-2</v>
      </c>
      <c r="J436" s="3">
        <v>6.8400000000000001E-13</v>
      </c>
    </row>
    <row r="437" spans="1:10" x14ac:dyDescent="0.2">
      <c r="A437" s="3">
        <v>440</v>
      </c>
      <c r="B437" s="3">
        <v>3.3500000000000002E-7</v>
      </c>
      <c r="C437" s="2">
        <v>2.265E-2</v>
      </c>
      <c r="D437" s="3">
        <v>168000</v>
      </c>
      <c r="E437" s="3">
        <v>105000000000</v>
      </c>
      <c r="F437" s="3">
        <v>95300000000</v>
      </c>
      <c r="G437" s="2">
        <v>0</v>
      </c>
      <c r="H437" s="3">
        <v>10500000000</v>
      </c>
      <c r="I437" s="2">
        <v>-5.4120000000000001E-2</v>
      </c>
      <c r="J437" s="3">
        <v>8.0100000000000002E-13</v>
      </c>
    </row>
    <row r="438" spans="1:10" x14ac:dyDescent="0.2">
      <c r="A438" s="3">
        <v>440</v>
      </c>
      <c r="B438" s="3">
        <v>3.3599999999999999E-7</v>
      </c>
      <c r="C438" s="2">
        <v>2.2700000000000001E-2</v>
      </c>
      <c r="D438" s="3">
        <v>176000</v>
      </c>
      <c r="E438" s="3">
        <v>109000000000</v>
      </c>
      <c r="F438" s="3">
        <v>98600000000</v>
      </c>
      <c r="G438" s="2">
        <v>0</v>
      </c>
      <c r="H438" s="3">
        <v>10300000000</v>
      </c>
      <c r="I438" s="2">
        <v>-4.1910000000000003E-2</v>
      </c>
      <c r="J438" s="3">
        <v>7.3200000000000001E-13</v>
      </c>
    </row>
    <row r="439" spans="1:10" x14ac:dyDescent="0.2">
      <c r="A439" s="3">
        <v>440</v>
      </c>
      <c r="B439" s="3">
        <v>3.3599999999999999E-7</v>
      </c>
      <c r="C439" s="2">
        <v>2.2749999999999999E-2</v>
      </c>
      <c r="D439" s="3">
        <v>171000</v>
      </c>
      <c r="E439" s="3">
        <v>106000000000</v>
      </c>
      <c r="F439" s="3">
        <v>96400000000</v>
      </c>
      <c r="G439" s="3">
        <v>2880000000</v>
      </c>
      <c r="H439" s="3">
        <v>10500000000</v>
      </c>
      <c r="I439" s="2">
        <v>2.9940000000000001E-2</v>
      </c>
      <c r="J439" s="3">
        <v>7.7700000000000002E-13</v>
      </c>
    </row>
    <row r="440" spans="1:10" x14ac:dyDescent="0.2">
      <c r="A440" s="3">
        <v>440</v>
      </c>
      <c r="B440" s="3">
        <v>3.3799999999999998E-7</v>
      </c>
      <c r="C440" s="2">
        <v>2.281E-2</v>
      </c>
      <c r="D440" s="3">
        <v>171000</v>
      </c>
      <c r="E440" s="3">
        <v>106000000000</v>
      </c>
      <c r="F440" s="3">
        <v>96200000000</v>
      </c>
      <c r="G440" s="3">
        <v>1530000000</v>
      </c>
      <c r="H440" s="3">
        <v>10400000000</v>
      </c>
      <c r="I440" s="2">
        <v>1.5869999999999999E-2</v>
      </c>
      <c r="J440" s="3">
        <v>7.7800000000000002E-13</v>
      </c>
    </row>
    <row r="441" spans="1:10" x14ac:dyDescent="0.2">
      <c r="A441" s="3">
        <v>440</v>
      </c>
      <c r="B441" s="3">
        <v>3.39E-7</v>
      </c>
      <c r="C441" s="2">
        <v>2.2859999999999998E-2</v>
      </c>
      <c r="D441" s="3">
        <v>168000</v>
      </c>
      <c r="E441" s="3">
        <v>104000000000</v>
      </c>
      <c r="F441" s="3">
        <v>94600000000</v>
      </c>
      <c r="G441" s="3">
        <v>14200000000</v>
      </c>
      <c r="H441" s="3">
        <v>10500000000</v>
      </c>
      <c r="I441" s="2">
        <v>0.15010000000000001</v>
      </c>
      <c r="J441" s="3">
        <v>8.0999999999999998E-13</v>
      </c>
    </row>
    <row r="442" spans="1:10" x14ac:dyDescent="0.2">
      <c r="A442" s="3">
        <v>440</v>
      </c>
      <c r="B442" s="3">
        <v>3.3999999999999997E-7</v>
      </c>
      <c r="C442" s="2">
        <v>2.291E-2</v>
      </c>
      <c r="D442" s="3">
        <v>149000</v>
      </c>
      <c r="E442" s="3">
        <v>93700000000</v>
      </c>
      <c r="F442" s="3">
        <v>86200000000</v>
      </c>
      <c r="G442" s="3">
        <v>3540000000</v>
      </c>
      <c r="H442" s="3">
        <v>11100000000</v>
      </c>
      <c r="I442" s="2">
        <v>4.1070000000000002E-2</v>
      </c>
      <c r="J442" s="3">
        <v>1.0300000000000001E-12</v>
      </c>
    </row>
    <row r="443" spans="1:10" x14ac:dyDescent="0.2">
      <c r="A443" s="3">
        <v>440</v>
      </c>
      <c r="B443" s="3">
        <v>3.4200000000000002E-7</v>
      </c>
      <c r="C443" s="2">
        <v>2.2960000000000001E-2</v>
      </c>
      <c r="D443" s="3">
        <v>169000</v>
      </c>
      <c r="E443" s="3">
        <v>104000000000</v>
      </c>
      <c r="F443" s="3">
        <v>94600000000</v>
      </c>
      <c r="G443" s="2">
        <v>0</v>
      </c>
      <c r="H443" s="3">
        <v>10400000000</v>
      </c>
      <c r="I443" s="2">
        <v>-7.3870000000000005E-2</v>
      </c>
      <c r="J443" s="3">
        <v>8.0300000000000001E-13</v>
      </c>
    </row>
    <row r="444" spans="1:10" x14ac:dyDescent="0.2">
      <c r="A444" s="3">
        <v>440</v>
      </c>
      <c r="B444" s="3">
        <v>3.4299999999999999E-7</v>
      </c>
      <c r="C444" s="2">
        <v>2.3009999999999999E-2</v>
      </c>
      <c r="D444" s="3">
        <v>176000</v>
      </c>
      <c r="E444" s="3">
        <v>107000000000</v>
      </c>
      <c r="F444" s="3">
        <v>97500000000</v>
      </c>
      <c r="G444" s="3">
        <v>4460000000</v>
      </c>
      <c r="H444" s="3">
        <v>10200000000</v>
      </c>
      <c r="I444" s="2">
        <v>4.573E-2</v>
      </c>
      <c r="J444" s="3">
        <v>7.4199999999999997E-13</v>
      </c>
    </row>
    <row r="445" spans="1:10" x14ac:dyDescent="0.2">
      <c r="A445" s="3">
        <v>440</v>
      </c>
      <c r="B445" s="3">
        <v>3.4400000000000001E-7</v>
      </c>
      <c r="C445" s="2">
        <v>2.3060000000000001E-2</v>
      </c>
      <c r="D445" s="3">
        <v>189000</v>
      </c>
      <c r="E445" s="3">
        <v>114000000000</v>
      </c>
      <c r="F445" s="3">
        <v>103000000000</v>
      </c>
      <c r="G445" s="3">
        <v>7770000000</v>
      </c>
      <c r="H445" s="3">
        <v>9920000000</v>
      </c>
      <c r="I445" s="2">
        <v>7.5539999999999996E-2</v>
      </c>
      <c r="J445" s="3">
        <v>6.4799999999999997E-13</v>
      </c>
    </row>
    <row r="446" spans="1:10" x14ac:dyDescent="0.2">
      <c r="A446" s="3">
        <v>440</v>
      </c>
      <c r="B446" s="3">
        <v>3.4499999999999998E-7</v>
      </c>
      <c r="C446" s="2">
        <v>2.3109999999999999E-2</v>
      </c>
      <c r="D446" s="3">
        <v>172000</v>
      </c>
      <c r="E446" s="3">
        <v>104000000000</v>
      </c>
      <c r="F446" s="3">
        <v>95100000000</v>
      </c>
      <c r="G446" s="3">
        <v>2170000000</v>
      </c>
      <c r="H446" s="3">
        <v>10300000000</v>
      </c>
      <c r="I446" s="2">
        <v>2.2790000000000001E-2</v>
      </c>
      <c r="J446" s="3">
        <v>7.8599999999999998E-13</v>
      </c>
    </row>
    <row r="447" spans="1:10" x14ac:dyDescent="0.2">
      <c r="A447" s="3">
        <v>450</v>
      </c>
      <c r="B447" s="3">
        <v>3.4499999999999998E-7</v>
      </c>
      <c r="C447" s="2">
        <v>2.317E-2</v>
      </c>
      <c r="D447" s="3">
        <v>149000</v>
      </c>
      <c r="E447" s="3">
        <v>92700000000</v>
      </c>
      <c r="F447" s="3">
        <v>85300000000</v>
      </c>
      <c r="G447" s="3">
        <v>2710000000</v>
      </c>
      <c r="H447" s="3">
        <v>11000000000</v>
      </c>
      <c r="I447" s="2">
        <v>3.1780000000000003E-2</v>
      </c>
      <c r="J447" s="3">
        <v>1.05E-12</v>
      </c>
    </row>
    <row r="448" spans="1:10" x14ac:dyDescent="0.2">
      <c r="A448" s="3">
        <v>450</v>
      </c>
      <c r="B448" s="3">
        <v>3.46E-7</v>
      </c>
      <c r="C448" s="2">
        <v>2.3220000000000001E-2</v>
      </c>
      <c r="D448" s="3">
        <v>177000</v>
      </c>
      <c r="E448" s="3">
        <v>107000000000</v>
      </c>
      <c r="F448" s="3">
        <v>97200000000</v>
      </c>
      <c r="G448" s="3">
        <v>4700000000</v>
      </c>
      <c r="H448" s="3">
        <v>10200000000</v>
      </c>
      <c r="I448" s="2">
        <v>4.8329999999999998E-2</v>
      </c>
      <c r="J448" s="3">
        <v>7.4499999999999996E-13</v>
      </c>
    </row>
    <row r="449" spans="1:10" x14ac:dyDescent="0.2">
      <c r="A449" s="3">
        <v>450</v>
      </c>
      <c r="B449" s="3">
        <v>3.4700000000000002E-7</v>
      </c>
      <c r="C449" s="2">
        <v>2.3269999999999999E-2</v>
      </c>
      <c r="D449" s="3">
        <v>185000</v>
      </c>
      <c r="E449" s="3">
        <v>111000000000</v>
      </c>
      <c r="F449" s="3">
        <v>101000000000</v>
      </c>
      <c r="G449" s="3">
        <v>11600000000</v>
      </c>
      <c r="H449" s="3">
        <v>9990000000</v>
      </c>
      <c r="I449" s="2">
        <v>0.1147</v>
      </c>
      <c r="J449" s="3">
        <v>6.7900000000000004E-13</v>
      </c>
    </row>
    <row r="450" spans="1:10" x14ac:dyDescent="0.2">
      <c r="A450" s="3">
        <v>450</v>
      </c>
      <c r="B450" s="3">
        <v>3.4799999999999999E-7</v>
      </c>
      <c r="C450" s="2">
        <v>2.332E-2</v>
      </c>
      <c r="D450" s="3">
        <v>173000</v>
      </c>
      <c r="E450" s="3">
        <v>105000000000</v>
      </c>
      <c r="F450" s="3">
        <v>95300000000</v>
      </c>
      <c r="G450" s="3">
        <v>11100000000</v>
      </c>
      <c r="H450" s="3">
        <v>10300000000</v>
      </c>
      <c r="I450" s="2">
        <v>0.1167</v>
      </c>
      <c r="J450" s="3">
        <v>7.81E-13</v>
      </c>
    </row>
    <row r="451" spans="1:10" x14ac:dyDescent="0.2">
      <c r="A451" s="3">
        <v>450</v>
      </c>
      <c r="B451" s="3">
        <v>3.4900000000000001E-7</v>
      </c>
      <c r="C451" s="2">
        <v>2.3369999999999998E-2</v>
      </c>
      <c r="D451" s="3">
        <v>191000</v>
      </c>
      <c r="E451" s="3">
        <v>114000000000</v>
      </c>
      <c r="F451" s="3">
        <v>103000000000</v>
      </c>
      <c r="G451" s="3">
        <v>9470000000</v>
      </c>
      <c r="H451" s="3">
        <v>9870000000</v>
      </c>
      <c r="I451" s="2">
        <v>9.1859999999999997E-2</v>
      </c>
      <c r="J451" s="3">
        <v>6.4099999999999999E-13</v>
      </c>
    </row>
    <row r="452" spans="1:10" x14ac:dyDescent="0.2">
      <c r="A452" s="3">
        <v>450</v>
      </c>
      <c r="B452" s="3">
        <v>3.4900000000000001E-7</v>
      </c>
      <c r="C452" s="2">
        <v>2.3429999999999999E-2</v>
      </c>
      <c r="D452" s="3">
        <v>186000</v>
      </c>
      <c r="E452" s="3">
        <v>112000000000</v>
      </c>
      <c r="F452" s="3">
        <v>101000000000</v>
      </c>
      <c r="G452" s="3">
        <v>5320000000</v>
      </c>
      <c r="H452" s="3">
        <v>9970000000</v>
      </c>
      <c r="I452" s="2">
        <v>5.2650000000000002E-2</v>
      </c>
      <c r="J452" s="3">
        <v>6.7499999999999995E-13</v>
      </c>
    </row>
    <row r="453" spans="1:10" x14ac:dyDescent="0.2">
      <c r="A453" s="3">
        <v>450</v>
      </c>
      <c r="B453" s="3">
        <v>3.4999999999999998E-7</v>
      </c>
      <c r="C453" s="2">
        <v>2.3480000000000001E-2</v>
      </c>
      <c r="D453" s="3">
        <v>184000</v>
      </c>
      <c r="E453" s="3">
        <v>110000000000</v>
      </c>
      <c r="F453" s="3">
        <v>99800000000</v>
      </c>
      <c r="G453" s="2">
        <v>0</v>
      </c>
      <c r="H453" s="3">
        <v>10000000000</v>
      </c>
      <c r="I453" s="2">
        <v>-2.6759999999999999E-2</v>
      </c>
      <c r="J453" s="3">
        <v>6.9599999999999996E-13</v>
      </c>
    </row>
    <row r="454" spans="1:10" x14ac:dyDescent="0.2">
      <c r="A454" s="3">
        <v>450</v>
      </c>
      <c r="B454" s="3">
        <v>3.5100000000000001E-7</v>
      </c>
      <c r="C454" s="2">
        <v>2.3529999999999999E-2</v>
      </c>
      <c r="D454" s="3">
        <v>188000</v>
      </c>
      <c r="E454" s="3">
        <v>112000000000</v>
      </c>
      <c r="F454" s="3">
        <v>102000000000</v>
      </c>
      <c r="G454" s="3">
        <v>7820000000</v>
      </c>
      <c r="H454" s="3">
        <v>9940000000</v>
      </c>
      <c r="I454" s="2">
        <v>7.7009999999999995E-2</v>
      </c>
      <c r="J454" s="3">
        <v>6.6699999999999999E-13</v>
      </c>
    </row>
    <row r="455" spans="1:10" x14ac:dyDescent="0.2">
      <c r="A455" s="3">
        <v>450</v>
      </c>
      <c r="B455" s="3">
        <v>3.5100000000000001E-7</v>
      </c>
      <c r="C455" s="2">
        <v>2.358E-2</v>
      </c>
      <c r="D455" s="3">
        <v>176000</v>
      </c>
      <c r="E455" s="3">
        <v>106000000000</v>
      </c>
      <c r="F455" s="3">
        <v>96300000000</v>
      </c>
      <c r="G455" s="3">
        <v>8290000000</v>
      </c>
      <c r="H455" s="3">
        <v>10200000000</v>
      </c>
      <c r="I455" s="2">
        <v>8.6069999999999994E-2</v>
      </c>
      <c r="J455" s="3">
        <v>7.5999999999999999E-13</v>
      </c>
    </row>
    <row r="456" spans="1:10" x14ac:dyDescent="0.2">
      <c r="A456" s="3">
        <v>450</v>
      </c>
      <c r="B456" s="3">
        <v>3.5199999999999998E-7</v>
      </c>
      <c r="C456" s="2">
        <v>2.3640000000000001E-2</v>
      </c>
      <c r="D456" s="3">
        <v>184000</v>
      </c>
      <c r="E456" s="3">
        <v>110000000000</v>
      </c>
      <c r="F456" s="3">
        <v>99800000000</v>
      </c>
      <c r="G456" s="3">
        <v>5160000000</v>
      </c>
      <c r="H456" s="3">
        <v>10000000000</v>
      </c>
      <c r="I456" s="2">
        <v>5.1670000000000001E-2</v>
      </c>
      <c r="J456" s="3">
        <v>6.9499999999999997E-13</v>
      </c>
    </row>
    <row r="457" spans="1:10" x14ac:dyDescent="0.2">
      <c r="A457" s="3">
        <v>460</v>
      </c>
      <c r="B457" s="3">
        <v>3.53E-7</v>
      </c>
      <c r="C457" s="2">
        <v>2.3689999999999999E-2</v>
      </c>
      <c r="D457" s="3">
        <v>177000</v>
      </c>
      <c r="E457" s="3">
        <v>106000000000</v>
      </c>
      <c r="F457" s="3">
        <v>96600000000</v>
      </c>
      <c r="G457" s="3">
        <v>5140000000</v>
      </c>
      <c r="H457" s="3">
        <v>10200000000</v>
      </c>
      <c r="I457" s="2">
        <v>5.321E-2</v>
      </c>
      <c r="J457" s="3">
        <v>7.5300000000000002E-13</v>
      </c>
    </row>
    <row r="458" spans="1:10" x14ac:dyDescent="0.2">
      <c r="A458" s="3">
        <v>460</v>
      </c>
      <c r="B458" s="3">
        <v>3.53E-7</v>
      </c>
      <c r="C458" s="2">
        <v>2.3740000000000001E-2</v>
      </c>
      <c r="D458" s="3">
        <v>186000</v>
      </c>
      <c r="E458" s="3">
        <v>111000000000</v>
      </c>
      <c r="F458" s="3">
        <v>100000000000</v>
      </c>
      <c r="G458" s="2">
        <v>0</v>
      </c>
      <c r="H458" s="3">
        <v>10000000000</v>
      </c>
      <c r="I458" s="2">
        <v>-2.2020000000000001E-2</v>
      </c>
      <c r="J458" s="3">
        <v>6.87E-13</v>
      </c>
    </row>
    <row r="459" spans="1:10" x14ac:dyDescent="0.2">
      <c r="A459" s="3">
        <v>460</v>
      </c>
      <c r="B459" s="3">
        <v>3.5400000000000002E-7</v>
      </c>
      <c r="C459" s="2">
        <v>2.3789999999999999E-2</v>
      </c>
      <c r="D459" s="3">
        <v>181000</v>
      </c>
      <c r="E459" s="3">
        <v>108000000000</v>
      </c>
      <c r="F459" s="3">
        <v>97900000000</v>
      </c>
      <c r="G459" s="3">
        <v>1870000000</v>
      </c>
      <c r="H459" s="3">
        <v>10100000000</v>
      </c>
      <c r="I459" s="2">
        <v>1.907E-2</v>
      </c>
      <c r="J459" s="3">
        <v>7.2700000000000003E-13</v>
      </c>
    </row>
    <row r="460" spans="1:10" x14ac:dyDescent="0.2">
      <c r="A460" s="3">
        <v>460</v>
      </c>
      <c r="B460" s="3">
        <v>3.5499999999999999E-7</v>
      </c>
      <c r="C460" s="2">
        <v>2.384E-2</v>
      </c>
      <c r="D460" s="3">
        <v>203000</v>
      </c>
      <c r="E460" s="3">
        <v>119000000000</v>
      </c>
      <c r="F460" s="3">
        <v>107000000000</v>
      </c>
      <c r="G460" s="3">
        <v>14200000000</v>
      </c>
      <c r="H460" s="3">
        <v>9690000000</v>
      </c>
      <c r="I460" s="2">
        <v>0.13189999999999999</v>
      </c>
      <c r="J460" s="3">
        <v>5.7999999999999995E-13</v>
      </c>
    </row>
    <row r="461" spans="1:10" x14ac:dyDescent="0.2">
      <c r="A461" s="3">
        <v>460</v>
      </c>
      <c r="B461" s="3">
        <v>3.5600000000000001E-7</v>
      </c>
      <c r="C461" s="2">
        <v>2.3900000000000001E-2</v>
      </c>
      <c r="D461" s="3">
        <v>183000</v>
      </c>
      <c r="E461" s="3">
        <v>108000000000</v>
      </c>
      <c r="F461" s="3">
        <v>98500000000</v>
      </c>
      <c r="G461" s="3">
        <v>2150000000</v>
      </c>
      <c r="H461" s="3">
        <v>10100000000</v>
      </c>
      <c r="I461" s="2">
        <v>2.1870000000000001E-2</v>
      </c>
      <c r="J461" s="3">
        <v>7.1599999999999998E-13</v>
      </c>
    </row>
    <row r="462" spans="1:10" x14ac:dyDescent="0.2">
      <c r="A462" s="3">
        <v>460</v>
      </c>
      <c r="B462" s="3">
        <v>3.5600000000000001E-7</v>
      </c>
      <c r="C462" s="2">
        <v>2.3949999999999999E-2</v>
      </c>
      <c r="D462" s="3">
        <v>156000</v>
      </c>
      <c r="E462" s="3">
        <v>94800000000</v>
      </c>
      <c r="F462" s="3">
        <v>87100000000</v>
      </c>
      <c r="G462" s="2">
        <v>0</v>
      </c>
      <c r="H462" s="3">
        <v>10800000000</v>
      </c>
      <c r="I462" s="2">
        <v>-0.11990000000000001</v>
      </c>
      <c r="J462" s="3">
        <v>9.8000000000000007E-13</v>
      </c>
    </row>
    <row r="463" spans="1:10" x14ac:dyDescent="0.2">
      <c r="A463" s="3">
        <v>460</v>
      </c>
      <c r="B463" s="3">
        <v>3.58E-7</v>
      </c>
      <c r="C463" s="2">
        <v>2.4E-2</v>
      </c>
      <c r="D463" s="3">
        <v>191000</v>
      </c>
      <c r="E463" s="3">
        <v>113000000000</v>
      </c>
      <c r="F463" s="3">
        <v>102000000000</v>
      </c>
      <c r="G463" s="3">
        <v>5860000000</v>
      </c>
      <c r="H463" s="3">
        <v>9880000000</v>
      </c>
      <c r="I463" s="2">
        <v>5.7570000000000003E-2</v>
      </c>
      <c r="J463" s="3">
        <v>6.5800000000000002E-13</v>
      </c>
    </row>
    <row r="464" spans="1:10" x14ac:dyDescent="0.2">
      <c r="A464" s="3">
        <v>460</v>
      </c>
      <c r="B464" s="3">
        <v>3.58E-7</v>
      </c>
      <c r="C464" s="2">
        <v>2.4049999999999998E-2</v>
      </c>
      <c r="D464" s="3">
        <v>167000</v>
      </c>
      <c r="E464" s="3">
        <v>100000000000</v>
      </c>
      <c r="F464" s="3">
        <v>91500000000</v>
      </c>
      <c r="G464" s="3">
        <v>6480000000</v>
      </c>
      <c r="H464" s="3">
        <v>10400000000</v>
      </c>
      <c r="I464" s="2">
        <v>7.0779999999999996E-2</v>
      </c>
      <c r="J464" s="3">
        <v>8.6099999999999997E-13</v>
      </c>
    </row>
    <row r="465" spans="1:10" x14ac:dyDescent="0.2">
      <c r="A465" s="3">
        <v>460</v>
      </c>
      <c r="B465" s="3">
        <v>3.5900000000000003E-7</v>
      </c>
      <c r="C465" s="2">
        <v>2.4109999999999999E-2</v>
      </c>
      <c r="D465" s="3">
        <v>171000</v>
      </c>
      <c r="E465" s="3">
        <v>102000000000</v>
      </c>
      <c r="F465" s="3">
        <v>93200000000</v>
      </c>
      <c r="G465" s="2">
        <v>0</v>
      </c>
      <c r="H465" s="3">
        <v>10300000000</v>
      </c>
      <c r="I465" s="2">
        <v>-6.726E-2</v>
      </c>
      <c r="J465" s="3">
        <v>8.2000000000000004E-13</v>
      </c>
    </row>
    <row r="466" spans="1:10" x14ac:dyDescent="0.2">
      <c r="A466" s="3">
        <v>460</v>
      </c>
      <c r="B466" s="3">
        <v>3.5999999999999999E-7</v>
      </c>
      <c r="C466" s="2">
        <v>2.4160000000000001E-2</v>
      </c>
      <c r="D466" s="3">
        <v>185000</v>
      </c>
      <c r="E466" s="3">
        <v>109000000000</v>
      </c>
      <c r="F466" s="3">
        <v>99000000000</v>
      </c>
      <c r="G466" s="3">
        <v>11400000000</v>
      </c>
      <c r="H466" s="3">
        <v>10000000000</v>
      </c>
      <c r="I466" s="2">
        <v>0.1154</v>
      </c>
      <c r="J466" s="3">
        <v>7.0500000000000003E-13</v>
      </c>
    </row>
    <row r="467" spans="1:10" x14ac:dyDescent="0.2">
      <c r="A467" s="3">
        <v>470</v>
      </c>
      <c r="B467" s="3">
        <v>3.6100000000000002E-7</v>
      </c>
      <c r="C467" s="2">
        <v>2.4209999999999999E-2</v>
      </c>
      <c r="D467" s="3">
        <v>192000</v>
      </c>
      <c r="E467" s="3">
        <v>113000000000</v>
      </c>
      <c r="F467" s="3">
        <v>102000000000</v>
      </c>
      <c r="G467" s="3">
        <v>7080000000</v>
      </c>
      <c r="H467" s="3">
        <v>9860000000</v>
      </c>
      <c r="I467" s="2">
        <v>6.9409999999999999E-2</v>
      </c>
      <c r="J467" s="3">
        <v>6.5500000000000004E-13</v>
      </c>
    </row>
    <row r="468" spans="1:10" x14ac:dyDescent="0.2">
      <c r="A468" s="3">
        <v>470</v>
      </c>
      <c r="B468" s="3">
        <v>3.6100000000000002E-7</v>
      </c>
      <c r="C468" s="2">
        <v>2.426E-2</v>
      </c>
      <c r="D468" s="3">
        <v>166000</v>
      </c>
      <c r="E468" s="3">
        <v>98800000000</v>
      </c>
      <c r="F468" s="3">
        <v>90500000000</v>
      </c>
      <c r="G468" s="3">
        <v>6070000000</v>
      </c>
      <c r="H468" s="3">
        <v>10500000000</v>
      </c>
      <c r="I468" s="2">
        <v>6.7119999999999999E-2</v>
      </c>
      <c r="J468" s="3">
        <v>8.8399999999999997E-13</v>
      </c>
    </row>
    <row r="469" spans="1:10" x14ac:dyDescent="0.2">
      <c r="A469" s="3">
        <v>470</v>
      </c>
      <c r="B469" s="3">
        <v>3.6199999999999999E-7</v>
      </c>
      <c r="C469" s="2">
        <v>2.4309999999999998E-2</v>
      </c>
      <c r="D469" s="3">
        <v>185000</v>
      </c>
      <c r="E469" s="3">
        <v>109000000000</v>
      </c>
      <c r="F469" s="3">
        <v>98800000000</v>
      </c>
      <c r="G469" s="3">
        <v>19800000000</v>
      </c>
      <c r="H469" s="3">
        <v>10000000000</v>
      </c>
      <c r="I469" s="2">
        <v>0.20030000000000001</v>
      </c>
      <c r="J469" s="3">
        <v>7.0800000000000001E-13</v>
      </c>
    </row>
    <row r="470" spans="1:10" x14ac:dyDescent="0.2">
      <c r="A470" s="3">
        <v>470</v>
      </c>
      <c r="B470" s="3">
        <v>3.6300000000000001E-7</v>
      </c>
      <c r="C470" s="2">
        <v>2.436E-2</v>
      </c>
      <c r="D470" s="3">
        <v>192000</v>
      </c>
      <c r="E470" s="3">
        <v>112000000000</v>
      </c>
      <c r="F470" s="3">
        <v>101000000000</v>
      </c>
      <c r="G470" s="2">
        <v>0</v>
      </c>
      <c r="H470" s="3">
        <v>9870000000</v>
      </c>
      <c r="I470" s="2">
        <v>-2.946E-2</v>
      </c>
      <c r="J470" s="3">
        <v>6.63E-13</v>
      </c>
    </row>
    <row r="471" spans="1:10" x14ac:dyDescent="0.2">
      <c r="A471" s="3">
        <v>470</v>
      </c>
      <c r="B471" s="3">
        <v>3.6300000000000001E-7</v>
      </c>
      <c r="C471" s="2">
        <v>2.4420000000000001E-2</v>
      </c>
      <c r="D471" s="3">
        <v>187000</v>
      </c>
      <c r="E471" s="3">
        <v>109000000000</v>
      </c>
      <c r="F471" s="3">
        <v>99300000000</v>
      </c>
      <c r="G471" s="2">
        <v>0</v>
      </c>
      <c r="H471" s="3">
        <v>9980000000</v>
      </c>
      <c r="I471" s="2">
        <v>-1.5820000000000001E-2</v>
      </c>
      <c r="J471" s="3">
        <v>6.9899999999999995E-13</v>
      </c>
    </row>
    <row r="472" spans="1:10" x14ac:dyDescent="0.2">
      <c r="A472" s="3">
        <v>470</v>
      </c>
      <c r="B472" s="3">
        <v>3.6399999999999998E-7</v>
      </c>
      <c r="C472" s="2">
        <v>2.4469999999999999E-2</v>
      </c>
      <c r="D472" s="3">
        <v>205000</v>
      </c>
      <c r="E472" s="3">
        <v>119000000000</v>
      </c>
      <c r="F472" s="3">
        <v>107000000000</v>
      </c>
      <c r="G472" s="3">
        <v>5750000000</v>
      </c>
      <c r="H472" s="3">
        <v>9670000000</v>
      </c>
      <c r="I472" s="2">
        <v>5.3760000000000002E-2</v>
      </c>
      <c r="J472" s="3">
        <v>5.8400000000000004E-13</v>
      </c>
    </row>
    <row r="473" spans="1:10" x14ac:dyDescent="0.2">
      <c r="A473" s="3">
        <v>470</v>
      </c>
      <c r="B473" s="3">
        <v>3.65E-7</v>
      </c>
      <c r="C473" s="2">
        <v>2.452E-2</v>
      </c>
      <c r="D473" s="3">
        <v>173000</v>
      </c>
      <c r="E473" s="3">
        <v>102000000000</v>
      </c>
      <c r="F473" s="3">
        <v>93000000000</v>
      </c>
      <c r="G473" s="3">
        <v>7180000000</v>
      </c>
      <c r="H473" s="3">
        <v>10300000000</v>
      </c>
      <c r="I473" s="2">
        <v>7.7189999999999995E-2</v>
      </c>
      <c r="J473" s="3">
        <v>8.2200000000000003E-13</v>
      </c>
    </row>
    <row r="474" spans="1:10" x14ac:dyDescent="0.2">
      <c r="A474" s="3">
        <v>470</v>
      </c>
      <c r="B474" s="3">
        <v>3.6600000000000002E-7</v>
      </c>
      <c r="C474" s="2">
        <v>2.4580000000000001E-2</v>
      </c>
      <c r="D474" s="3">
        <v>193000</v>
      </c>
      <c r="E474" s="3">
        <v>112000000000</v>
      </c>
      <c r="F474" s="3">
        <v>102000000000</v>
      </c>
      <c r="G474" s="3">
        <v>5920000000</v>
      </c>
      <c r="H474" s="3">
        <v>9850000000</v>
      </c>
      <c r="I474" s="2">
        <v>5.8340000000000003E-2</v>
      </c>
      <c r="J474" s="3">
        <v>6.6000000000000001E-13</v>
      </c>
    </row>
    <row r="475" spans="1:10" x14ac:dyDescent="0.2">
      <c r="A475" s="3">
        <v>470</v>
      </c>
      <c r="B475" s="3">
        <v>3.6699999999999999E-7</v>
      </c>
      <c r="C475" s="2">
        <v>2.4629999999999999E-2</v>
      </c>
      <c r="D475" s="3">
        <v>186000</v>
      </c>
      <c r="E475" s="3">
        <v>108000000000</v>
      </c>
      <c r="F475" s="3">
        <v>98500000000</v>
      </c>
      <c r="G475" s="3">
        <v>16300000000</v>
      </c>
      <c r="H475" s="3">
        <v>9970000000</v>
      </c>
      <c r="I475" s="2">
        <v>0.1656</v>
      </c>
      <c r="J475" s="3">
        <v>7.1E-13</v>
      </c>
    </row>
    <row r="476" spans="1:10" x14ac:dyDescent="0.2">
      <c r="A476" s="3">
        <v>470</v>
      </c>
      <c r="B476" s="3">
        <v>3.6699999999999999E-7</v>
      </c>
      <c r="C476" s="2">
        <v>2.4680000000000001E-2</v>
      </c>
      <c r="D476" s="3">
        <v>172000</v>
      </c>
      <c r="E476" s="3">
        <v>101000000000</v>
      </c>
      <c r="F476" s="3">
        <v>92200000000</v>
      </c>
      <c r="G476" s="3">
        <v>1510000000</v>
      </c>
      <c r="H476" s="3">
        <v>10300000000</v>
      </c>
      <c r="I476" s="2">
        <v>1.6400000000000001E-2</v>
      </c>
      <c r="J476" s="3">
        <v>8.3699999999999997E-13</v>
      </c>
    </row>
    <row r="477" spans="1:10" x14ac:dyDescent="0.2">
      <c r="A477" s="3">
        <v>480</v>
      </c>
      <c r="B477" s="3">
        <v>3.6800000000000001E-7</v>
      </c>
      <c r="C477" s="2">
        <v>2.4729999999999999E-2</v>
      </c>
      <c r="D477" s="3">
        <v>197000</v>
      </c>
      <c r="E477" s="3">
        <v>114000000000</v>
      </c>
      <c r="F477" s="3">
        <v>103000000000</v>
      </c>
      <c r="G477" s="2">
        <v>0</v>
      </c>
      <c r="H477" s="3">
        <v>9780000000</v>
      </c>
      <c r="I477" s="2">
        <v>-3.9399999999999998E-2</v>
      </c>
      <c r="J477" s="3">
        <v>6.4E-13</v>
      </c>
    </row>
    <row r="478" spans="1:10" x14ac:dyDescent="0.2">
      <c r="A478" s="3">
        <v>480</v>
      </c>
      <c r="B478" s="3">
        <v>3.6899999999999998E-7</v>
      </c>
      <c r="C478" s="2">
        <v>2.478E-2</v>
      </c>
      <c r="D478" s="3">
        <v>180000</v>
      </c>
      <c r="E478" s="3">
        <v>105000000000</v>
      </c>
      <c r="F478" s="3">
        <v>95600000000</v>
      </c>
      <c r="G478" s="3">
        <v>14900000000</v>
      </c>
      <c r="H478" s="3">
        <v>10100000000</v>
      </c>
      <c r="I478" s="2">
        <v>0.15629999999999999</v>
      </c>
      <c r="J478" s="3">
        <v>7.6299999999999998E-13</v>
      </c>
    </row>
    <row r="479" spans="1:10" x14ac:dyDescent="0.2">
      <c r="A479" s="3">
        <v>480</v>
      </c>
      <c r="B479" s="3">
        <v>3.7E-7</v>
      </c>
      <c r="C479" s="2">
        <v>2.4830000000000001E-2</v>
      </c>
      <c r="D479" s="3">
        <v>179000</v>
      </c>
      <c r="E479" s="3">
        <v>104000000000</v>
      </c>
      <c r="F479" s="3">
        <v>95000000000</v>
      </c>
      <c r="G479" s="3">
        <v>5880000000</v>
      </c>
      <c r="H479" s="3">
        <v>10100000000</v>
      </c>
      <c r="I479" s="2">
        <v>6.1949999999999998E-2</v>
      </c>
      <c r="J479" s="3">
        <v>7.7600000000000003E-13</v>
      </c>
    </row>
    <row r="480" spans="1:10" x14ac:dyDescent="0.2">
      <c r="A480" s="3">
        <v>480</v>
      </c>
      <c r="B480" s="3">
        <v>3.7E-7</v>
      </c>
      <c r="C480" s="2">
        <v>2.4889999999999999E-2</v>
      </c>
      <c r="D480" s="3">
        <v>190000</v>
      </c>
      <c r="E480" s="3">
        <v>110000000000</v>
      </c>
      <c r="F480" s="3">
        <v>99700000000</v>
      </c>
      <c r="G480" s="3">
        <v>11200000000</v>
      </c>
      <c r="H480" s="3">
        <v>9910000000</v>
      </c>
      <c r="I480" s="2">
        <v>0.11219999999999999</v>
      </c>
      <c r="J480" s="3">
        <v>6.8899999999999999E-13</v>
      </c>
    </row>
    <row r="481" spans="1:10" x14ac:dyDescent="0.2">
      <c r="A481" s="3">
        <v>480</v>
      </c>
      <c r="B481" s="3">
        <v>3.7099999999999997E-7</v>
      </c>
      <c r="C481" s="2">
        <v>2.494E-2</v>
      </c>
      <c r="D481" s="3">
        <v>175000</v>
      </c>
      <c r="E481" s="3">
        <v>102000000000</v>
      </c>
      <c r="F481" s="3">
        <v>93200000000</v>
      </c>
      <c r="G481" s="3">
        <v>3550000000</v>
      </c>
      <c r="H481" s="3">
        <v>10200000000</v>
      </c>
      <c r="I481" s="2">
        <v>3.8089999999999999E-2</v>
      </c>
      <c r="J481" s="3">
        <v>8.1299999999999997E-13</v>
      </c>
    </row>
    <row r="482" spans="1:10" x14ac:dyDescent="0.2">
      <c r="A482" s="3">
        <v>480</v>
      </c>
      <c r="B482" s="3">
        <v>3.72E-7</v>
      </c>
      <c r="C482" s="2">
        <v>2.4989999999999998E-2</v>
      </c>
      <c r="D482" s="3">
        <v>185000</v>
      </c>
      <c r="E482" s="3">
        <v>107000000000</v>
      </c>
      <c r="F482" s="3">
        <v>97100000000</v>
      </c>
      <c r="G482" s="2">
        <v>0</v>
      </c>
      <c r="H482" s="3">
        <v>10000000000</v>
      </c>
      <c r="I482" s="2">
        <v>-2.409E-2</v>
      </c>
      <c r="J482" s="3">
        <v>7.34E-13</v>
      </c>
    </row>
    <row r="483" spans="1:10" x14ac:dyDescent="0.2">
      <c r="A483" s="3">
        <v>480</v>
      </c>
      <c r="B483" s="3">
        <v>3.7300000000000002E-7</v>
      </c>
      <c r="C483" s="2">
        <v>2.504E-2</v>
      </c>
      <c r="D483" s="3">
        <v>205000</v>
      </c>
      <c r="E483" s="3">
        <v>117000000000</v>
      </c>
      <c r="F483" s="3">
        <v>106000000000</v>
      </c>
      <c r="G483" s="3">
        <v>322000000</v>
      </c>
      <c r="H483" s="3">
        <v>9650000000</v>
      </c>
      <c r="I483" s="2">
        <v>3.0509999999999999E-3</v>
      </c>
      <c r="J483" s="3">
        <v>5.9699999999999998E-13</v>
      </c>
    </row>
    <row r="484" spans="1:10" x14ac:dyDescent="0.2">
      <c r="A484" s="3">
        <v>480</v>
      </c>
      <c r="B484" s="3">
        <v>3.7300000000000002E-7</v>
      </c>
      <c r="C484" s="2">
        <v>2.5090000000000001E-2</v>
      </c>
      <c r="D484" s="3">
        <v>190000</v>
      </c>
      <c r="E484" s="3">
        <v>110000000000</v>
      </c>
      <c r="F484" s="3">
        <v>99300000000</v>
      </c>
      <c r="G484" s="2">
        <v>0</v>
      </c>
      <c r="H484" s="3">
        <v>9900000000</v>
      </c>
      <c r="I484" s="2">
        <v>-8.1930000000000006E-3</v>
      </c>
      <c r="J484" s="3">
        <v>6.9199999999999998E-13</v>
      </c>
    </row>
    <row r="485" spans="1:10" x14ac:dyDescent="0.2">
      <c r="A485" s="3">
        <v>480</v>
      </c>
      <c r="B485" s="3">
        <v>3.7399999999999999E-7</v>
      </c>
      <c r="C485" s="2">
        <v>2.5149999999999999E-2</v>
      </c>
      <c r="D485" s="3">
        <v>192000</v>
      </c>
      <c r="E485" s="3">
        <v>110000000000</v>
      </c>
      <c r="F485" s="3">
        <v>100000000000</v>
      </c>
      <c r="G485" s="3">
        <v>4000000000</v>
      </c>
      <c r="H485" s="3">
        <v>9860000000</v>
      </c>
      <c r="I485" s="2">
        <v>3.9980000000000002E-2</v>
      </c>
      <c r="J485" s="3">
        <v>6.8100000000000003E-13</v>
      </c>
    </row>
    <row r="486" spans="1:10" x14ac:dyDescent="0.2">
      <c r="A486" s="3">
        <v>480</v>
      </c>
      <c r="B486" s="3">
        <v>3.7500000000000001E-7</v>
      </c>
      <c r="C486" s="2">
        <v>2.52E-2</v>
      </c>
      <c r="D486" s="3">
        <v>182000</v>
      </c>
      <c r="E486" s="3">
        <v>105000000000</v>
      </c>
      <c r="F486" s="3">
        <v>95400000000</v>
      </c>
      <c r="G486" s="3">
        <v>2480000000</v>
      </c>
      <c r="H486" s="3">
        <v>10100000000</v>
      </c>
      <c r="I486" s="2">
        <v>2.5950000000000001E-2</v>
      </c>
      <c r="J486" s="3">
        <v>7.6299999999999998E-13</v>
      </c>
    </row>
    <row r="487" spans="1:10" x14ac:dyDescent="0.2">
      <c r="A487" s="3">
        <v>490</v>
      </c>
      <c r="B487" s="3">
        <v>3.7599999999999998E-7</v>
      </c>
      <c r="C487" s="2">
        <v>2.5250000000000002E-2</v>
      </c>
      <c r="D487" s="3">
        <v>176000</v>
      </c>
      <c r="E487" s="3">
        <v>102000000000</v>
      </c>
      <c r="F487" s="3">
        <v>93100000000</v>
      </c>
      <c r="G487" s="3">
        <v>11600000000</v>
      </c>
      <c r="H487" s="3">
        <v>10200000000</v>
      </c>
      <c r="I487" s="2">
        <v>0.1249</v>
      </c>
      <c r="J487" s="3">
        <v>8.1199999999999997E-13</v>
      </c>
    </row>
    <row r="488" spans="1:10" x14ac:dyDescent="0.2">
      <c r="A488" s="3">
        <v>490</v>
      </c>
      <c r="B488" s="3">
        <v>3.7599999999999998E-7</v>
      </c>
      <c r="C488" s="2">
        <v>2.53E-2</v>
      </c>
      <c r="D488" s="3">
        <v>192000</v>
      </c>
      <c r="E488" s="3">
        <v>110000000000</v>
      </c>
      <c r="F488" s="3">
        <v>99700000000</v>
      </c>
      <c r="G488" s="3">
        <v>2980000000</v>
      </c>
      <c r="H488" s="3">
        <v>9870000000</v>
      </c>
      <c r="I488" s="2">
        <v>2.9860000000000001E-2</v>
      </c>
      <c r="J488" s="3">
        <v>6.8500000000000001E-13</v>
      </c>
    </row>
    <row r="489" spans="1:10" x14ac:dyDescent="0.2">
      <c r="A489" s="3">
        <v>490</v>
      </c>
      <c r="B489" s="3">
        <v>3.77E-7</v>
      </c>
      <c r="C489" s="2">
        <v>2.5350000000000001E-2</v>
      </c>
      <c r="D489" s="3">
        <v>179000</v>
      </c>
      <c r="E489" s="3">
        <v>103000000000</v>
      </c>
      <c r="F489" s="3">
        <v>93900000000</v>
      </c>
      <c r="G489" s="3">
        <v>5320000000</v>
      </c>
      <c r="H489" s="3">
        <v>10100000000</v>
      </c>
      <c r="I489" s="2">
        <v>5.6680000000000001E-2</v>
      </c>
      <c r="J489" s="3">
        <v>7.9500000000000005E-13</v>
      </c>
    </row>
    <row r="490" spans="1:10" x14ac:dyDescent="0.2">
      <c r="A490" s="3">
        <v>490</v>
      </c>
      <c r="B490" s="3">
        <v>3.7800000000000002E-7</v>
      </c>
      <c r="C490" s="2">
        <v>2.5399999999999999E-2</v>
      </c>
      <c r="D490" s="3">
        <v>210000</v>
      </c>
      <c r="E490" s="3">
        <v>119000000000</v>
      </c>
      <c r="F490" s="3">
        <v>107000000000</v>
      </c>
      <c r="G490" s="3">
        <v>1540000000</v>
      </c>
      <c r="H490" s="3">
        <v>9580000000</v>
      </c>
      <c r="I490" s="2">
        <v>1.436E-2</v>
      </c>
      <c r="J490" s="3">
        <v>5.7799999999999996E-13</v>
      </c>
    </row>
    <row r="491" spans="1:10" x14ac:dyDescent="0.2">
      <c r="A491" s="3">
        <v>490</v>
      </c>
      <c r="B491" s="3">
        <v>3.7899999999999999E-7</v>
      </c>
      <c r="C491" s="2">
        <v>2.546E-2</v>
      </c>
      <c r="D491" s="3">
        <v>177000</v>
      </c>
      <c r="E491" s="3">
        <v>102000000000</v>
      </c>
      <c r="F491" s="3">
        <v>92800000000</v>
      </c>
      <c r="G491" s="3">
        <v>13900000000</v>
      </c>
      <c r="H491" s="3">
        <v>10200000000</v>
      </c>
      <c r="I491" s="2">
        <v>0.14949999999999999</v>
      </c>
      <c r="J491" s="3">
        <v>8.1699999999999995E-13</v>
      </c>
    </row>
    <row r="492" spans="1:10" x14ac:dyDescent="0.2">
      <c r="A492" s="3">
        <v>490</v>
      </c>
      <c r="B492" s="3">
        <v>3.7899999999999999E-7</v>
      </c>
      <c r="C492" s="2">
        <v>2.5510000000000001E-2</v>
      </c>
      <c r="D492" s="3">
        <v>172000</v>
      </c>
      <c r="E492" s="3">
        <v>99300000000</v>
      </c>
      <c r="F492" s="3">
        <v>90900000000</v>
      </c>
      <c r="G492" s="2">
        <v>0</v>
      </c>
      <c r="H492" s="3">
        <v>10300000000</v>
      </c>
      <c r="I492" s="2">
        <v>-7.5770000000000004E-2</v>
      </c>
      <c r="J492" s="3">
        <v>8.6099999999999997E-13</v>
      </c>
    </row>
    <row r="493" spans="1:10" x14ac:dyDescent="0.2">
      <c r="A493" s="3">
        <v>490</v>
      </c>
      <c r="B493" s="3">
        <v>3.8000000000000001E-7</v>
      </c>
      <c r="C493" s="2">
        <v>2.5559999999999999E-2</v>
      </c>
      <c r="D493" s="3">
        <v>171000</v>
      </c>
      <c r="E493" s="3">
        <v>98400000000</v>
      </c>
      <c r="F493" s="3">
        <v>90200000000</v>
      </c>
      <c r="G493" s="2">
        <v>0</v>
      </c>
      <c r="H493" s="3">
        <v>10400000000</v>
      </c>
      <c r="I493" s="2">
        <v>-7.1330000000000005E-2</v>
      </c>
      <c r="J493" s="3">
        <v>8.7799999999999999E-13</v>
      </c>
    </row>
    <row r="494" spans="1:10" x14ac:dyDescent="0.2">
      <c r="A494" s="3">
        <v>490</v>
      </c>
      <c r="B494" s="3">
        <v>3.8099999999999998E-7</v>
      </c>
      <c r="C494" s="2">
        <v>2.5610000000000001E-2</v>
      </c>
      <c r="D494" s="3">
        <v>199000</v>
      </c>
      <c r="E494" s="3">
        <v>113000000000</v>
      </c>
      <c r="F494" s="3">
        <v>102000000000</v>
      </c>
      <c r="G494" s="3">
        <v>10200000000</v>
      </c>
      <c r="H494" s="3">
        <v>9740000000</v>
      </c>
      <c r="I494" s="2">
        <v>0.1003</v>
      </c>
      <c r="J494" s="3">
        <v>6.4699999999999997E-13</v>
      </c>
    </row>
    <row r="495" spans="1:10" x14ac:dyDescent="0.2">
      <c r="A495" s="3">
        <v>490</v>
      </c>
      <c r="B495" s="3">
        <v>3.8099999999999998E-7</v>
      </c>
      <c r="C495" s="2">
        <v>2.5669999999999998E-2</v>
      </c>
      <c r="D495" s="3">
        <v>176000</v>
      </c>
      <c r="E495" s="3">
        <v>101000000000</v>
      </c>
      <c r="F495" s="3">
        <v>92300000000</v>
      </c>
      <c r="G495" s="3">
        <v>15600000000</v>
      </c>
      <c r="H495" s="3">
        <v>10200000000</v>
      </c>
      <c r="I495" s="2">
        <v>0.16869999999999999</v>
      </c>
      <c r="J495" s="3">
        <v>8.2800000000000001E-13</v>
      </c>
    </row>
    <row r="496" spans="1:10" x14ac:dyDescent="0.2">
      <c r="A496" s="3">
        <v>490</v>
      </c>
      <c r="B496" s="3">
        <v>3.8200000000000001E-7</v>
      </c>
      <c r="C496" s="2">
        <v>2.572E-2</v>
      </c>
      <c r="D496" s="3">
        <v>184000</v>
      </c>
      <c r="E496" s="3">
        <v>105000000000</v>
      </c>
      <c r="F496" s="3">
        <v>95500000000</v>
      </c>
      <c r="G496" s="3">
        <v>4570000000</v>
      </c>
      <c r="H496" s="3">
        <v>10000000000</v>
      </c>
      <c r="I496" s="2">
        <v>4.7849999999999997E-2</v>
      </c>
      <c r="J496" s="3">
        <v>7.6099999999999999E-13</v>
      </c>
    </row>
    <row r="497" spans="1:10" x14ac:dyDescent="0.2">
      <c r="A497" s="3">
        <v>500</v>
      </c>
      <c r="B497" s="3">
        <v>3.8299999999999998E-7</v>
      </c>
      <c r="C497" s="2">
        <v>2.5770000000000001E-2</v>
      </c>
      <c r="D497" s="3">
        <v>189000</v>
      </c>
      <c r="E497" s="3">
        <v>107000000000</v>
      </c>
      <c r="F497" s="3">
        <v>97400000000</v>
      </c>
      <c r="G497" s="3">
        <v>199000000</v>
      </c>
      <c r="H497" s="3">
        <v>9930000000</v>
      </c>
      <c r="I497" s="2">
        <v>2.0449999999999999E-3</v>
      </c>
      <c r="J497" s="3">
        <v>7.2300000000000005E-13</v>
      </c>
    </row>
    <row r="498" spans="1:10" x14ac:dyDescent="0.2">
      <c r="A498" s="3">
        <v>500</v>
      </c>
      <c r="B498" s="3">
        <v>3.8500000000000002E-7</v>
      </c>
      <c r="C498" s="2">
        <v>2.5819999999999999E-2</v>
      </c>
      <c r="D498" s="3">
        <v>177000</v>
      </c>
      <c r="E498" s="3">
        <v>101000000000</v>
      </c>
      <c r="F498" s="3">
        <v>92200000000</v>
      </c>
      <c r="G498" s="2">
        <v>0</v>
      </c>
      <c r="H498" s="3">
        <v>10200000000</v>
      </c>
      <c r="I498" s="2">
        <v>-1.106E-2</v>
      </c>
      <c r="J498" s="3">
        <v>8.2600000000000001E-13</v>
      </c>
    </row>
    <row r="499" spans="1:10" x14ac:dyDescent="0.2">
      <c r="A499" s="3">
        <v>500</v>
      </c>
      <c r="B499" s="3">
        <v>3.8500000000000002E-7</v>
      </c>
      <c r="C499" s="2">
        <v>2.5870000000000001E-2</v>
      </c>
      <c r="D499" s="3">
        <v>180000</v>
      </c>
      <c r="E499" s="3">
        <v>102000000000</v>
      </c>
      <c r="F499" s="3">
        <v>93500000000</v>
      </c>
      <c r="G499" s="3">
        <v>8250000000</v>
      </c>
      <c r="H499" s="3">
        <v>10100000000</v>
      </c>
      <c r="I499" s="2">
        <v>8.8260000000000005E-2</v>
      </c>
      <c r="J499" s="3">
        <v>7.9600000000000004E-13</v>
      </c>
    </row>
    <row r="500" spans="1:10" x14ac:dyDescent="0.2">
      <c r="A500" s="3">
        <v>500</v>
      </c>
      <c r="B500" s="3">
        <v>3.8599999999999999E-7</v>
      </c>
      <c r="C500" s="2">
        <v>2.5930000000000002E-2</v>
      </c>
      <c r="D500" s="3">
        <v>200000</v>
      </c>
      <c r="E500" s="3">
        <v>112000000000</v>
      </c>
      <c r="F500" s="3">
        <v>101000000000</v>
      </c>
      <c r="G500" s="2">
        <v>0</v>
      </c>
      <c r="H500" s="3">
        <v>9710000000</v>
      </c>
      <c r="I500" s="2">
        <v>-2.537E-2</v>
      </c>
      <c r="J500" s="3">
        <v>6.5099999999999995E-13</v>
      </c>
    </row>
    <row r="501" spans="1:10" x14ac:dyDescent="0.2">
      <c r="A501" s="3">
        <v>500</v>
      </c>
      <c r="B501" s="3">
        <v>3.8700000000000001E-7</v>
      </c>
      <c r="C501" s="2">
        <v>2.598E-2</v>
      </c>
      <c r="D501" s="3">
        <v>176000</v>
      </c>
      <c r="E501" s="3">
        <v>99700000000</v>
      </c>
      <c r="F501" s="3">
        <v>91300000000</v>
      </c>
      <c r="G501" s="2">
        <v>0</v>
      </c>
      <c r="H501" s="3">
        <v>10200000000</v>
      </c>
      <c r="I501" s="2">
        <v>-2.4649999999999998E-2</v>
      </c>
      <c r="J501" s="3">
        <v>8.4400000000000004E-13</v>
      </c>
    </row>
    <row r="502" spans="1:10" x14ac:dyDescent="0.2">
      <c r="A502" s="3">
        <v>500</v>
      </c>
      <c r="B502" s="3">
        <v>3.8799999999999998E-7</v>
      </c>
      <c r="C502" s="2">
        <v>2.6030000000000001E-2</v>
      </c>
      <c r="D502" s="3">
        <v>187000</v>
      </c>
      <c r="E502" s="3">
        <v>105000000000</v>
      </c>
      <c r="F502" s="3">
        <v>96000000000</v>
      </c>
      <c r="G502" s="3">
        <v>13600000000</v>
      </c>
      <c r="H502" s="3">
        <v>9930000000</v>
      </c>
      <c r="I502" s="2">
        <v>0.14149999999999999</v>
      </c>
      <c r="J502" s="3">
        <v>7.4299999999999996E-13</v>
      </c>
    </row>
    <row r="503" spans="1:10" x14ac:dyDescent="0.2">
      <c r="A503" s="3">
        <v>500</v>
      </c>
      <c r="B503" s="3">
        <v>3.89E-7</v>
      </c>
      <c r="C503" s="2">
        <v>2.6079999999999999E-2</v>
      </c>
      <c r="D503" s="3">
        <v>192000</v>
      </c>
      <c r="E503" s="3">
        <v>108000000000</v>
      </c>
      <c r="F503" s="3">
        <v>98000000000</v>
      </c>
      <c r="G503" s="3">
        <v>5300000000</v>
      </c>
      <c r="H503" s="3">
        <v>9830000000</v>
      </c>
      <c r="I503" s="2">
        <v>5.4030000000000002E-2</v>
      </c>
      <c r="J503" s="3">
        <v>7.0600000000000002E-13</v>
      </c>
    </row>
    <row r="504" spans="1:10" x14ac:dyDescent="0.2">
      <c r="A504" s="3">
        <v>500</v>
      </c>
      <c r="B504" s="3">
        <v>3.9000000000000002E-7</v>
      </c>
      <c r="C504" s="2">
        <v>2.613E-2</v>
      </c>
      <c r="D504" s="3">
        <v>183000</v>
      </c>
      <c r="E504" s="3">
        <v>103000000000</v>
      </c>
      <c r="F504" s="3">
        <v>94200000000</v>
      </c>
      <c r="G504" s="3">
        <v>4830000000</v>
      </c>
      <c r="H504" s="3">
        <v>10000000000</v>
      </c>
      <c r="I504" s="2">
        <v>5.1310000000000001E-2</v>
      </c>
      <c r="J504" s="3">
        <v>7.7900000000000001E-13</v>
      </c>
    </row>
    <row r="505" spans="1:10" x14ac:dyDescent="0.2">
      <c r="A505" s="3">
        <v>500</v>
      </c>
      <c r="B505" s="3">
        <v>3.9000000000000002E-7</v>
      </c>
      <c r="C505" s="2">
        <v>2.6190000000000001E-2</v>
      </c>
      <c r="D505" s="3">
        <v>191000</v>
      </c>
      <c r="E505" s="3">
        <v>107000000000</v>
      </c>
      <c r="F505" s="3">
        <v>97300000000</v>
      </c>
      <c r="G505" s="2">
        <v>0</v>
      </c>
      <c r="H505" s="3">
        <v>9860000000</v>
      </c>
      <c r="I505" s="2">
        <v>-1.5610000000000001E-2</v>
      </c>
      <c r="J505" s="3">
        <v>7.1899999999999997E-13</v>
      </c>
    </row>
    <row r="506" spans="1:10" x14ac:dyDescent="0.2">
      <c r="A506" s="3">
        <v>500</v>
      </c>
      <c r="B506" s="3">
        <v>3.9099999999999999E-7</v>
      </c>
      <c r="C506" s="2">
        <v>2.6239999999999999E-2</v>
      </c>
      <c r="D506" s="3">
        <v>181000</v>
      </c>
      <c r="E506" s="3">
        <v>102000000000</v>
      </c>
      <c r="F506" s="3">
        <v>93100000000</v>
      </c>
      <c r="G506" s="2">
        <v>0</v>
      </c>
      <c r="H506" s="3">
        <v>10100000000</v>
      </c>
      <c r="I506" s="2">
        <v>-9.1920000000000001E-4</v>
      </c>
      <c r="J506" s="3">
        <v>8.0100000000000002E-13</v>
      </c>
    </row>
    <row r="507" spans="1:10" x14ac:dyDescent="0.2">
      <c r="A507" s="3">
        <v>510</v>
      </c>
      <c r="B507" s="3">
        <v>3.9200000000000002E-7</v>
      </c>
      <c r="C507" s="2">
        <v>2.6290000000000001E-2</v>
      </c>
      <c r="D507" s="3">
        <v>183000</v>
      </c>
      <c r="E507" s="3">
        <v>103000000000</v>
      </c>
      <c r="F507" s="3">
        <v>93700000000</v>
      </c>
      <c r="G507" s="3">
        <v>3640000000</v>
      </c>
      <c r="H507" s="3">
        <v>10000000000</v>
      </c>
      <c r="I507" s="2">
        <v>3.8899999999999997E-2</v>
      </c>
      <c r="J507" s="3">
        <v>7.8799999999999997E-13</v>
      </c>
    </row>
    <row r="508" spans="1:10" x14ac:dyDescent="0.2">
      <c r="A508" s="3">
        <v>510</v>
      </c>
      <c r="B508" s="3">
        <v>3.9200000000000002E-7</v>
      </c>
      <c r="C508" s="2">
        <v>2.6339999999999999E-2</v>
      </c>
      <c r="D508" s="3">
        <v>184000</v>
      </c>
      <c r="E508" s="3">
        <v>103000000000</v>
      </c>
      <c r="F508" s="3">
        <v>94100000000</v>
      </c>
      <c r="G508" s="3">
        <v>5280000000</v>
      </c>
      <c r="H508" s="3">
        <v>10000000000</v>
      </c>
      <c r="I508" s="2">
        <v>5.611E-2</v>
      </c>
      <c r="J508" s="3">
        <v>7.8000000000000001E-13</v>
      </c>
    </row>
    <row r="509" spans="1:10" x14ac:dyDescent="0.2">
      <c r="A509" s="3">
        <v>510</v>
      </c>
      <c r="B509" s="3">
        <v>3.9299999999999999E-7</v>
      </c>
      <c r="C509" s="2">
        <v>2.639E-2</v>
      </c>
      <c r="D509" s="3">
        <v>193000</v>
      </c>
      <c r="E509" s="3">
        <v>107000000000</v>
      </c>
      <c r="F509" s="3">
        <v>97600000000</v>
      </c>
      <c r="G509" s="3">
        <v>4210000000</v>
      </c>
      <c r="H509" s="3">
        <v>9830000000</v>
      </c>
      <c r="I509" s="2">
        <v>4.317E-2</v>
      </c>
      <c r="J509" s="3">
        <v>7.1299999999999999E-13</v>
      </c>
    </row>
    <row r="510" spans="1:10" x14ac:dyDescent="0.2">
      <c r="A510" s="3">
        <v>510</v>
      </c>
      <c r="B510" s="3">
        <v>3.9400000000000001E-7</v>
      </c>
      <c r="C510" s="2">
        <v>2.6450000000000001E-2</v>
      </c>
      <c r="D510" s="3">
        <v>195000</v>
      </c>
      <c r="E510" s="3">
        <v>109000000000</v>
      </c>
      <c r="F510" s="3">
        <v>98600000000</v>
      </c>
      <c r="G510" s="3">
        <v>4910000000</v>
      </c>
      <c r="H510" s="3">
        <v>9780000000</v>
      </c>
      <c r="I510" s="2">
        <v>4.981E-2</v>
      </c>
      <c r="J510" s="3">
        <v>6.9399999999999997E-13</v>
      </c>
    </row>
    <row r="511" spans="1:10" x14ac:dyDescent="0.2">
      <c r="A511" s="3">
        <v>510</v>
      </c>
      <c r="B511" s="3">
        <v>3.9499999999999998E-7</v>
      </c>
      <c r="C511" s="2">
        <v>2.6499999999999999E-2</v>
      </c>
      <c r="D511" s="3">
        <v>191000</v>
      </c>
      <c r="E511" s="3">
        <v>106000000000</v>
      </c>
      <c r="F511" s="3">
        <v>96800000000</v>
      </c>
      <c r="G511" s="3">
        <v>5890000000</v>
      </c>
      <c r="H511" s="3">
        <v>9850000000</v>
      </c>
      <c r="I511" s="2">
        <v>6.0810000000000003E-2</v>
      </c>
      <c r="J511" s="3">
        <v>7.2600000000000004E-13</v>
      </c>
    </row>
    <row r="512" spans="1:10" x14ac:dyDescent="0.2">
      <c r="A512" s="3">
        <v>510</v>
      </c>
      <c r="B512" s="3">
        <v>3.96E-7</v>
      </c>
      <c r="C512" s="2">
        <v>2.6550000000000001E-2</v>
      </c>
      <c r="D512" s="3">
        <v>193000</v>
      </c>
      <c r="E512" s="3">
        <v>107000000000</v>
      </c>
      <c r="F512" s="3">
        <v>97300000000</v>
      </c>
      <c r="G512" s="3">
        <v>6660000000</v>
      </c>
      <c r="H512" s="3">
        <v>9800000000</v>
      </c>
      <c r="I512" s="2">
        <v>6.837E-2</v>
      </c>
      <c r="J512" s="3">
        <v>7.1399999999999999E-13</v>
      </c>
    </row>
    <row r="513" spans="1:10" x14ac:dyDescent="0.2">
      <c r="A513" s="3">
        <v>510</v>
      </c>
      <c r="B513" s="3">
        <v>3.9799999999999999E-7</v>
      </c>
      <c r="C513" s="2">
        <v>2.6599999999999999E-2</v>
      </c>
      <c r="D513" s="3">
        <v>204000</v>
      </c>
      <c r="E513" s="3">
        <v>112000000000</v>
      </c>
      <c r="F513" s="3">
        <v>102000000000</v>
      </c>
      <c r="G513" s="3">
        <v>504000000</v>
      </c>
      <c r="H513" s="3">
        <v>9580000000</v>
      </c>
      <c r="I513" s="2">
        <v>4.9560000000000003E-3</v>
      </c>
      <c r="J513" s="3">
        <v>6.4E-13</v>
      </c>
    </row>
    <row r="514" spans="1:10" x14ac:dyDescent="0.2">
      <c r="A514" s="3">
        <v>510</v>
      </c>
      <c r="B514" s="3">
        <v>3.9900000000000001E-7</v>
      </c>
      <c r="C514" s="2">
        <v>2.666E-2</v>
      </c>
      <c r="D514" s="3">
        <v>181000</v>
      </c>
      <c r="E514" s="3">
        <v>101000000000</v>
      </c>
      <c r="F514" s="3">
        <v>92000000000</v>
      </c>
      <c r="G514" s="3">
        <v>5040000000</v>
      </c>
      <c r="H514" s="3">
        <v>10000000000</v>
      </c>
      <c r="I514" s="2">
        <v>5.4789999999999998E-2</v>
      </c>
      <c r="J514" s="3">
        <v>8.1599999999999996E-13</v>
      </c>
    </row>
    <row r="515" spans="1:10" x14ac:dyDescent="0.2">
      <c r="A515" s="3">
        <v>510</v>
      </c>
      <c r="B515" s="3">
        <v>3.9999999999999998E-7</v>
      </c>
      <c r="C515" s="2">
        <v>2.6710000000000001E-2</v>
      </c>
      <c r="D515" s="3">
        <v>169000</v>
      </c>
      <c r="E515" s="3">
        <v>94700000000</v>
      </c>
      <c r="F515" s="3">
        <v>87000000000</v>
      </c>
      <c r="G515" s="2">
        <v>0</v>
      </c>
      <c r="H515" s="3">
        <v>10300000000</v>
      </c>
      <c r="I515" s="2">
        <v>-3.049E-2</v>
      </c>
      <c r="J515" s="3">
        <v>9.3899999999999994E-13</v>
      </c>
    </row>
    <row r="516" spans="1:10" x14ac:dyDescent="0.2">
      <c r="A516" s="3">
        <v>510</v>
      </c>
      <c r="B516" s="3">
        <v>3.9999999999999998E-7</v>
      </c>
      <c r="C516" s="2">
        <v>2.6759999999999999E-2</v>
      </c>
      <c r="D516" s="3">
        <v>192000</v>
      </c>
      <c r="E516" s="3">
        <v>106000000000</v>
      </c>
      <c r="F516" s="3">
        <v>96300000000</v>
      </c>
      <c r="G516" s="3">
        <v>5080000000</v>
      </c>
      <c r="H516" s="3">
        <v>9800000000</v>
      </c>
      <c r="I516" s="2">
        <v>5.2749999999999998E-2</v>
      </c>
      <c r="J516" s="3">
        <v>7.2900000000000002E-13</v>
      </c>
    </row>
    <row r="517" spans="1:10" x14ac:dyDescent="0.2">
      <c r="A517" s="3">
        <v>520</v>
      </c>
      <c r="B517" s="3">
        <v>4.01E-7</v>
      </c>
      <c r="C517" s="2">
        <v>2.681E-2</v>
      </c>
      <c r="D517" s="3">
        <v>196000</v>
      </c>
      <c r="E517" s="3">
        <v>108000000000</v>
      </c>
      <c r="F517" s="3">
        <v>98100000000</v>
      </c>
      <c r="G517" s="3">
        <v>7880000000</v>
      </c>
      <c r="H517" s="3">
        <v>9700000000</v>
      </c>
      <c r="I517" s="2">
        <v>8.0320000000000003E-2</v>
      </c>
      <c r="J517" s="3">
        <v>6.9499999999999997E-13</v>
      </c>
    </row>
    <row r="518" spans="1:10" x14ac:dyDescent="0.2">
      <c r="A518" s="3">
        <v>520</v>
      </c>
      <c r="B518" s="3">
        <v>4.0200000000000003E-7</v>
      </c>
      <c r="C518" s="2">
        <v>2.6859999999999998E-2</v>
      </c>
      <c r="D518" s="3">
        <v>194000</v>
      </c>
      <c r="E518" s="3">
        <v>107000000000</v>
      </c>
      <c r="F518" s="3">
        <v>97100000000</v>
      </c>
      <c r="G518" s="3">
        <v>6660000000</v>
      </c>
      <c r="H518" s="3">
        <v>9730000000</v>
      </c>
      <c r="I518" s="2">
        <v>6.8580000000000002E-2</v>
      </c>
      <c r="J518" s="3">
        <v>7.12E-13</v>
      </c>
    </row>
    <row r="519" spans="1:10" x14ac:dyDescent="0.2">
      <c r="A519" s="3">
        <v>520</v>
      </c>
      <c r="B519" s="3">
        <v>4.03E-7</v>
      </c>
      <c r="C519" s="2">
        <v>2.6919999999999999E-2</v>
      </c>
      <c r="D519" s="3">
        <v>176000</v>
      </c>
      <c r="E519" s="3">
        <v>97900000000</v>
      </c>
      <c r="F519" s="3">
        <v>89700000000</v>
      </c>
      <c r="G519" s="3">
        <v>2010000000</v>
      </c>
      <c r="H519" s="3">
        <v>10100000000</v>
      </c>
      <c r="I519" s="2">
        <v>2.24E-2</v>
      </c>
      <c r="J519" s="3">
        <v>8.6600000000000005E-13</v>
      </c>
    </row>
    <row r="520" spans="1:10" x14ac:dyDescent="0.2">
      <c r="A520" s="3">
        <v>520</v>
      </c>
      <c r="B520" s="3">
        <v>4.0400000000000002E-7</v>
      </c>
      <c r="C520" s="2">
        <v>2.6970000000000001E-2</v>
      </c>
      <c r="D520" s="3">
        <v>179000</v>
      </c>
      <c r="E520" s="3">
        <v>99000000000</v>
      </c>
      <c r="F520" s="3">
        <v>90600000000</v>
      </c>
      <c r="G520" s="3">
        <v>8650000000</v>
      </c>
      <c r="H520" s="3">
        <v>10100000000</v>
      </c>
      <c r="I520" s="2">
        <v>9.5449999999999993E-2</v>
      </c>
      <c r="J520" s="3">
        <v>8.4500000000000003E-13</v>
      </c>
    </row>
    <row r="521" spans="1:10" x14ac:dyDescent="0.2">
      <c r="A521" s="3">
        <v>520</v>
      </c>
      <c r="B521" s="3">
        <v>4.0499999999999999E-7</v>
      </c>
      <c r="C521" s="2">
        <v>2.7019999999999999E-2</v>
      </c>
      <c r="D521" s="3">
        <v>218000</v>
      </c>
      <c r="E521" s="3">
        <v>119000000000</v>
      </c>
      <c r="F521" s="3">
        <v>107000000000</v>
      </c>
      <c r="G521" s="3">
        <v>1620000000</v>
      </c>
      <c r="H521" s="3">
        <v>9360000000</v>
      </c>
      <c r="I521" s="2">
        <v>1.519E-2</v>
      </c>
      <c r="J521" s="3">
        <v>5.6600000000000001E-13</v>
      </c>
    </row>
    <row r="522" spans="1:10" x14ac:dyDescent="0.2">
      <c r="A522" s="3">
        <v>520</v>
      </c>
      <c r="B522" s="3">
        <v>4.0499999999999999E-7</v>
      </c>
      <c r="C522" s="2">
        <v>2.707E-2</v>
      </c>
      <c r="D522" s="3">
        <v>200000</v>
      </c>
      <c r="E522" s="3">
        <v>109000000000</v>
      </c>
      <c r="F522" s="3">
        <v>99100000000</v>
      </c>
      <c r="G522" s="3">
        <v>3270000000</v>
      </c>
      <c r="H522" s="3">
        <v>9630000000</v>
      </c>
      <c r="I522" s="2">
        <v>3.3020000000000001E-2</v>
      </c>
      <c r="J522" s="3">
        <v>6.7700000000000004E-13</v>
      </c>
    </row>
    <row r="523" spans="1:10" x14ac:dyDescent="0.2">
      <c r="A523" s="3">
        <v>520</v>
      </c>
      <c r="B523" s="3">
        <v>4.0600000000000001E-7</v>
      </c>
      <c r="C523" s="2">
        <v>2.7119999999999998E-2</v>
      </c>
      <c r="D523" s="3">
        <v>211000</v>
      </c>
      <c r="E523" s="3">
        <v>115000000000</v>
      </c>
      <c r="F523" s="3">
        <v>104000000000</v>
      </c>
      <c r="G523" s="3">
        <v>11500000000</v>
      </c>
      <c r="H523" s="3">
        <v>9460000000</v>
      </c>
      <c r="I523" s="2">
        <v>0.11070000000000001</v>
      </c>
      <c r="J523" s="3">
        <v>6.0900000000000003E-13</v>
      </c>
    </row>
    <row r="524" spans="1:10" x14ac:dyDescent="0.2">
      <c r="A524" s="3">
        <v>520</v>
      </c>
      <c r="B524" s="3">
        <v>4.0699999999999998E-7</v>
      </c>
      <c r="C524" s="2">
        <v>2.7179999999999999E-2</v>
      </c>
      <c r="D524" s="3">
        <v>181000</v>
      </c>
      <c r="E524" s="3">
        <v>99700000000</v>
      </c>
      <c r="F524" s="3">
        <v>91200000000</v>
      </c>
      <c r="G524" s="3">
        <v>2200000000</v>
      </c>
      <c r="H524" s="3">
        <v>9980000000</v>
      </c>
      <c r="I524" s="2">
        <v>2.4119999999999999E-2</v>
      </c>
      <c r="J524" s="3">
        <v>8.2800000000000001E-13</v>
      </c>
    </row>
    <row r="525" spans="1:10" x14ac:dyDescent="0.2">
      <c r="A525" s="3">
        <v>520</v>
      </c>
      <c r="B525" s="3">
        <v>4.08E-7</v>
      </c>
      <c r="C525" s="2">
        <v>2.7230000000000001E-2</v>
      </c>
      <c r="D525" s="3">
        <v>193000</v>
      </c>
      <c r="E525" s="3">
        <v>105000000000</v>
      </c>
      <c r="F525" s="3">
        <v>96000000000</v>
      </c>
      <c r="G525" s="3">
        <v>7830000000</v>
      </c>
      <c r="H525" s="3">
        <v>9740000000</v>
      </c>
      <c r="I525" s="2">
        <v>8.1500000000000003E-2</v>
      </c>
      <c r="J525" s="3">
        <v>7.2900000000000002E-13</v>
      </c>
    </row>
    <row r="526" spans="1:10" x14ac:dyDescent="0.2">
      <c r="A526" s="3">
        <v>520</v>
      </c>
      <c r="B526" s="3">
        <v>4.0900000000000002E-7</v>
      </c>
      <c r="C526" s="2">
        <v>2.7279999999999999E-2</v>
      </c>
      <c r="D526" s="3">
        <v>197000</v>
      </c>
      <c r="E526" s="3">
        <v>107000000000</v>
      </c>
      <c r="F526" s="3">
        <v>97400000000</v>
      </c>
      <c r="G526" s="3">
        <v>12500000000</v>
      </c>
      <c r="H526" s="3">
        <v>9670000000</v>
      </c>
      <c r="I526" s="2">
        <v>0.12859999999999999</v>
      </c>
      <c r="J526" s="3">
        <v>7.0400000000000003E-13</v>
      </c>
    </row>
    <row r="527" spans="1:10" x14ac:dyDescent="0.2">
      <c r="A527" s="3">
        <v>530</v>
      </c>
      <c r="B527" s="3">
        <v>4.0999999999999999E-7</v>
      </c>
      <c r="C527" s="2">
        <v>2.733E-2</v>
      </c>
      <c r="D527" s="3">
        <v>183000</v>
      </c>
      <c r="E527" s="3">
        <v>100000000000</v>
      </c>
      <c r="F527" s="3">
        <v>91700000000</v>
      </c>
      <c r="G527" s="2">
        <v>0</v>
      </c>
      <c r="H527" s="3">
        <v>9920000000</v>
      </c>
      <c r="I527" s="2">
        <v>-8.6749999999999994E-2</v>
      </c>
      <c r="J527" s="3">
        <v>8.1499999999999996E-13</v>
      </c>
    </row>
    <row r="528" spans="1:10" x14ac:dyDescent="0.2">
      <c r="A528" s="3">
        <v>530</v>
      </c>
      <c r="B528" s="3">
        <v>4.0999999999999999E-7</v>
      </c>
      <c r="C528" s="2">
        <v>2.7380000000000002E-2</v>
      </c>
      <c r="D528" s="3">
        <v>193000</v>
      </c>
      <c r="E528" s="3">
        <v>105000000000</v>
      </c>
      <c r="F528" s="3">
        <v>95500000000</v>
      </c>
      <c r="G528" s="3">
        <v>953000000</v>
      </c>
      <c r="H528" s="3">
        <v>9750000000</v>
      </c>
      <c r="I528" s="2">
        <v>9.9799999999999993E-3</v>
      </c>
      <c r="J528" s="3">
        <v>7.3799999999999999E-13</v>
      </c>
    </row>
    <row r="529" spans="1:10" x14ac:dyDescent="0.2">
      <c r="A529" s="3">
        <v>530</v>
      </c>
      <c r="B529" s="3">
        <v>4.1100000000000001E-7</v>
      </c>
      <c r="C529" s="2">
        <v>2.7439999999999999E-2</v>
      </c>
      <c r="D529" s="3">
        <v>204000</v>
      </c>
      <c r="E529" s="3">
        <v>110000000000</v>
      </c>
      <c r="F529" s="3">
        <v>99900000000</v>
      </c>
      <c r="G529" s="3">
        <v>6890000000</v>
      </c>
      <c r="H529" s="3">
        <v>9560000000</v>
      </c>
      <c r="I529" s="2">
        <v>6.8989999999999996E-2</v>
      </c>
      <c r="J529" s="3">
        <v>6.6100000000000001E-13</v>
      </c>
    </row>
    <row r="530" spans="1:10" x14ac:dyDescent="0.2">
      <c r="A530" s="3">
        <v>530</v>
      </c>
      <c r="B530" s="3">
        <v>4.1199999999999998E-7</v>
      </c>
      <c r="C530" s="2">
        <v>2.7490000000000001E-2</v>
      </c>
      <c r="D530" s="3">
        <v>199000</v>
      </c>
      <c r="E530" s="3">
        <v>107000000000</v>
      </c>
      <c r="F530" s="3">
        <v>97600000000</v>
      </c>
      <c r="G530" s="3">
        <v>8830000000</v>
      </c>
      <c r="H530" s="3">
        <v>9640000000</v>
      </c>
      <c r="I530" s="2">
        <v>9.0440000000000006E-2</v>
      </c>
      <c r="J530" s="3">
        <v>6.9799999999999995E-13</v>
      </c>
    </row>
    <row r="531" spans="1:10" x14ac:dyDescent="0.2">
      <c r="A531" s="3">
        <v>530</v>
      </c>
      <c r="B531" s="3">
        <v>4.1300000000000001E-7</v>
      </c>
      <c r="C531" s="2">
        <v>2.7539999999999999E-2</v>
      </c>
      <c r="D531" s="3">
        <v>192000</v>
      </c>
      <c r="E531" s="3">
        <v>104000000000</v>
      </c>
      <c r="F531" s="3">
        <v>94800000000</v>
      </c>
      <c r="G531" s="3">
        <v>6890000000</v>
      </c>
      <c r="H531" s="3">
        <v>9750000000</v>
      </c>
      <c r="I531" s="2">
        <v>7.2709999999999997E-2</v>
      </c>
      <c r="J531" s="3">
        <v>7.4900000000000004E-13</v>
      </c>
    </row>
    <row r="532" spans="1:10" x14ac:dyDescent="0.2">
      <c r="A532" s="3">
        <v>530</v>
      </c>
      <c r="B532" s="3">
        <v>4.1399999999999997E-7</v>
      </c>
      <c r="C532" s="2">
        <v>2.759E-2</v>
      </c>
      <c r="D532" s="3">
        <v>201000</v>
      </c>
      <c r="E532" s="3">
        <v>109000000000</v>
      </c>
      <c r="F532" s="3">
        <v>98600000000</v>
      </c>
      <c r="G532" s="3">
        <v>6910000000</v>
      </c>
      <c r="H532" s="3">
        <v>9590000000</v>
      </c>
      <c r="I532" s="2">
        <v>7.0059999999999997E-2</v>
      </c>
      <c r="J532" s="3">
        <v>6.8200000000000002E-13</v>
      </c>
    </row>
    <row r="533" spans="1:10" x14ac:dyDescent="0.2">
      <c r="A533" s="3">
        <v>530</v>
      </c>
      <c r="B533" s="3">
        <v>4.1399999999999997E-7</v>
      </c>
      <c r="C533" s="2">
        <v>2.7650000000000001E-2</v>
      </c>
      <c r="D533" s="3">
        <v>199000</v>
      </c>
      <c r="E533" s="3">
        <v>107000000000</v>
      </c>
      <c r="F533" s="3">
        <v>97600000000</v>
      </c>
      <c r="G533" s="2">
        <v>0</v>
      </c>
      <c r="H533" s="3">
        <v>9630000000</v>
      </c>
      <c r="I533" s="2">
        <v>-3.3960000000000001E-3</v>
      </c>
      <c r="J533" s="3">
        <v>6.9799999999999995E-13</v>
      </c>
    </row>
    <row r="534" spans="1:10" x14ac:dyDescent="0.2">
      <c r="A534" s="3">
        <v>530</v>
      </c>
      <c r="B534" s="3">
        <v>4.15E-7</v>
      </c>
      <c r="C534" s="2">
        <v>2.7699999999999999E-2</v>
      </c>
      <c r="D534" s="3">
        <v>184000</v>
      </c>
      <c r="E534" s="3">
        <v>99900000000</v>
      </c>
      <c r="F534" s="3">
        <v>91400000000</v>
      </c>
      <c r="G534" s="2">
        <v>0</v>
      </c>
      <c r="H534" s="3">
        <v>9900000000</v>
      </c>
      <c r="I534" s="2">
        <v>-3.0089999999999999E-2</v>
      </c>
      <c r="J534" s="3">
        <v>8.1800000000000005E-13</v>
      </c>
    </row>
    <row r="535" spans="1:10" x14ac:dyDescent="0.2">
      <c r="A535" s="3">
        <v>530</v>
      </c>
      <c r="B535" s="3">
        <v>4.1600000000000002E-7</v>
      </c>
      <c r="C535" s="2">
        <v>2.775E-2</v>
      </c>
      <c r="D535" s="3">
        <v>193000</v>
      </c>
      <c r="E535" s="3">
        <v>104000000000</v>
      </c>
      <c r="F535" s="3">
        <v>95100000000</v>
      </c>
      <c r="G535" s="3">
        <v>1950000000</v>
      </c>
      <c r="H535" s="3">
        <v>9710000000</v>
      </c>
      <c r="I535" s="2">
        <v>2.052E-2</v>
      </c>
      <c r="J535" s="3">
        <v>7.4199999999999997E-13</v>
      </c>
    </row>
    <row r="536" spans="1:10" x14ac:dyDescent="0.2">
      <c r="A536" s="3">
        <v>530</v>
      </c>
      <c r="B536" s="3">
        <v>4.1699999999999999E-7</v>
      </c>
      <c r="C536" s="2">
        <v>2.7799999999999998E-2</v>
      </c>
      <c r="D536" s="3">
        <v>197000</v>
      </c>
      <c r="E536" s="3">
        <v>106000000000</v>
      </c>
      <c r="F536" s="3">
        <v>96300000000</v>
      </c>
      <c r="G536" s="3">
        <v>4860000000</v>
      </c>
      <c r="H536" s="3">
        <v>9660000000</v>
      </c>
      <c r="I536" s="2">
        <v>5.0479999999999997E-2</v>
      </c>
      <c r="J536" s="3">
        <v>7.1999999999999996E-13</v>
      </c>
    </row>
    <row r="537" spans="1:10" x14ac:dyDescent="0.2">
      <c r="A537" s="3">
        <v>540</v>
      </c>
      <c r="B537" s="3">
        <v>4.1800000000000001E-7</v>
      </c>
      <c r="C537" s="2">
        <v>2.785E-2</v>
      </c>
      <c r="D537" s="3">
        <v>180000</v>
      </c>
      <c r="E537" s="3">
        <v>97500000000</v>
      </c>
      <c r="F537" s="3">
        <v>89400000000</v>
      </c>
      <c r="G537" s="3">
        <v>701000000</v>
      </c>
      <c r="H537" s="3">
        <v>9980000000</v>
      </c>
      <c r="I537" s="2">
        <v>7.8469999999999998E-3</v>
      </c>
      <c r="J537" s="3">
        <v>8.6299999999999996E-13</v>
      </c>
    </row>
    <row r="538" spans="1:10" x14ac:dyDescent="0.2">
      <c r="A538" s="3">
        <v>540</v>
      </c>
      <c r="B538" s="3">
        <v>4.1800000000000001E-7</v>
      </c>
      <c r="C538" s="2">
        <v>2.7900000000000001E-2</v>
      </c>
      <c r="D538" s="3">
        <v>204000</v>
      </c>
      <c r="E538" s="3">
        <v>109000000000</v>
      </c>
      <c r="F538" s="3">
        <v>99100000000</v>
      </c>
      <c r="G538" s="2">
        <v>0</v>
      </c>
      <c r="H538" s="3">
        <v>9540000000</v>
      </c>
      <c r="I538" s="2">
        <v>-0.1195</v>
      </c>
      <c r="J538" s="3">
        <v>6.6999999999999997E-13</v>
      </c>
    </row>
    <row r="539" spans="1:10" x14ac:dyDescent="0.2">
      <c r="A539" s="3">
        <v>540</v>
      </c>
      <c r="B539" s="3">
        <v>4.1899999999999998E-7</v>
      </c>
      <c r="C539" s="2">
        <v>2.7959999999999999E-2</v>
      </c>
      <c r="D539" s="3">
        <v>212000</v>
      </c>
      <c r="E539" s="3">
        <v>113000000000</v>
      </c>
      <c r="F539" s="3">
        <v>102000000000</v>
      </c>
      <c r="G539" s="3">
        <v>2160000000</v>
      </c>
      <c r="H539" s="3">
        <v>9420000000</v>
      </c>
      <c r="I539" s="2">
        <v>2.1129999999999999E-2</v>
      </c>
      <c r="J539" s="3">
        <v>6.2199999999999997E-13</v>
      </c>
    </row>
    <row r="540" spans="1:10" x14ac:dyDescent="0.2">
      <c r="A540" s="3">
        <v>540</v>
      </c>
      <c r="B540" s="3">
        <v>4.2E-7</v>
      </c>
      <c r="C540" s="2">
        <v>2.801E-2</v>
      </c>
      <c r="D540" s="3">
        <v>197000</v>
      </c>
      <c r="E540" s="3">
        <v>105000000000</v>
      </c>
      <c r="F540" s="3">
        <v>96000000000</v>
      </c>
      <c r="G540" s="3">
        <v>6800000000</v>
      </c>
      <c r="H540" s="3">
        <v>9650000000</v>
      </c>
      <c r="I540" s="2">
        <v>7.077E-2</v>
      </c>
      <c r="J540" s="3">
        <v>7.2199999999999995E-13</v>
      </c>
    </row>
    <row r="541" spans="1:10" x14ac:dyDescent="0.2">
      <c r="A541" s="3">
        <v>540</v>
      </c>
      <c r="B541" s="3">
        <v>4.2100000000000002E-7</v>
      </c>
      <c r="C541" s="2">
        <v>2.8060000000000002E-2</v>
      </c>
      <c r="D541" s="3">
        <v>203000</v>
      </c>
      <c r="E541" s="3">
        <v>109000000000</v>
      </c>
      <c r="F541" s="3">
        <v>98500000000</v>
      </c>
      <c r="G541" s="3">
        <v>2910000000</v>
      </c>
      <c r="H541" s="3">
        <v>9550000000</v>
      </c>
      <c r="I541" s="2">
        <v>2.9510000000000002E-2</v>
      </c>
      <c r="J541" s="3">
        <v>6.7900000000000004E-13</v>
      </c>
    </row>
    <row r="542" spans="1:10" x14ac:dyDescent="0.2">
      <c r="A542" s="3">
        <v>540</v>
      </c>
      <c r="B542" s="3">
        <v>4.2199999999999999E-7</v>
      </c>
      <c r="C542" s="2">
        <v>2.811E-2</v>
      </c>
      <c r="D542" s="3">
        <v>209000</v>
      </c>
      <c r="E542" s="3">
        <v>111000000000</v>
      </c>
      <c r="F542" s="3">
        <v>101000000000</v>
      </c>
      <c r="G542" s="2">
        <v>0</v>
      </c>
      <c r="H542" s="3">
        <v>9460000000</v>
      </c>
      <c r="I542" s="2">
        <v>-3.4119999999999998E-2</v>
      </c>
      <c r="J542" s="3">
        <v>6.4299999999999999E-13</v>
      </c>
    </row>
    <row r="543" spans="1:10" x14ac:dyDescent="0.2">
      <c r="A543" s="3">
        <v>540</v>
      </c>
      <c r="B543" s="3">
        <v>4.2199999999999999E-7</v>
      </c>
      <c r="C543" s="2">
        <v>2.8170000000000001E-2</v>
      </c>
      <c r="D543" s="3">
        <v>216000</v>
      </c>
      <c r="E543" s="3">
        <v>114000000000</v>
      </c>
      <c r="F543" s="3">
        <v>103000000000</v>
      </c>
      <c r="G543" s="3">
        <v>3180000000</v>
      </c>
      <c r="H543" s="3">
        <v>9370000000</v>
      </c>
      <c r="I543" s="2">
        <v>3.0769999999999999E-2</v>
      </c>
      <c r="J543" s="3">
        <v>6.0500000000000005E-13</v>
      </c>
    </row>
    <row r="544" spans="1:10" x14ac:dyDescent="0.2">
      <c r="A544" s="3">
        <v>540</v>
      </c>
      <c r="B544" s="3">
        <v>4.2300000000000002E-7</v>
      </c>
      <c r="C544" s="2">
        <v>2.8219999999999999E-2</v>
      </c>
      <c r="D544" s="3">
        <v>201000</v>
      </c>
      <c r="E544" s="3">
        <v>107000000000</v>
      </c>
      <c r="F544" s="3">
        <v>97200000000</v>
      </c>
      <c r="G544" s="3">
        <v>901000000</v>
      </c>
      <c r="H544" s="3">
        <v>9590000000</v>
      </c>
      <c r="I544" s="2">
        <v>9.2680000000000002E-3</v>
      </c>
      <c r="J544" s="3">
        <v>7.0000000000000005E-13</v>
      </c>
    </row>
    <row r="545" spans="1:10" x14ac:dyDescent="0.2">
      <c r="A545" s="3">
        <v>540</v>
      </c>
      <c r="B545" s="3">
        <v>4.2399999999999999E-7</v>
      </c>
      <c r="C545" s="2">
        <v>2.827E-2</v>
      </c>
      <c r="D545" s="3">
        <v>219000</v>
      </c>
      <c r="E545" s="3">
        <v>116000000000</v>
      </c>
      <c r="F545" s="3">
        <v>105000000000</v>
      </c>
      <c r="G545" s="3">
        <v>2950000000</v>
      </c>
      <c r="H545" s="3">
        <v>9330000000</v>
      </c>
      <c r="I545" s="2">
        <v>2.818E-2</v>
      </c>
      <c r="J545" s="3">
        <v>5.8800000000000002E-13</v>
      </c>
    </row>
    <row r="546" spans="1:10" x14ac:dyDescent="0.2">
      <c r="A546" s="3">
        <v>540</v>
      </c>
      <c r="B546" s="3">
        <v>4.2399999999999999E-7</v>
      </c>
      <c r="C546" s="2">
        <v>2.8320000000000001E-2</v>
      </c>
      <c r="D546" s="3">
        <v>211000</v>
      </c>
      <c r="E546" s="3">
        <v>112000000000</v>
      </c>
      <c r="F546" s="3">
        <v>101000000000</v>
      </c>
      <c r="G546" s="3">
        <v>10400000000</v>
      </c>
      <c r="H546" s="3">
        <v>9440000000</v>
      </c>
      <c r="I546" s="2">
        <v>0.1031</v>
      </c>
      <c r="J546" s="3">
        <v>6.3500000000000002E-13</v>
      </c>
    </row>
    <row r="547" spans="1:10" x14ac:dyDescent="0.2">
      <c r="A547" s="3">
        <v>550</v>
      </c>
      <c r="B547" s="3">
        <v>4.2500000000000001E-7</v>
      </c>
      <c r="C547" s="2">
        <v>2.8369999999999999E-2</v>
      </c>
      <c r="D547" s="3">
        <v>221000</v>
      </c>
      <c r="E547" s="3">
        <v>117000000000</v>
      </c>
      <c r="F547" s="3">
        <v>105000000000</v>
      </c>
      <c r="G547" s="3">
        <v>3920000000</v>
      </c>
      <c r="H547" s="3">
        <v>9320000000</v>
      </c>
      <c r="I547" s="2">
        <v>3.7289999999999997E-2</v>
      </c>
      <c r="J547" s="3">
        <v>5.8100000000000005E-13</v>
      </c>
    </row>
    <row r="548" spans="1:10" x14ac:dyDescent="0.2">
      <c r="A548" s="3">
        <v>550</v>
      </c>
      <c r="B548" s="3">
        <v>4.2500000000000001E-7</v>
      </c>
      <c r="C548" s="2">
        <v>2.8420000000000001E-2</v>
      </c>
      <c r="D548" s="3">
        <v>180000</v>
      </c>
      <c r="E548" s="3">
        <v>96700000000</v>
      </c>
      <c r="F548" s="3">
        <v>88700000000</v>
      </c>
      <c r="G548" s="3">
        <v>4230000000</v>
      </c>
      <c r="H548" s="3">
        <v>10000000000</v>
      </c>
      <c r="I548" s="2">
        <v>4.7649999999999998E-2</v>
      </c>
      <c r="J548" s="3">
        <v>8.77E-13</v>
      </c>
    </row>
    <row r="549" spans="1:10" x14ac:dyDescent="0.2">
      <c r="A549" s="3">
        <v>550</v>
      </c>
      <c r="B549" s="3">
        <v>4.2599999999999998E-7</v>
      </c>
      <c r="C549" s="2">
        <v>2.8479999999999998E-2</v>
      </c>
      <c r="D549" s="3">
        <v>193000</v>
      </c>
      <c r="E549" s="3">
        <v>103000000000</v>
      </c>
      <c r="F549" s="3">
        <v>93600000000</v>
      </c>
      <c r="G549" s="3">
        <v>5830000000</v>
      </c>
      <c r="H549" s="3">
        <v>9750000000</v>
      </c>
      <c r="I549" s="2">
        <v>6.2269999999999999E-2</v>
      </c>
      <c r="J549" s="3">
        <v>7.6799999999999996E-13</v>
      </c>
    </row>
    <row r="550" spans="1:10" x14ac:dyDescent="0.2">
      <c r="A550" s="3">
        <v>550</v>
      </c>
      <c r="B550" s="3">
        <v>4.27E-7</v>
      </c>
      <c r="C550" s="2">
        <v>2.853E-2</v>
      </c>
      <c r="D550" s="3">
        <v>191000</v>
      </c>
      <c r="E550" s="3">
        <v>102000000000</v>
      </c>
      <c r="F550" s="3">
        <v>93100000000</v>
      </c>
      <c r="G550" s="3">
        <v>4240000000</v>
      </c>
      <c r="H550" s="3">
        <v>9790000000</v>
      </c>
      <c r="I550" s="2">
        <v>4.5510000000000002E-2</v>
      </c>
      <c r="J550" s="3">
        <v>7.8000000000000001E-13</v>
      </c>
    </row>
    <row r="551" spans="1:10" x14ac:dyDescent="0.2">
      <c r="A551" s="3">
        <v>550</v>
      </c>
      <c r="B551" s="3">
        <v>4.2800000000000002E-7</v>
      </c>
      <c r="C551" s="2">
        <v>2.8580000000000001E-2</v>
      </c>
      <c r="D551" s="3">
        <v>198000</v>
      </c>
      <c r="E551" s="3">
        <v>105000000000</v>
      </c>
      <c r="F551" s="3">
        <v>95500000000</v>
      </c>
      <c r="G551" s="2">
        <v>0</v>
      </c>
      <c r="H551" s="3">
        <v>9660000000</v>
      </c>
      <c r="I551" s="2">
        <v>-2.6630000000000001E-2</v>
      </c>
      <c r="J551" s="3">
        <v>7.3100000000000002E-13</v>
      </c>
    </row>
    <row r="552" spans="1:10" x14ac:dyDescent="0.2">
      <c r="A552" s="3">
        <v>550</v>
      </c>
      <c r="B552" s="3">
        <v>4.2899999999999999E-7</v>
      </c>
      <c r="C552" s="2">
        <v>2.8629999999999999E-2</v>
      </c>
      <c r="D552" s="3">
        <v>185000</v>
      </c>
      <c r="E552" s="3">
        <v>98400000000</v>
      </c>
      <c r="F552" s="3">
        <v>90100000000</v>
      </c>
      <c r="G552" s="3">
        <v>3550000000</v>
      </c>
      <c r="H552" s="3">
        <v>9890000000</v>
      </c>
      <c r="I552" s="2">
        <v>3.934E-2</v>
      </c>
      <c r="J552" s="3">
        <v>8.4099999999999995E-13</v>
      </c>
    </row>
    <row r="553" spans="1:10" x14ac:dyDescent="0.2">
      <c r="A553" s="3">
        <v>550</v>
      </c>
      <c r="B553" s="3">
        <v>4.3000000000000001E-7</v>
      </c>
      <c r="C553" s="2">
        <v>2.869E-2</v>
      </c>
      <c r="D553" s="3">
        <v>193000</v>
      </c>
      <c r="E553" s="3">
        <v>102000000000</v>
      </c>
      <c r="F553" s="3">
        <v>93400000000</v>
      </c>
      <c r="G553" s="2">
        <v>0</v>
      </c>
      <c r="H553" s="3">
        <v>9740000000</v>
      </c>
      <c r="I553" s="2">
        <v>-1.051E-2</v>
      </c>
      <c r="J553" s="3">
        <v>7.7100000000000005E-13</v>
      </c>
    </row>
    <row r="554" spans="1:10" x14ac:dyDescent="0.2">
      <c r="A554" s="3">
        <v>550</v>
      </c>
      <c r="B554" s="3">
        <v>4.3000000000000001E-7</v>
      </c>
      <c r="C554" s="2">
        <v>2.8740000000000002E-2</v>
      </c>
      <c r="D554" s="3">
        <v>202000</v>
      </c>
      <c r="E554" s="3">
        <v>106000000000</v>
      </c>
      <c r="F554" s="3">
        <v>96900000000</v>
      </c>
      <c r="G554" s="3">
        <v>6960000000</v>
      </c>
      <c r="H554" s="3">
        <v>9600000000</v>
      </c>
      <c r="I554" s="2">
        <v>7.1830000000000005E-2</v>
      </c>
      <c r="J554" s="3">
        <v>7.0600000000000002E-13</v>
      </c>
    </row>
    <row r="555" spans="1:10" x14ac:dyDescent="0.2">
      <c r="A555" s="3">
        <v>550</v>
      </c>
      <c r="B555" s="3">
        <v>4.3099999999999998E-7</v>
      </c>
      <c r="C555" s="2">
        <v>2.879E-2</v>
      </c>
      <c r="D555" s="3">
        <v>205000</v>
      </c>
      <c r="E555" s="3">
        <v>108000000000</v>
      </c>
      <c r="F555" s="3">
        <v>97800000000</v>
      </c>
      <c r="G555" s="2">
        <v>0</v>
      </c>
      <c r="H555" s="3">
        <v>9550000000</v>
      </c>
      <c r="I555" s="2">
        <v>-4.633E-3</v>
      </c>
      <c r="J555" s="3">
        <v>6.8899999999999999E-13</v>
      </c>
    </row>
    <row r="556" spans="1:10" x14ac:dyDescent="0.2">
      <c r="A556" s="3">
        <v>550</v>
      </c>
      <c r="B556" s="3">
        <v>4.3099999999999998E-7</v>
      </c>
      <c r="C556" s="2">
        <v>2.8840000000000001E-2</v>
      </c>
      <c r="D556" s="3">
        <v>202000</v>
      </c>
      <c r="E556" s="3">
        <v>106000000000</v>
      </c>
      <c r="F556" s="3">
        <v>96800000000</v>
      </c>
      <c r="G556" s="3">
        <v>7270000000</v>
      </c>
      <c r="H556" s="3">
        <v>9600000000</v>
      </c>
      <c r="I556" s="2">
        <v>7.5020000000000003E-2</v>
      </c>
      <c r="J556" s="3">
        <v>7.0600000000000002E-13</v>
      </c>
    </row>
    <row r="557" spans="1:10" x14ac:dyDescent="0.2">
      <c r="A557" s="3">
        <v>560</v>
      </c>
      <c r="B557" s="3">
        <v>4.32E-7</v>
      </c>
      <c r="C557" s="2">
        <v>2.8889999999999999E-2</v>
      </c>
      <c r="D557" s="3">
        <v>204000</v>
      </c>
      <c r="E557" s="3">
        <v>107000000000</v>
      </c>
      <c r="F557" s="3">
        <v>97400000000</v>
      </c>
      <c r="G557" s="2">
        <v>0</v>
      </c>
      <c r="H557" s="3">
        <v>9590000000</v>
      </c>
      <c r="I557" s="2">
        <v>-0.13800000000000001</v>
      </c>
      <c r="J557" s="3">
        <v>6.9799999999999995E-13</v>
      </c>
    </row>
    <row r="558" spans="1:10" x14ac:dyDescent="0.2">
      <c r="A558" s="3">
        <v>560</v>
      </c>
      <c r="B558" s="3">
        <v>4.3300000000000003E-7</v>
      </c>
      <c r="C558" s="2">
        <v>2.895E-2</v>
      </c>
      <c r="D558" s="3">
        <v>198000</v>
      </c>
      <c r="E558" s="3">
        <v>104000000000</v>
      </c>
      <c r="F558" s="3">
        <v>95100000000</v>
      </c>
      <c r="G558" s="3">
        <v>7750000000</v>
      </c>
      <c r="H558" s="3">
        <v>9660000000</v>
      </c>
      <c r="I558" s="2">
        <v>8.1439999999999999E-2</v>
      </c>
      <c r="J558" s="3">
        <v>7.3699999999999999E-13</v>
      </c>
    </row>
    <row r="559" spans="1:10" x14ac:dyDescent="0.2">
      <c r="A559" s="3">
        <v>560</v>
      </c>
      <c r="B559" s="3">
        <v>4.34E-7</v>
      </c>
      <c r="C559" s="2">
        <v>2.9000000000000001E-2</v>
      </c>
      <c r="D559" s="3">
        <v>201000</v>
      </c>
      <c r="E559" s="3">
        <v>106000000000</v>
      </c>
      <c r="F559" s="3">
        <v>96300000000</v>
      </c>
      <c r="G559" s="3">
        <v>11000000000</v>
      </c>
      <c r="H559" s="3">
        <v>9620000000</v>
      </c>
      <c r="I559" s="2">
        <v>0.1139</v>
      </c>
      <c r="J559" s="3">
        <v>7.1499999999999998E-13</v>
      </c>
    </row>
    <row r="560" spans="1:10" x14ac:dyDescent="0.2">
      <c r="A560" s="3">
        <v>560</v>
      </c>
      <c r="B560" s="3">
        <v>4.34E-7</v>
      </c>
      <c r="C560" s="2">
        <v>2.9049999999999999E-2</v>
      </c>
      <c r="D560" s="3">
        <v>185000</v>
      </c>
      <c r="E560" s="3">
        <v>98100000000</v>
      </c>
      <c r="F560" s="3">
        <v>89900000000</v>
      </c>
      <c r="G560" s="3">
        <v>9350000000</v>
      </c>
      <c r="H560" s="3">
        <v>9910000000</v>
      </c>
      <c r="I560" s="2">
        <v>0.104</v>
      </c>
      <c r="J560" s="3">
        <v>8.4700000000000003E-13</v>
      </c>
    </row>
    <row r="561" spans="1:10" x14ac:dyDescent="0.2">
      <c r="A561" s="3">
        <v>560</v>
      </c>
      <c r="B561" s="3">
        <v>4.3500000000000002E-7</v>
      </c>
      <c r="C561" s="2">
        <v>2.9100000000000001E-2</v>
      </c>
      <c r="D561" s="3">
        <v>199000</v>
      </c>
      <c r="E561" s="3">
        <v>104000000000</v>
      </c>
      <c r="F561" s="3">
        <v>95100000000</v>
      </c>
      <c r="G561" s="3">
        <v>4310000000</v>
      </c>
      <c r="H561" s="3">
        <v>9660000000</v>
      </c>
      <c r="I561" s="2">
        <v>4.5310000000000003E-2</v>
      </c>
      <c r="J561" s="3">
        <v>7.3799999999999999E-13</v>
      </c>
    </row>
    <row r="562" spans="1:10" x14ac:dyDescent="0.2">
      <c r="A562" s="3">
        <v>560</v>
      </c>
      <c r="B562" s="3">
        <v>4.3599999999999999E-7</v>
      </c>
      <c r="C562" s="2">
        <v>2.9149999999999999E-2</v>
      </c>
      <c r="D562" s="3">
        <v>187000</v>
      </c>
      <c r="E562" s="3">
        <v>98600000000</v>
      </c>
      <c r="F562" s="3">
        <v>90300000000</v>
      </c>
      <c r="G562" s="2">
        <v>0</v>
      </c>
      <c r="H562" s="3">
        <v>9870000000</v>
      </c>
      <c r="I562" s="2">
        <v>-7.0050000000000001E-2</v>
      </c>
      <c r="J562" s="3">
        <v>8.3599999999999997E-13</v>
      </c>
    </row>
    <row r="563" spans="1:10" x14ac:dyDescent="0.2">
      <c r="A563" s="3">
        <v>560</v>
      </c>
      <c r="B563" s="3">
        <v>4.3599999999999999E-7</v>
      </c>
      <c r="C563" s="2">
        <v>2.921E-2</v>
      </c>
      <c r="D563" s="3">
        <v>187000</v>
      </c>
      <c r="E563" s="3">
        <v>98600000000</v>
      </c>
      <c r="F563" s="3">
        <v>90300000000</v>
      </c>
      <c r="G563" s="3">
        <v>6780000000</v>
      </c>
      <c r="H563" s="3">
        <v>9870000000</v>
      </c>
      <c r="I563" s="2">
        <v>7.5050000000000006E-2</v>
      </c>
      <c r="J563" s="3">
        <v>8.3499999999999998E-13</v>
      </c>
    </row>
    <row r="564" spans="1:10" x14ac:dyDescent="0.2">
      <c r="A564" s="3">
        <v>560</v>
      </c>
      <c r="B564" s="3">
        <v>4.3700000000000001E-7</v>
      </c>
      <c r="C564" s="2">
        <v>2.9260000000000001E-2</v>
      </c>
      <c r="D564" s="3">
        <v>221000</v>
      </c>
      <c r="E564" s="3">
        <v>115000000000</v>
      </c>
      <c r="F564" s="3">
        <v>104000000000</v>
      </c>
      <c r="G564" s="3">
        <v>3360000000</v>
      </c>
      <c r="H564" s="3">
        <v>9340000000</v>
      </c>
      <c r="I564" s="2">
        <v>3.2399999999999998E-2</v>
      </c>
      <c r="J564" s="3">
        <v>5.9899999999999997E-13</v>
      </c>
    </row>
    <row r="565" spans="1:10" x14ac:dyDescent="0.2">
      <c r="A565" s="3">
        <v>560</v>
      </c>
      <c r="B565" s="3">
        <v>4.3799999999999998E-7</v>
      </c>
      <c r="C565" s="2">
        <v>2.9309999999999999E-2</v>
      </c>
      <c r="D565" s="3">
        <v>204000</v>
      </c>
      <c r="E565" s="3">
        <v>106000000000</v>
      </c>
      <c r="F565" s="3">
        <v>96800000000</v>
      </c>
      <c r="G565" s="2">
        <v>0</v>
      </c>
      <c r="H565" s="3">
        <v>9570000000</v>
      </c>
      <c r="I565" s="2">
        <v>-6.0979999999999999E-2</v>
      </c>
      <c r="J565" s="3">
        <v>7.0500000000000003E-13</v>
      </c>
    </row>
    <row r="566" spans="1:10" x14ac:dyDescent="0.2">
      <c r="A566" s="3">
        <v>560</v>
      </c>
      <c r="B566" s="3">
        <v>4.39E-7</v>
      </c>
      <c r="C566" s="2">
        <v>2.9360000000000001E-2</v>
      </c>
      <c r="D566" s="3">
        <v>195000</v>
      </c>
      <c r="E566" s="3">
        <v>102000000000</v>
      </c>
      <c r="F566" s="3">
        <v>93300000000</v>
      </c>
      <c r="G566" s="3">
        <v>4900000000</v>
      </c>
      <c r="H566" s="3">
        <v>9710000000</v>
      </c>
      <c r="I566" s="2">
        <v>5.2569999999999999E-2</v>
      </c>
      <c r="J566" s="3">
        <v>7.7100000000000005E-13</v>
      </c>
    </row>
    <row r="567" spans="1:10" x14ac:dyDescent="0.2">
      <c r="A567" s="3">
        <v>570</v>
      </c>
      <c r="B567" s="3">
        <v>4.4000000000000002E-7</v>
      </c>
      <c r="C567" s="2">
        <v>2.9409999999999999E-2</v>
      </c>
      <c r="D567" s="3">
        <v>199000</v>
      </c>
      <c r="E567" s="3">
        <v>104000000000</v>
      </c>
      <c r="F567" s="3">
        <v>94600000000</v>
      </c>
      <c r="G567" s="2">
        <v>0</v>
      </c>
      <c r="H567" s="3">
        <v>9640000000</v>
      </c>
      <c r="I567" s="2">
        <v>-9.7430000000000003E-2</v>
      </c>
      <c r="J567" s="3">
        <v>7.4499999999999996E-13</v>
      </c>
    </row>
    <row r="568" spans="1:10" x14ac:dyDescent="0.2">
      <c r="A568" s="3">
        <v>570</v>
      </c>
      <c r="B568" s="3">
        <v>4.4000000000000002E-7</v>
      </c>
      <c r="C568" s="2">
        <v>2.947E-2</v>
      </c>
      <c r="D568" s="3">
        <v>194000</v>
      </c>
      <c r="E568" s="3">
        <v>102000000000</v>
      </c>
      <c r="F568" s="3">
        <v>92800000000</v>
      </c>
      <c r="G568" s="3">
        <v>5400000000</v>
      </c>
      <c r="H568" s="3">
        <v>9740000000</v>
      </c>
      <c r="I568" s="2">
        <v>5.8160000000000003E-2</v>
      </c>
      <c r="J568" s="3">
        <v>7.81E-13</v>
      </c>
    </row>
    <row r="569" spans="1:10" x14ac:dyDescent="0.2">
      <c r="A569" s="3">
        <v>570</v>
      </c>
      <c r="B569" s="3">
        <v>4.4099999999999999E-7</v>
      </c>
      <c r="C569" s="2">
        <v>2.9520000000000001E-2</v>
      </c>
      <c r="D569" s="3">
        <v>194000</v>
      </c>
      <c r="E569" s="3">
        <v>101000000000</v>
      </c>
      <c r="F569" s="3">
        <v>92500000000</v>
      </c>
      <c r="G569" s="2">
        <v>0</v>
      </c>
      <c r="H569" s="3">
        <v>9740000000</v>
      </c>
      <c r="I569" s="2">
        <v>-1.6129999999999999E-2</v>
      </c>
      <c r="J569" s="3">
        <v>7.8599999999999998E-13</v>
      </c>
    </row>
    <row r="570" spans="1:10" x14ac:dyDescent="0.2">
      <c r="A570" s="3">
        <v>570</v>
      </c>
      <c r="B570" s="3">
        <v>4.4200000000000001E-7</v>
      </c>
      <c r="C570" s="2">
        <v>2.9569999999999999E-2</v>
      </c>
      <c r="D570" s="3">
        <v>191000</v>
      </c>
      <c r="E570" s="3">
        <v>99700000000</v>
      </c>
      <c r="F570" s="3">
        <v>91300000000</v>
      </c>
      <c r="G570" s="2">
        <v>0</v>
      </c>
      <c r="H570" s="3">
        <v>9790000000</v>
      </c>
      <c r="I570" s="2">
        <v>-0.11219999999999999</v>
      </c>
      <c r="J570" s="3">
        <v>8.1199999999999997E-13</v>
      </c>
    </row>
    <row r="571" spans="1:10" x14ac:dyDescent="0.2">
      <c r="A571" s="3">
        <v>570</v>
      </c>
      <c r="B571" s="3">
        <v>4.4299999999999998E-7</v>
      </c>
      <c r="C571" s="2">
        <v>2.962E-2</v>
      </c>
      <c r="D571" s="3">
        <v>194000</v>
      </c>
      <c r="E571" s="3">
        <v>101000000000</v>
      </c>
      <c r="F571" s="3">
        <v>92400000000</v>
      </c>
      <c r="G571" s="3">
        <v>12000000000</v>
      </c>
      <c r="H571" s="3">
        <v>9720000000</v>
      </c>
      <c r="I571" s="2">
        <v>0.12970000000000001</v>
      </c>
      <c r="J571" s="3">
        <v>7.8699999999999998E-13</v>
      </c>
    </row>
    <row r="572" spans="1:10" x14ac:dyDescent="0.2">
      <c r="A572" s="3">
        <v>570</v>
      </c>
      <c r="B572" s="3">
        <v>4.4400000000000001E-7</v>
      </c>
      <c r="C572" s="2">
        <v>2.9669999999999998E-2</v>
      </c>
      <c r="D572" s="3">
        <v>181000</v>
      </c>
      <c r="E572" s="3">
        <v>94700000000</v>
      </c>
      <c r="F572" s="3">
        <v>87100000000</v>
      </c>
      <c r="G572" s="2">
        <v>0</v>
      </c>
      <c r="H572" s="3">
        <v>9980000000</v>
      </c>
      <c r="I572" s="2">
        <v>-5.885E-2</v>
      </c>
      <c r="J572" s="3">
        <v>9.0899999999999996E-13</v>
      </c>
    </row>
    <row r="573" spans="1:10" x14ac:dyDescent="0.2">
      <c r="A573" s="3">
        <v>570</v>
      </c>
      <c r="B573" s="3">
        <v>4.4400000000000001E-7</v>
      </c>
      <c r="C573" s="2">
        <v>2.9729999999999999E-2</v>
      </c>
      <c r="D573" s="3">
        <v>184000</v>
      </c>
      <c r="E573" s="3">
        <v>96500000000</v>
      </c>
      <c r="F573" s="3">
        <v>88500000000</v>
      </c>
      <c r="G573" s="2">
        <v>0</v>
      </c>
      <c r="H573" s="3">
        <v>9930000000</v>
      </c>
      <c r="I573" s="2">
        <v>-8.6709999999999995E-2</v>
      </c>
      <c r="J573" s="3">
        <v>8.7500000000000001E-13</v>
      </c>
    </row>
    <row r="574" spans="1:10" x14ac:dyDescent="0.2">
      <c r="A574" s="3">
        <v>570</v>
      </c>
      <c r="B574" s="3">
        <v>4.4499999999999997E-7</v>
      </c>
      <c r="C574" s="2">
        <v>2.9780000000000001E-2</v>
      </c>
      <c r="D574" s="3">
        <v>178000</v>
      </c>
      <c r="E574" s="3">
        <v>93400000000</v>
      </c>
      <c r="F574" s="3">
        <v>86000000000</v>
      </c>
      <c r="G574" s="2">
        <v>0</v>
      </c>
      <c r="H574" s="3">
        <v>10100000000</v>
      </c>
      <c r="I574" s="2">
        <v>-6.9900000000000004E-2</v>
      </c>
      <c r="J574" s="3">
        <v>9.3899999999999994E-13</v>
      </c>
    </row>
    <row r="575" spans="1:10" x14ac:dyDescent="0.2">
      <c r="A575" s="3">
        <v>570</v>
      </c>
      <c r="B575" s="3">
        <v>4.46E-7</v>
      </c>
      <c r="C575" s="2">
        <v>2.9829999999999999E-2</v>
      </c>
      <c r="D575" s="3">
        <v>198000</v>
      </c>
      <c r="E575" s="3">
        <v>102000000000</v>
      </c>
      <c r="F575" s="3">
        <v>93500000000</v>
      </c>
      <c r="G575" s="3">
        <v>6390000000</v>
      </c>
      <c r="H575" s="3">
        <v>9670000000</v>
      </c>
      <c r="I575" s="2">
        <v>6.8400000000000002E-2</v>
      </c>
      <c r="J575" s="3">
        <v>7.6399999999999998E-13</v>
      </c>
    </row>
    <row r="576" spans="1:10" x14ac:dyDescent="0.2">
      <c r="A576" s="3">
        <v>570</v>
      </c>
      <c r="B576" s="3">
        <v>4.4700000000000002E-7</v>
      </c>
      <c r="C576" s="2">
        <v>2.988E-2</v>
      </c>
      <c r="D576" s="3">
        <v>206000</v>
      </c>
      <c r="E576" s="3">
        <v>106000000000</v>
      </c>
      <c r="F576" s="3">
        <v>96600000000</v>
      </c>
      <c r="G576" s="3">
        <v>8060000000</v>
      </c>
      <c r="H576" s="3">
        <v>9550000000</v>
      </c>
      <c r="I576" s="2">
        <v>8.3360000000000004E-2</v>
      </c>
      <c r="J576" s="3">
        <v>7.0600000000000002E-13</v>
      </c>
    </row>
    <row r="577" spans="1:10" x14ac:dyDescent="0.2">
      <c r="A577" s="3">
        <v>580</v>
      </c>
      <c r="B577" s="3">
        <v>4.4700000000000002E-7</v>
      </c>
      <c r="C577" s="2">
        <v>2.9940000000000001E-2</v>
      </c>
      <c r="D577" s="3">
        <v>194000</v>
      </c>
      <c r="E577" s="3">
        <v>101000000000</v>
      </c>
      <c r="F577" s="3">
        <v>92000000000</v>
      </c>
      <c r="G577" s="3">
        <v>2560000000</v>
      </c>
      <c r="H577" s="3">
        <v>9750000000</v>
      </c>
      <c r="I577" s="2">
        <v>2.7789999999999999E-2</v>
      </c>
      <c r="J577" s="3">
        <v>7.9500000000000005E-13</v>
      </c>
    </row>
    <row r="578" spans="1:10" x14ac:dyDescent="0.2">
      <c r="A578" s="3">
        <v>580</v>
      </c>
      <c r="B578" s="3">
        <v>4.4799999999999999E-7</v>
      </c>
      <c r="C578" s="2">
        <v>2.9989999999999999E-2</v>
      </c>
      <c r="D578" s="3">
        <v>222000</v>
      </c>
      <c r="E578" s="3">
        <v>114000000000</v>
      </c>
      <c r="F578" s="3">
        <v>103000000000</v>
      </c>
      <c r="G578" s="3">
        <v>2040000000</v>
      </c>
      <c r="H578" s="3">
        <v>9320000000</v>
      </c>
      <c r="I578" s="2">
        <v>1.9800000000000002E-2</v>
      </c>
      <c r="J578" s="3">
        <v>6.0700000000000004E-13</v>
      </c>
    </row>
    <row r="579" spans="1:10" x14ac:dyDescent="0.2">
      <c r="A579" s="3">
        <v>580</v>
      </c>
      <c r="B579" s="3">
        <v>4.4900000000000001E-7</v>
      </c>
      <c r="C579" s="2">
        <v>3.0040000000000001E-2</v>
      </c>
      <c r="D579" s="3">
        <v>180000</v>
      </c>
      <c r="E579" s="3">
        <v>93900000000</v>
      </c>
      <c r="F579" s="3">
        <v>86400000000</v>
      </c>
      <c r="G579" s="3">
        <v>3240000000</v>
      </c>
      <c r="H579" s="3">
        <v>10000000000</v>
      </c>
      <c r="I579" s="2">
        <v>3.7539999999999997E-2</v>
      </c>
      <c r="J579" s="3">
        <v>9.2800000000000008E-13</v>
      </c>
    </row>
    <row r="580" spans="1:10" x14ac:dyDescent="0.2">
      <c r="A580" s="3">
        <v>580</v>
      </c>
      <c r="B580" s="3">
        <v>4.4900000000000001E-7</v>
      </c>
      <c r="C580" s="2">
        <v>3.0089999999999999E-2</v>
      </c>
      <c r="D580" s="3">
        <v>205000</v>
      </c>
      <c r="E580" s="3">
        <v>105000000000</v>
      </c>
      <c r="F580" s="3">
        <v>95900000000</v>
      </c>
      <c r="G580" s="2">
        <v>0</v>
      </c>
      <c r="H580" s="3">
        <v>9580000000</v>
      </c>
      <c r="I580" s="2">
        <v>-5.6899999999999999E-2</v>
      </c>
      <c r="J580" s="3">
        <v>7.1799999999999997E-13</v>
      </c>
    </row>
    <row r="581" spans="1:10" x14ac:dyDescent="0.2">
      <c r="A581" s="3">
        <v>580</v>
      </c>
      <c r="B581" s="3">
        <v>4.4999999999999998E-7</v>
      </c>
      <c r="C581" s="2">
        <v>3.014E-2</v>
      </c>
      <c r="D581" s="3">
        <v>203000</v>
      </c>
      <c r="E581" s="3">
        <v>104000000000</v>
      </c>
      <c r="F581" s="3">
        <v>95000000000</v>
      </c>
      <c r="G581" s="3">
        <v>197000000</v>
      </c>
      <c r="H581" s="3">
        <v>9610000000</v>
      </c>
      <c r="I581" s="2">
        <v>2.0699999999999998E-3</v>
      </c>
      <c r="J581" s="3">
        <v>7.35E-13</v>
      </c>
    </row>
    <row r="582" spans="1:10" x14ac:dyDescent="0.2">
      <c r="A582" s="3">
        <v>580</v>
      </c>
      <c r="B582" s="3">
        <v>4.51E-7</v>
      </c>
      <c r="C582" s="2">
        <v>3.0200000000000001E-2</v>
      </c>
      <c r="D582" s="3">
        <v>197000</v>
      </c>
      <c r="E582" s="3">
        <v>101000000000</v>
      </c>
      <c r="F582" s="3">
        <v>92700000000</v>
      </c>
      <c r="G582" s="3">
        <v>1600000000</v>
      </c>
      <c r="H582" s="3">
        <v>9700000000</v>
      </c>
      <c r="I582" s="2">
        <v>1.7229999999999999E-2</v>
      </c>
      <c r="J582" s="3">
        <v>7.8000000000000001E-13</v>
      </c>
    </row>
    <row r="583" spans="1:10" x14ac:dyDescent="0.2">
      <c r="A583" s="3">
        <v>580</v>
      </c>
      <c r="B583" s="3">
        <v>4.5200000000000002E-7</v>
      </c>
      <c r="C583" s="2">
        <v>3.0249999999999999E-2</v>
      </c>
      <c r="D583" s="3">
        <v>190000</v>
      </c>
      <c r="E583" s="3">
        <v>97900000000</v>
      </c>
      <c r="F583" s="3">
        <v>89700000000</v>
      </c>
      <c r="G583" s="3">
        <v>190000000</v>
      </c>
      <c r="H583" s="3">
        <v>9820000000</v>
      </c>
      <c r="I583" s="2">
        <v>2.1199999999999999E-3</v>
      </c>
      <c r="J583" s="3">
        <v>8.4200000000000005E-13</v>
      </c>
    </row>
    <row r="584" spans="1:10" x14ac:dyDescent="0.2">
      <c r="A584" s="3">
        <v>580</v>
      </c>
      <c r="B584" s="3">
        <v>4.5200000000000002E-7</v>
      </c>
      <c r="C584" s="2">
        <v>3.0300000000000001E-2</v>
      </c>
      <c r="D584" s="3">
        <v>207000</v>
      </c>
      <c r="E584" s="3">
        <v>106000000000</v>
      </c>
      <c r="F584" s="3">
        <v>96300000000</v>
      </c>
      <c r="G584" s="3">
        <v>3500000000</v>
      </c>
      <c r="H584" s="3">
        <v>9550000000</v>
      </c>
      <c r="I584" s="2">
        <v>3.6389999999999999E-2</v>
      </c>
      <c r="J584" s="3">
        <v>7.11E-13</v>
      </c>
    </row>
    <row r="585" spans="1:10" x14ac:dyDescent="0.2">
      <c r="A585" s="3">
        <v>580</v>
      </c>
      <c r="B585" s="3">
        <v>4.5299999999999999E-7</v>
      </c>
      <c r="C585" s="2">
        <v>3.0349999999999999E-2</v>
      </c>
      <c r="D585" s="3">
        <v>210000</v>
      </c>
      <c r="E585" s="3">
        <v>107000000000</v>
      </c>
      <c r="F585" s="3">
        <v>97500000000</v>
      </c>
      <c r="G585" s="3">
        <v>6600000000</v>
      </c>
      <c r="H585" s="3">
        <v>9500000000</v>
      </c>
      <c r="I585" s="2">
        <v>6.7669999999999994E-2</v>
      </c>
      <c r="J585" s="3">
        <v>6.8999999999999999E-13</v>
      </c>
    </row>
    <row r="586" spans="1:10" x14ac:dyDescent="0.2">
      <c r="A586" s="3">
        <v>580</v>
      </c>
      <c r="B586" s="3">
        <v>4.5400000000000002E-7</v>
      </c>
      <c r="C586" s="2">
        <v>3.04E-2</v>
      </c>
      <c r="D586" s="3">
        <v>202000</v>
      </c>
      <c r="E586" s="3">
        <v>104000000000</v>
      </c>
      <c r="F586" s="3">
        <v>94400000000</v>
      </c>
      <c r="G586" s="2">
        <v>0</v>
      </c>
      <c r="H586" s="3">
        <v>9630000000</v>
      </c>
      <c r="I586" s="2">
        <v>-0.122</v>
      </c>
      <c r="J586" s="3">
        <v>7.4599999999999995E-13</v>
      </c>
    </row>
    <row r="587" spans="1:10" x14ac:dyDescent="0.2">
      <c r="A587" s="3">
        <v>590</v>
      </c>
      <c r="B587" s="3">
        <v>4.5499999999999998E-7</v>
      </c>
      <c r="C587" s="2">
        <v>3.0460000000000001E-2</v>
      </c>
      <c r="D587" s="3">
        <v>206000</v>
      </c>
      <c r="E587" s="3">
        <v>105000000000</v>
      </c>
      <c r="F587" s="3">
        <v>95700000000</v>
      </c>
      <c r="G587" s="2">
        <v>0</v>
      </c>
      <c r="H587" s="3">
        <v>9560000000</v>
      </c>
      <c r="I587" s="2">
        <v>-8.9099999999999995E-3</v>
      </c>
      <c r="J587" s="3">
        <v>7.2099999999999996E-13</v>
      </c>
    </row>
    <row r="588" spans="1:10" x14ac:dyDescent="0.2">
      <c r="A588" s="3">
        <v>590</v>
      </c>
      <c r="B588" s="3">
        <v>4.5499999999999998E-7</v>
      </c>
      <c r="C588" s="2">
        <v>3.0509999999999999E-2</v>
      </c>
      <c r="D588" s="3">
        <v>206000</v>
      </c>
      <c r="E588" s="3">
        <v>105000000000</v>
      </c>
      <c r="F588" s="3">
        <v>96000000000</v>
      </c>
      <c r="G588" s="3">
        <v>7870000000</v>
      </c>
      <c r="H588" s="3">
        <v>9560000000</v>
      </c>
      <c r="I588" s="2">
        <v>8.1970000000000001E-2</v>
      </c>
      <c r="J588" s="3">
        <v>7.1599999999999998E-13</v>
      </c>
    </row>
    <row r="589" spans="1:10" x14ac:dyDescent="0.2">
      <c r="A589" s="3">
        <v>590</v>
      </c>
      <c r="B589" s="3">
        <v>4.5600000000000001E-7</v>
      </c>
      <c r="C589" s="2">
        <v>3.056E-2</v>
      </c>
      <c r="D589" s="3">
        <v>191000</v>
      </c>
      <c r="E589" s="3">
        <v>98000000000</v>
      </c>
      <c r="F589" s="3">
        <v>89800000000</v>
      </c>
      <c r="G589" s="2">
        <v>0</v>
      </c>
      <c r="H589" s="3">
        <v>9810000000</v>
      </c>
      <c r="I589" s="2">
        <v>-1.3339999999999999E-2</v>
      </c>
      <c r="J589" s="3">
        <v>8.3899999999999996E-13</v>
      </c>
    </row>
    <row r="590" spans="1:10" x14ac:dyDescent="0.2">
      <c r="A590" s="3">
        <v>590</v>
      </c>
      <c r="B590" s="3">
        <v>4.5699999999999998E-7</v>
      </c>
      <c r="C590" s="2">
        <v>3.0609999999999998E-2</v>
      </c>
      <c r="D590" s="3">
        <v>185000</v>
      </c>
      <c r="E590" s="3">
        <v>95200000000</v>
      </c>
      <c r="F590" s="3">
        <v>87400000000</v>
      </c>
      <c r="G590" s="3">
        <v>11700000000</v>
      </c>
      <c r="H590" s="3">
        <v>9930000000</v>
      </c>
      <c r="I590" s="2">
        <v>0.1336</v>
      </c>
      <c r="J590" s="3">
        <v>8.9700000000000001E-13</v>
      </c>
    </row>
    <row r="591" spans="1:10" x14ac:dyDescent="0.2">
      <c r="A591" s="3">
        <v>590</v>
      </c>
      <c r="B591" s="3">
        <v>4.58E-7</v>
      </c>
      <c r="C591" s="2">
        <v>3.066E-2</v>
      </c>
      <c r="D591" s="3">
        <v>198000</v>
      </c>
      <c r="E591" s="3">
        <v>101000000000</v>
      </c>
      <c r="F591" s="3">
        <v>92500000000</v>
      </c>
      <c r="G591" s="3">
        <v>10800000000</v>
      </c>
      <c r="H591" s="3">
        <v>9690000000</v>
      </c>
      <c r="I591" s="2">
        <v>0.1167</v>
      </c>
      <c r="J591" s="3">
        <v>7.82E-13</v>
      </c>
    </row>
    <row r="592" spans="1:10" x14ac:dyDescent="0.2">
      <c r="A592" s="3">
        <v>590</v>
      </c>
      <c r="B592" s="3">
        <v>4.58E-7</v>
      </c>
      <c r="C592" s="2">
        <v>3.0720000000000001E-2</v>
      </c>
      <c r="D592" s="3">
        <v>198000</v>
      </c>
      <c r="E592" s="3">
        <v>101000000000</v>
      </c>
      <c r="F592" s="3">
        <v>92500000000</v>
      </c>
      <c r="G592" s="3">
        <v>1210000000</v>
      </c>
      <c r="H592" s="3">
        <v>9690000000</v>
      </c>
      <c r="I592" s="2">
        <v>1.304E-2</v>
      </c>
      <c r="J592" s="3">
        <v>7.82E-13</v>
      </c>
    </row>
    <row r="593" spans="1:10" x14ac:dyDescent="0.2">
      <c r="A593" s="3">
        <v>590</v>
      </c>
      <c r="B593" s="3">
        <v>4.5999999999999999E-7</v>
      </c>
      <c r="C593" s="2">
        <v>3.0769999999999999E-2</v>
      </c>
      <c r="D593" s="3">
        <v>193000</v>
      </c>
      <c r="E593" s="3">
        <v>98700000000</v>
      </c>
      <c r="F593" s="3">
        <v>90400000000</v>
      </c>
      <c r="G593" s="3">
        <v>16600000000</v>
      </c>
      <c r="H593" s="3">
        <v>9730000000</v>
      </c>
      <c r="I593" s="2">
        <v>0.18410000000000001</v>
      </c>
      <c r="J593" s="3">
        <v>8.2300000000000003E-13</v>
      </c>
    </row>
    <row r="594" spans="1:10" x14ac:dyDescent="0.2">
      <c r="A594" s="3">
        <v>590</v>
      </c>
      <c r="B594" s="3">
        <v>4.6100000000000001E-7</v>
      </c>
      <c r="C594" s="2">
        <v>3.082E-2</v>
      </c>
      <c r="D594" s="3">
        <v>203000</v>
      </c>
      <c r="E594" s="3">
        <v>103000000000</v>
      </c>
      <c r="F594" s="3">
        <v>93900000000</v>
      </c>
      <c r="G594" s="3">
        <v>1840000000</v>
      </c>
      <c r="H594" s="3">
        <v>9590000000</v>
      </c>
      <c r="I594" s="2">
        <v>1.9550000000000001E-2</v>
      </c>
      <c r="J594" s="3">
        <v>7.5200000000000003E-13</v>
      </c>
    </row>
    <row r="595" spans="1:10" x14ac:dyDescent="0.2">
      <c r="A595" s="3">
        <v>590</v>
      </c>
      <c r="B595" s="3">
        <v>4.6199999999999998E-7</v>
      </c>
      <c r="C595" s="2">
        <v>3.0870000000000002E-2</v>
      </c>
      <c r="D595" s="3">
        <v>191000</v>
      </c>
      <c r="E595" s="3">
        <v>97500000000</v>
      </c>
      <c r="F595" s="3">
        <v>89400000000</v>
      </c>
      <c r="G595" s="3">
        <v>4120000000</v>
      </c>
      <c r="H595" s="3">
        <v>9760000000</v>
      </c>
      <c r="I595" s="2">
        <v>4.6149999999999997E-2</v>
      </c>
      <c r="J595" s="3">
        <v>8.4400000000000004E-13</v>
      </c>
    </row>
    <row r="596" spans="1:10" x14ac:dyDescent="0.2">
      <c r="A596" s="3">
        <v>590</v>
      </c>
      <c r="B596" s="3">
        <v>4.63E-7</v>
      </c>
      <c r="C596" s="2">
        <v>3.092E-2</v>
      </c>
      <c r="D596" s="3">
        <v>186000</v>
      </c>
      <c r="E596" s="3">
        <v>95000000000</v>
      </c>
      <c r="F596" s="3">
        <v>87200000000</v>
      </c>
      <c r="G596" s="3">
        <v>4740000000</v>
      </c>
      <c r="H596" s="3">
        <v>9860000000</v>
      </c>
      <c r="I596" s="2">
        <v>5.4339999999999999E-2</v>
      </c>
      <c r="J596" s="3">
        <v>8.9400000000000003E-13</v>
      </c>
    </row>
    <row r="597" spans="1:10" x14ac:dyDescent="0.2">
      <c r="A597" s="3">
        <v>600</v>
      </c>
      <c r="B597" s="3">
        <v>4.6400000000000003E-7</v>
      </c>
      <c r="C597" s="2">
        <v>3.0980000000000001E-2</v>
      </c>
      <c r="D597" s="3">
        <v>203000</v>
      </c>
      <c r="E597" s="3">
        <v>103000000000</v>
      </c>
      <c r="F597" s="3">
        <v>93800000000</v>
      </c>
      <c r="G597" s="3">
        <v>766000000</v>
      </c>
      <c r="H597" s="3">
        <v>9560000000</v>
      </c>
      <c r="I597" s="2">
        <v>8.1659999999999996E-3</v>
      </c>
      <c r="J597" s="3">
        <v>7.5000000000000004E-13</v>
      </c>
    </row>
    <row r="598" spans="1:10" x14ac:dyDescent="0.2">
      <c r="A598" s="3">
        <v>600</v>
      </c>
      <c r="B598" s="3">
        <v>4.6400000000000003E-7</v>
      </c>
      <c r="C598" s="2">
        <v>3.1029999999999999E-2</v>
      </c>
      <c r="D598" s="3">
        <v>191000</v>
      </c>
      <c r="E598" s="3">
        <v>96900000000</v>
      </c>
      <c r="F598" s="3">
        <v>88900000000</v>
      </c>
      <c r="G598" s="3">
        <v>6730000000</v>
      </c>
      <c r="H598" s="3">
        <v>9780000000</v>
      </c>
      <c r="I598" s="2">
        <v>7.5719999999999996E-2</v>
      </c>
      <c r="J598" s="3">
        <v>8.5499999999999999E-13</v>
      </c>
    </row>
    <row r="599" spans="1:10" x14ac:dyDescent="0.2">
      <c r="A599" s="3">
        <v>600</v>
      </c>
      <c r="B599" s="3">
        <v>4.6499999999999999E-7</v>
      </c>
      <c r="C599" s="2">
        <v>3.108E-2</v>
      </c>
      <c r="D599" s="3">
        <v>197000</v>
      </c>
      <c r="E599" s="3">
        <v>99600000000</v>
      </c>
      <c r="F599" s="3">
        <v>91100000000</v>
      </c>
      <c r="G599" s="3">
        <v>610000000</v>
      </c>
      <c r="H599" s="3">
        <v>9680000000</v>
      </c>
      <c r="I599" s="2">
        <v>6.6930000000000002E-3</v>
      </c>
      <c r="J599" s="3">
        <v>8.0400000000000001E-13</v>
      </c>
    </row>
    <row r="600" spans="1:10" x14ac:dyDescent="0.2">
      <c r="A600" s="3">
        <v>600</v>
      </c>
      <c r="B600" s="3">
        <v>4.6600000000000002E-7</v>
      </c>
      <c r="C600" s="2">
        <v>3.1130000000000001E-2</v>
      </c>
      <c r="D600" s="3">
        <v>212000</v>
      </c>
      <c r="E600" s="3">
        <v>107000000000</v>
      </c>
      <c r="F600" s="3">
        <v>97200000000</v>
      </c>
      <c r="G600" s="3">
        <v>4210000000</v>
      </c>
      <c r="H600" s="3">
        <v>9440000000</v>
      </c>
      <c r="I600" s="2">
        <v>4.3360000000000003E-2</v>
      </c>
      <c r="J600" s="3">
        <v>6.8999999999999999E-13</v>
      </c>
    </row>
    <row r="601" spans="1:10" x14ac:dyDescent="0.2">
      <c r="A601" s="3">
        <v>600</v>
      </c>
      <c r="B601" s="3">
        <v>4.6699999999999999E-7</v>
      </c>
      <c r="C601" s="2">
        <v>3.1179999999999999E-2</v>
      </c>
      <c r="D601" s="3">
        <v>203000</v>
      </c>
      <c r="E601" s="3">
        <v>102000000000</v>
      </c>
      <c r="F601" s="3">
        <v>93300000000</v>
      </c>
      <c r="G601" s="2">
        <v>0</v>
      </c>
      <c r="H601" s="3">
        <v>9570000000</v>
      </c>
      <c r="I601" s="2">
        <v>-6.4659999999999995E-2</v>
      </c>
      <c r="J601" s="3">
        <v>7.58E-13</v>
      </c>
    </row>
    <row r="602" spans="1:10" x14ac:dyDescent="0.2">
      <c r="A602" s="3">
        <v>600</v>
      </c>
      <c r="B602" s="3">
        <v>4.6699999999999999E-7</v>
      </c>
      <c r="C602" s="2">
        <v>3.124E-2</v>
      </c>
      <c r="D602" s="3">
        <v>190000</v>
      </c>
      <c r="E602" s="3">
        <v>96300000000</v>
      </c>
      <c r="F602" s="3">
        <v>88400000000</v>
      </c>
      <c r="G602" s="3">
        <v>8520000000</v>
      </c>
      <c r="H602" s="3">
        <v>9810000000</v>
      </c>
      <c r="I602" s="2">
        <v>9.6339999999999995E-2</v>
      </c>
      <c r="J602" s="3">
        <v>8.6600000000000005E-13</v>
      </c>
    </row>
    <row r="603" spans="1:10" x14ac:dyDescent="0.2">
      <c r="A603" s="3">
        <v>600</v>
      </c>
      <c r="B603" s="3">
        <v>4.6800000000000001E-7</v>
      </c>
      <c r="C603" s="2">
        <v>3.1289999999999998E-2</v>
      </c>
      <c r="D603" s="3">
        <v>196000</v>
      </c>
      <c r="E603" s="3">
        <v>98900000000</v>
      </c>
      <c r="F603" s="3">
        <v>90500000000</v>
      </c>
      <c r="G603" s="3">
        <v>11200000000</v>
      </c>
      <c r="H603" s="3">
        <v>9710000000</v>
      </c>
      <c r="I603" s="2">
        <v>0.124</v>
      </c>
      <c r="J603" s="3">
        <v>8.1800000000000005E-13</v>
      </c>
    </row>
    <row r="604" spans="1:10" x14ac:dyDescent="0.2">
      <c r="A604" s="3">
        <v>600</v>
      </c>
      <c r="B604" s="3">
        <v>4.6800000000000001E-7</v>
      </c>
      <c r="C604" s="2">
        <v>3.134E-2</v>
      </c>
      <c r="D604" s="3">
        <v>225000</v>
      </c>
      <c r="E604" s="3">
        <v>113000000000</v>
      </c>
      <c r="F604" s="3">
        <v>102000000000</v>
      </c>
      <c r="G604" s="2">
        <v>0</v>
      </c>
      <c r="H604" s="3">
        <v>9300000000</v>
      </c>
      <c r="I604" s="2">
        <v>-1.3429999999999999E-2</v>
      </c>
      <c r="J604" s="3">
        <v>6.1899999999999999E-13</v>
      </c>
    </row>
    <row r="605" spans="1:10" x14ac:dyDescent="0.2">
      <c r="A605" s="3">
        <v>600</v>
      </c>
      <c r="B605" s="3">
        <v>4.6899999999999998E-7</v>
      </c>
      <c r="C605" s="2">
        <v>3.1390000000000001E-2</v>
      </c>
      <c r="D605" s="3">
        <v>214000</v>
      </c>
      <c r="E605" s="3">
        <v>107000000000</v>
      </c>
      <c r="F605" s="3">
        <v>97300000000</v>
      </c>
      <c r="G605" s="3">
        <v>13200000000</v>
      </c>
      <c r="H605" s="3">
        <v>9440000000</v>
      </c>
      <c r="I605" s="2">
        <v>0.13589999999999999</v>
      </c>
      <c r="J605" s="3">
        <v>6.88E-13</v>
      </c>
    </row>
    <row r="606" spans="1:10" x14ac:dyDescent="0.2">
      <c r="A606" s="3">
        <v>600</v>
      </c>
      <c r="B606" s="3">
        <v>4.6899999999999998E-7</v>
      </c>
      <c r="C606" s="2">
        <v>3.1449999999999999E-2</v>
      </c>
      <c r="D606" s="3">
        <v>197000</v>
      </c>
      <c r="E606" s="3">
        <v>99200000000</v>
      </c>
      <c r="F606" s="3">
        <v>90800000000</v>
      </c>
      <c r="G606" s="2">
        <v>0</v>
      </c>
      <c r="H606" s="3">
        <v>9710000000</v>
      </c>
      <c r="I606" s="2">
        <v>-2.0920000000000001E-2</v>
      </c>
      <c r="J606" s="3">
        <v>8.1299999999999997E-13</v>
      </c>
    </row>
    <row r="607" spans="1:10" x14ac:dyDescent="0.2">
      <c r="A607" s="3">
        <v>610</v>
      </c>
      <c r="B607" s="3">
        <v>4.7E-7</v>
      </c>
      <c r="C607" s="2">
        <v>3.15E-2</v>
      </c>
      <c r="D607" s="3">
        <v>218000</v>
      </c>
      <c r="E607" s="3">
        <v>109000000000</v>
      </c>
      <c r="F607" s="3">
        <v>99000000000</v>
      </c>
      <c r="G607" s="2">
        <v>0</v>
      </c>
      <c r="H607" s="3">
        <v>9390000000</v>
      </c>
      <c r="I607" s="2">
        <v>-1.8089999999999998E-2</v>
      </c>
      <c r="J607" s="3">
        <v>6.6100000000000001E-13</v>
      </c>
    </row>
    <row r="608" spans="1:10" x14ac:dyDescent="0.2">
      <c r="A608" s="3">
        <v>610</v>
      </c>
      <c r="B608" s="3">
        <v>4.7E-7</v>
      </c>
      <c r="C608" s="2">
        <v>3.1550000000000002E-2</v>
      </c>
      <c r="D608" s="3">
        <v>221000</v>
      </c>
      <c r="E608" s="3">
        <v>111000000000</v>
      </c>
      <c r="F608" s="3">
        <v>100000000000</v>
      </c>
      <c r="G608" s="3">
        <v>10700000000</v>
      </c>
      <c r="H608" s="3">
        <v>9360000000</v>
      </c>
      <c r="I608" s="2">
        <v>0.10680000000000001</v>
      </c>
      <c r="J608" s="3">
        <v>6.4399999999999998E-13</v>
      </c>
    </row>
    <row r="609" spans="1:10" x14ac:dyDescent="0.2">
      <c r="A609" s="3">
        <v>610</v>
      </c>
      <c r="B609" s="3">
        <v>4.7100000000000002E-7</v>
      </c>
      <c r="C609" s="2">
        <v>3.1600000000000003E-2</v>
      </c>
      <c r="D609" s="3">
        <v>209000</v>
      </c>
      <c r="E609" s="3">
        <v>105000000000</v>
      </c>
      <c r="F609" s="3">
        <v>95500000000</v>
      </c>
      <c r="G609" s="3">
        <v>5150000000</v>
      </c>
      <c r="H609" s="3">
        <v>9510000000</v>
      </c>
      <c r="I609" s="2">
        <v>5.3929999999999999E-2</v>
      </c>
      <c r="J609" s="3">
        <v>7.2099999999999996E-13</v>
      </c>
    </row>
    <row r="610" spans="1:10" x14ac:dyDescent="0.2">
      <c r="A610" s="3">
        <v>610</v>
      </c>
      <c r="B610" s="3">
        <v>4.7100000000000002E-7</v>
      </c>
      <c r="C610" s="2">
        <v>3.1649999999999998E-2</v>
      </c>
      <c r="D610" s="3">
        <v>210000</v>
      </c>
      <c r="E610" s="3">
        <v>105000000000</v>
      </c>
      <c r="F610" s="3">
        <v>95800000000</v>
      </c>
      <c r="G610" s="3">
        <v>8140000000</v>
      </c>
      <c r="H610" s="3">
        <v>9520000000</v>
      </c>
      <c r="I610" s="2">
        <v>8.498E-2</v>
      </c>
      <c r="J610" s="3">
        <v>7.1699999999999997E-13</v>
      </c>
    </row>
    <row r="611" spans="1:10" x14ac:dyDescent="0.2">
      <c r="A611" s="3">
        <v>610</v>
      </c>
      <c r="B611" s="3">
        <v>4.7199999999999999E-7</v>
      </c>
      <c r="C611" s="2">
        <v>3.1699999999999999E-2</v>
      </c>
      <c r="D611" s="3">
        <v>201000</v>
      </c>
      <c r="E611" s="3">
        <v>101000000000</v>
      </c>
      <c r="F611" s="3">
        <v>92200000000</v>
      </c>
      <c r="G611" s="3">
        <v>6600000000</v>
      </c>
      <c r="H611" s="3">
        <v>9660000000</v>
      </c>
      <c r="I611" s="2">
        <v>7.1580000000000005E-2</v>
      </c>
      <c r="J611" s="3">
        <v>7.8399999999999999E-13</v>
      </c>
    </row>
    <row r="612" spans="1:10" x14ac:dyDescent="0.2">
      <c r="A612" s="3">
        <v>610</v>
      </c>
      <c r="B612" s="3">
        <v>4.7300000000000001E-7</v>
      </c>
      <c r="C612" s="2">
        <v>3.1759999999999997E-2</v>
      </c>
      <c r="D612" s="3">
        <v>224000</v>
      </c>
      <c r="E612" s="3">
        <v>111000000000</v>
      </c>
      <c r="F612" s="3">
        <v>101000000000</v>
      </c>
      <c r="G612" s="3">
        <v>1980000000</v>
      </c>
      <c r="H612" s="3">
        <v>9350000000</v>
      </c>
      <c r="I612" s="2">
        <v>1.958E-2</v>
      </c>
      <c r="J612" s="3">
        <v>6.3400000000000002E-13</v>
      </c>
    </row>
    <row r="613" spans="1:10" x14ac:dyDescent="0.2">
      <c r="A613" s="3">
        <v>610</v>
      </c>
      <c r="B613" s="3">
        <v>4.7300000000000001E-7</v>
      </c>
      <c r="C613" s="2">
        <v>3.1809999999999998E-2</v>
      </c>
      <c r="D613" s="3">
        <v>205000</v>
      </c>
      <c r="E613" s="3">
        <v>103000000000</v>
      </c>
      <c r="F613" s="3">
        <v>93700000000</v>
      </c>
      <c r="G613" s="3">
        <v>10500000000</v>
      </c>
      <c r="H613" s="3">
        <v>9610000000</v>
      </c>
      <c r="I613" s="2">
        <v>0.11169999999999999</v>
      </c>
      <c r="J613" s="3">
        <v>7.5600000000000001E-13</v>
      </c>
    </row>
    <row r="614" spans="1:10" x14ac:dyDescent="0.2">
      <c r="A614" s="3">
        <v>610</v>
      </c>
      <c r="B614" s="3">
        <v>4.7399999999999998E-7</v>
      </c>
      <c r="C614" s="2">
        <v>3.1859999999999999E-2</v>
      </c>
      <c r="D614" s="3">
        <v>204000</v>
      </c>
      <c r="E614" s="3">
        <v>102000000000</v>
      </c>
      <c r="F614" s="3">
        <v>93300000000</v>
      </c>
      <c r="G614" s="2">
        <v>0</v>
      </c>
      <c r="H614" s="3">
        <v>9620000000</v>
      </c>
      <c r="I614" s="2">
        <v>-0.1721</v>
      </c>
      <c r="J614" s="3">
        <v>7.6199999999999998E-13</v>
      </c>
    </row>
    <row r="615" spans="1:10" x14ac:dyDescent="0.2">
      <c r="A615" s="3">
        <v>610</v>
      </c>
      <c r="B615" s="3">
        <v>4.7399999999999998E-7</v>
      </c>
      <c r="C615" s="2">
        <v>3.1910000000000001E-2</v>
      </c>
      <c r="D615" s="3">
        <v>207000</v>
      </c>
      <c r="E615" s="3">
        <v>103000000000</v>
      </c>
      <c r="F615" s="3">
        <v>94300000000</v>
      </c>
      <c r="G615" s="3">
        <v>11200000000</v>
      </c>
      <c r="H615" s="3">
        <v>9600000000</v>
      </c>
      <c r="I615" s="2">
        <v>0.11890000000000001</v>
      </c>
      <c r="J615" s="3">
        <v>7.4599999999999995E-13</v>
      </c>
    </row>
    <row r="616" spans="1:10" x14ac:dyDescent="0.2">
      <c r="A616" s="3">
        <v>610</v>
      </c>
      <c r="B616" s="3">
        <v>4.75E-7</v>
      </c>
      <c r="C616" s="2">
        <v>3.1969999999999998E-2</v>
      </c>
      <c r="D616" s="3">
        <v>208000</v>
      </c>
      <c r="E616" s="3">
        <v>104000000000</v>
      </c>
      <c r="F616" s="3">
        <v>94500000000</v>
      </c>
      <c r="G616" s="3">
        <v>6470000000</v>
      </c>
      <c r="H616" s="3">
        <v>9590000000</v>
      </c>
      <c r="I616" s="2">
        <v>6.8459999999999993E-2</v>
      </c>
      <c r="J616" s="3">
        <v>7.4199999999999997E-13</v>
      </c>
    </row>
    <row r="617" spans="1:10" x14ac:dyDescent="0.2">
      <c r="A617" s="3">
        <v>620</v>
      </c>
      <c r="B617" s="3">
        <v>4.7599999999999997E-7</v>
      </c>
      <c r="C617" s="2">
        <v>3.202E-2</v>
      </c>
      <c r="D617" s="3">
        <v>199000</v>
      </c>
      <c r="E617" s="3">
        <v>99300000000</v>
      </c>
      <c r="F617" s="3">
        <v>90900000000</v>
      </c>
      <c r="G617" s="2">
        <v>0</v>
      </c>
      <c r="H617" s="3">
        <v>9730000000</v>
      </c>
      <c r="I617" s="2">
        <v>-2.4080000000000001E-2</v>
      </c>
      <c r="J617" s="3">
        <v>8.1199999999999997E-13</v>
      </c>
    </row>
    <row r="618" spans="1:10" x14ac:dyDescent="0.2">
      <c r="A618" s="3">
        <v>620</v>
      </c>
      <c r="B618" s="3">
        <v>4.7599999999999997E-7</v>
      </c>
      <c r="C618" s="2">
        <v>3.2070000000000001E-2</v>
      </c>
      <c r="D618" s="3">
        <v>216000</v>
      </c>
      <c r="E618" s="3">
        <v>107000000000</v>
      </c>
      <c r="F618" s="3">
        <v>97600000000</v>
      </c>
      <c r="G618" s="3">
        <v>5510000000</v>
      </c>
      <c r="H618" s="3">
        <v>9480000000</v>
      </c>
      <c r="I618" s="2">
        <v>5.6489999999999999E-2</v>
      </c>
      <c r="J618" s="3">
        <v>6.87E-13</v>
      </c>
    </row>
    <row r="619" spans="1:10" x14ac:dyDescent="0.2">
      <c r="A619" s="3">
        <v>620</v>
      </c>
      <c r="B619" s="3">
        <v>4.7700000000000005E-7</v>
      </c>
      <c r="C619" s="2">
        <v>3.2120000000000003E-2</v>
      </c>
      <c r="D619" s="3">
        <v>204000</v>
      </c>
      <c r="E619" s="3">
        <v>102000000000</v>
      </c>
      <c r="F619" s="3">
        <v>92800000000</v>
      </c>
      <c r="G619" s="3">
        <v>17800000000</v>
      </c>
      <c r="H619" s="3">
        <v>9660000000</v>
      </c>
      <c r="I619" s="2">
        <v>0.19220000000000001</v>
      </c>
      <c r="J619" s="3">
        <v>7.7400000000000003E-13</v>
      </c>
    </row>
    <row r="620" spans="1:10" x14ac:dyDescent="0.2">
      <c r="A620" s="3">
        <v>620</v>
      </c>
      <c r="B620" s="3">
        <v>4.7800000000000002E-7</v>
      </c>
      <c r="C620" s="2">
        <v>3.2169999999999997E-2</v>
      </c>
      <c r="D620" s="3">
        <v>201000</v>
      </c>
      <c r="E620" s="3">
        <v>100000000000</v>
      </c>
      <c r="F620" s="3">
        <v>91800000000</v>
      </c>
      <c r="G620" s="2">
        <v>0</v>
      </c>
      <c r="H620" s="3">
        <v>9690000000</v>
      </c>
      <c r="I620" s="2">
        <v>-3.3849999999999998E-2</v>
      </c>
      <c r="J620" s="3">
        <v>7.9500000000000005E-13</v>
      </c>
    </row>
    <row r="621" spans="1:10" x14ac:dyDescent="0.2">
      <c r="A621" s="3">
        <v>620</v>
      </c>
      <c r="B621" s="3">
        <v>4.7800000000000002E-7</v>
      </c>
      <c r="C621" s="2">
        <v>3.2230000000000002E-2</v>
      </c>
      <c r="D621" s="3">
        <v>182000</v>
      </c>
      <c r="E621" s="3">
        <v>91700000000</v>
      </c>
      <c r="F621" s="3">
        <v>84500000000</v>
      </c>
      <c r="G621" s="3">
        <v>16000000000</v>
      </c>
      <c r="H621" s="3">
        <v>10100000000</v>
      </c>
      <c r="I621" s="2">
        <v>0.18909999999999999</v>
      </c>
      <c r="J621" s="3">
        <v>9.7299999999999999E-13</v>
      </c>
    </row>
    <row r="622" spans="1:10" x14ac:dyDescent="0.2">
      <c r="A622" s="3">
        <v>620</v>
      </c>
      <c r="B622" s="3">
        <v>4.7899999999999999E-7</v>
      </c>
      <c r="C622" s="2">
        <v>3.2280000000000003E-2</v>
      </c>
      <c r="D622" s="3">
        <v>204000</v>
      </c>
      <c r="E622" s="3">
        <v>102000000000</v>
      </c>
      <c r="F622" s="3">
        <v>92800000000</v>
      </c>
      <c r="G622" s="3">
        <v>2500000000</v>
      </c>
      <c r="H622" s="3">
        <v>9660000000</v>
      </c>
      <c r="I622" s="2">
        <v>2.6939999999999999E-2</v>
      </c>
      <c r="J622" s="3">
        <v>7.7400000000000003E-13</v>
      </c>
    </row>
    <row r="623" spans="1:10" x14ac:dyDescent="0.2">
      <c r="A623" s="3">
        <v>620</v>
      </c>
      <c r="B623" s="3">
        <v>4.7899999999999999E-7</v>
      </c>
      <c r="C623" s="2">
        <v>3.2329999999999998E-2</v>
      </c>
      <c r="D623" s="3">
        <v>219000</v>
      </c>
      <c r="E623" s="3">
        <v>108000000000</v>
      </c>
      <c r="F623" s="3">
        <v>98500000000</v>
      </c>
      <c r="G623" s="3">
        <v>2390000000</v>
      </c>
      <c r="H623" s="3">
        <v>9460000000</v>
      </c>
      <c r="I623" s="2">
        <v>2.427E-2</v>
      </c>
      <c r="J623" s="3">
        <v>6.7299999999999996E-13</v>
      </c>
    </row>
    <row r="624" spans="1:10" x14ac:dyDescent="0.2">
      <c r="A624" s="3">
        <v>620</v>
      </c>
      <c r="B624" s="3">
        <v>4.7999999999999996E-7</v>
      </c>
      <c r="C624" s="2">
        <v>3.2379999999999999E-2</v>
      </c>
      <c r="D624" s="3">
        <v>243000</v>
      </c>
      <c r="E624" s="3">
        <v>119000000000</v>
      </c>
      <c r="F624" s="3">
        <v>108000000000</v>
      </c>
      <c r="G624" s="3">
        <v>7600000000</v>
      </c>
      <c r="H624" s="3">
        <v>9200000000</v>
      </c>
      <c r="I624" s="2">
        <v>7.0690000000000003E-2</v>
      </c>
      <c r="J624" s="3">
        <v>5.4999999999999998E-13</v>
      </c>
    </row>
    <row r="625" spans="1:10" x14ac:dyDescent="0.2">
      <c r="A625" s="3">
        <v>620</v>
      </c>
      <c r="B625" s="3">
        <v>4.7999999999999996E-7</v>
      </c>
      <c r="C625" s="2">
        <v>3.2439999999999997E-2</v>
      </c>
      <c r="D625" s="3">
        <v>225000</v>
      </c>
      <c r="E625" s="3">
        <v>111000000000</v>
      </c>
      <c r="F625" s="3">
        <v>101000000000</v>
      </c>
      <c r="G625" s="2">
        <v>0</v>
      </c>
      <c r="H625" s="3">
        <v>9400000000</v>
      </c>
      <c r="I625" s="2">
        <v>-3.6089999999999998E-3</v>
      </c>
      <c r="J625" s="3">
        <v>6.4099999999999999E-13</v>
      </c>
    </row>
    <row r="626" spans="1:10" x14ac:dyDescent="0.2">
      <c r="A626" s="3">
        <v>620</v>
      </c>
      <c r="B626" s="3">
        <v>4.8100000000000003E-7</v>
      </c>
      <c r="C626" s="2">
        <v>3.2489999999999998E-2</v>
      </c>
      <c r="D626" s="3">
        <v>218000</v>
      </c>
      <c r="E626" s="3">
        <v>107000000000</v>
      </c>
      <c r="F626" s="3">
        <v>97700000000</v>
      </c>
      <c r="G626" s="3">
        <v>1050000000</v>
      </c>
      <c r="H626" s="3">
        <v>9490000000</v>
      </c>
      <c r="I626" s="2">
        <v>1.078E-2</v>
      </c>
      <c r="J626" s="3">
        <v>6.87E-13</v>
      </c>
    </row>
    <row r="627" spans="1:10" x14ac:dyDescent="0.2">
      <c r="A627" s="3">
        <v>630</v>
      </c>
      <c r="B627" s="3">
        <v>4.82E-7</v>
      </c>
      <c r="C627" s="2">
        <v>3.2539999999999999E-2</v>
      </c>
      <c r="D627" s="3">
        <v>211000</v>
      </c>
      <c r="E627" s="3">
        <v>104000000000</v>
      </c>
      <c r="F627" s="3">
        <v>95100000000</v>
      </c>
      <c r="G627" s="3">
        <v>12000000000</v>
      </c>
      <c r="H627" s="3">
        <v>9580000000</v>
      </c>
      <c r="I627" s="2">
        <v>0.12609999999999999</v>
      </c>
      <c r="J627" s="3">
        <v>7.3100000000000002E-13</v>
      </c>
    </row>
    <row r="628" spans="1:10" x14ac:dyDescent="0.2">
      <c r="A628" s="3">
        <v>630</v>
      </c>
      <c r="B628" s="3">
        <v>4.8299999999999997E-7</v>
      </c>
      <c r="C628" s="2">
        <v>3.2590000000000001E-2</v>
      </c>
      <c r="D628" s="3">
        <v>211000</v>
      </c>
      <c r="E628" s="3">
        <v>104000000000</v>
      </c>
      <c r="F628" s="3">
        <v>95100000000</v>
      </c>
      <c r="G628" s="3">
        <v>3410000000</v>
      </c>
      <c r="H628" s="3">
        <v>9570000000</v>
      </c>
      <c r="I628" s="2">
        <v>3.5880000000000002E-2</v>
      </c>
      <c r="J628" s="3">
        <v>7.3000000000000002E-13</v>
      </c>
    </row>
    <row r="629" spans="1:10" x14ac:dyDescent="0.2">
      <c r="A629" s="3">
        <v>630</v>
      </c>
      <c r="B629" s="3">
        <v>4.8299999999999997E-7</v>
      </c>
      <c r="C629" s="2">
        <v>3.2640000000000002E-2</v>
      </c>
      <c r="D629" s="3">
        <v>206000</v>
      </c>
      <c r="E629" s="3">
        <v>102000000000</v>
      </c>
      <c r="F629" s="3">
        <v>93300000000</v>
      </c>
      <c r="G629" s="3">
        <v>377000000</v>
      </c>
      <c r="H629" s="3">
        <v>9650000000</v>
      </c>
      <c r="I629" s="2">
        <v>4.045E-3</v>
      </c>
      <c r="J629" s="3">
        <v>7.6599999999999997E-13</v>
      </c>
    </row>
    <row r="630" spans="1:10" x14ac:dyDescent="0.2">
      <c r="A630" s="3">
        <v>630</v>
      </c>
      <c r="B630" s="3">
        <v>4.8400000000000005E-7</v>
      </c>
      <c r="C630" s="2">
        <v>3.2689999999999997E-2</v>
      </c>
      <c r="D630" s="3">
        <v>210000</v>
      </c>
      <c r="E630" s="3">
        <v>104000000000</v>
      </c>
      <c r="F630" s="3">
        <v>94600000000</v>
      </c>
      <c r="G630" s="3">
        <v>3680000000</v>
      </c>
      <c r="H630" s="3">
        <v>9610000000</v>
      </c>
      <c r="I630" s="2">
        <v>3.8850000000000003E-2</v>
      </c>
      <c r="J630" s="3">
        <v>7.4099999999999997E-13</v>
      </c>
    </row>
    <row r="631" spans="1:10" x14ac:dyDescent="0.2">
      <c r="A631" s="3">
        <v>630</v>
      </c>
      <c r="B631" s="3">
        <v>4.8400000000000005E-7</v>
      </c>
      <c r="C631" s="2">
        <v>3.2750000000000001E-2</v>
      </c>
      <c r="D631" s="3">
        <v>219000</v>
      </c>
      <c r="E631" s="3">
        <v>108000000000</v>
      </c>
      <c r="F631" s="3">
        <v>98000000000</v>
      </c>
      <c r="G631" s="3">
        <v>5950000000</v>
      </c>
      <c r="H631" s="3">
        <v>9490000000</v>
      </c>
      <c r="I631" s="2">
        <v>6.0699999999999997E-2</v>
      </c>
      <c r="J631" s="3">
        <v>6.8100000000000003E-13</v>
      </c>
    </row>
    <row r="632" spans="1:10" x14ac:dyDescent="0.2">
      <c r="A632" s="3">
        <v>630</v>
      </c>
      <c r="B632" s="3">
        <v>4.8500000000000002E-7</v>
      </c>
      <c r="C632" s="2">
        <v>3.2800000000000003E-2</v>
      </c>
      <c r="D632" s="3">
        <v>222000</v>
      </c>
      <c r="E632" s="3">
        <v>109000000000</v>
      </c>
      <c r="F632" s="3">
        <v>99200000000</v>
      </c>
      <c r="G632" s="3">
        <v>14700000000</v>
      </c>
      <c r="H632" s="3">
        <v>9440000000</v>
      </c>
      <c r="I632" s="2">
        <v>0.14829999999999999</v>
      </c>
      <c r="J632" s="3">
        <v>6.63E-13</v>
      </c>
    </row>
    <row r="633" spans="1:10" x14ac:dyDescent="0.2">
      <c r="A633" s="3">
        <v>630</v>
      </c>
      <c r="B633" s="3">
        <v>4.8599999999999998E-7</v>
      </c>
      <c r="C633" s="2">
        <v>3.2849999999999997E-2</v>
      </c>
      <c r="D633" s="3">
        <v>202000</v>
      </c>
      <c r="E633" s="3">
        <v>99900000000</v>
      </c>
      <c r="F633" s="3">
        <v>91400000000</v>
      </c>
      <c r="G633" s="2">
        <v>0</v>
      </c>
      <c r="H633" s="3">
        <v>9740000000</v>
      </c>
      <c r="I633" s="2">
        <v>-7.0780000000000001E-3</v>
      </c>
      <c r="J633" s="3">
        <v>8.05E-13</v>
      </c>
    </row>
    <row r="634" spans="1:10" x14ac:dyDescent="0.2">
      <c r="A634" s="3">
        <v>630</v>
      </c>
      <c r="B634" s="3">
        <v>4.8699999999999995E-7</v>
      </c>
      <c r="C634" s="2">
        <v>3.2899999999999999E-2</v>
      </c>
      <c r="D634" s="3">
        <v>202000</v>
      </c>
      <c r="E634" s="3">
        <v>99700000000</v>
      </c>
      <c r="F634" s="3">
        <v>91200000000</v>
      </c>
      <c r="G634" s="2">
        <v>0</v>
      </c>
      <c r="H634" s="3">
        <v>9750000000</v>
      </c>
      <c r="I634" s="2">
        <v>-8.6479999999999994E-3</v>
      </c>
      <c r="J634" s="3">
        <v>8.0899999999999999E-13</v>
      </c>
    </row>
    <row r="635" spans="1:10" x14ac:dyDescent="0.2">
      <c r="A635" s="3">
        <v>630</v>
      </c>
      <c r="B635" s="3">
        <v>4.8699999999999995E-7</v>
      </c>
      <c r="C635" s="2">
        <v>3.295E-2</v>
      </c>
      <c r="D635" s="3">
        <v>203000</v>
      </c>
      <c r="E635" s="3">
        <v>100000000000</v>
      </c>
      <c r="F635" s="3">
        <v>91500000000</v>
      </c>
      <c r="G635" s="3">
        <v>9050000000</v>
      </c>
      <c r="H635" s="3">
        <v>9740000000</v>
      </c>
      <c r="I635" s="2">
        <v>9.8960000000000006E-2</v>
      </c>
      <c r="J635" s="3">
        <v>8.0300000000000001E-13</v>
      </c>
    </row>
    <row r="636" spans="1:10" x14ac:dyDescent="0.2">
      <c r="A636" s="3">
        <v>630</v>
      </c>
      <c r="B636" s="3">
        <v>4.8800000000000003E-7</v>
      </c>
      <c r="C636" s="2">
        <v>3.3009999999999998E-2</v>
      </c>
      <c r="D636" s="3">
        <v>213000</v>
      </c>
      <c r="E636" s="3">
        <v>105000000000</v>
      </c>
      <c r="F636" s="3">
        <v>95300000000</v>
      </c>
      <c r="G636" s="3">
        <v>8570000000</v>
      </c>
      <c r="H636" s="3">
        <v>9600000000</v>
      </c>
      <c r="I636" s="2">
        <v>8.9950000000000002E-2</v>
      </c>
      <c r="J636" s="3">
        <v>7.3000000000000002E-13</v>
      </c>
    </row>
    <row r="637" spans="1:10" x14ac:dyDescent="0.2">
      <c r="A637" s="3">
        <v>640</v>
      </c>
      <c r="B637" s="3">
        <v>4.8800000000000003E-7</v>
      </c>
      <c r="C637" s="2">
        <v>3.3059999999999999E-2</v>
      </c>
      <c r="D637" s="3">
        <v>204000</v>
      </c>
      <c r="E637" s="3">
        <v>101000000000</v>
      </c>
      <c r="F637" s="3">
        <v>92000000000</v>
      </c>
      <c r="G637" s="3">
        <v>4560000000</v>
      </c>
      <c r="H637" s="3">
        <v>9730000000</v>
      </c>
      <c r="I637" s="2">
        <v>4.9529999999999998E-2</v>
      </c>
      <c r="J637" s="3">
        <v>7.9400000000000005E-13</v>
      </c>
    </row>
    <row r="638" spans="1:10" x14ac:dyDescent="0.2">
      <c r="A638" s="3">
        <v>640</v>
      </c>
      <c r="B638" s="3">
        <v>4.8800000000000003E-7</v>
      </c>
      <c r="C638" s="2">
        <v>3.3110000000000001E-2</v>
      </c>
      <c r="D638" s="3">
        <v>206000</v>
      </c>
      <c r="E638" s="3">
        <v>102000000000</v>
      </c>
      <c r="F638" s="3">
        <v>92700000000</v>
      </c>
      <c r="G638" s="3">
        <v>14500000000</v>
      </c>
      <c r="H638" s="3">
        <v>9710000000</v>
      </c>
      <c r="I638" s="2">
        <v>0.15679999999999999</v>
      </c>
      <c r="J638" s="3">
        <v>7.8000000000000001E-13</v>
      </c>
    </row>
    <row r="639" spans="1:10" x14ac:dyDescent="0.2">
      <c r="A639" s="3">
        <v>640</v>
      </c>
      <c r="B639" s="3">
        <v>4.89E-7</v>
      </c>
      <c r="C639" s="2">
        <v>3.3160000000000002E-2</v>
      </c>
      <c r="D639" s="3">
        <v>219000</v>
      </c>
      <c r="E639" s="3">
        <v>107000000000</v>
      </c>
      <c r="F639" s="3">
        <v>97600000000</v>
      </c>
      <c r="G639" s="2">
        <v>0</v>
      </c>
      <c r="H639" s="3">
        <v>9520000000</v>
      </c>
      <c r="I639" s="2">
        <v>-4.9399999999999999E-2</v>
      </c>
      <c r="J639" s="3">
        <v>6.9099999999999998E-13</v>
      </c>
    </row>
    <row r="640" spans="1:10" x14ac:dyDescent="0.2">
      <c r="A640" s="3">
        <v>640</v>
      </c>
      <c r="B640" s="3">
        <v>4.8999999999999997E-7</v>
      </c>
      <c r="C640" s="2">
        <v>3.3210000000000003E-2</v>
      </c>
      <c r="D640" s="3">
        <v>212000</v>
      </c>
      <c r="E640" s="3">
        <v>104000000000</v>
      </c>
      <c r="F640" s="3">
        <v>94600000000</v>
      </c>
      <c r="G640" s="3">
        <v>2760000000</v>
      </c>
      <c r="H640" s="3">
        <v>9620000000</v>
      </c>
      <c r="I640" s="2">
        <v>2.9219999999999999E-2</v>
      </c>
      <c r="J640" s="3">
        <v>7.4199999999999997E-13</v>
      </c>
    </row>
    <row r="641" spans="1:10" x14ac:dyDescent="0.2">
      <c r="A641" s="3">
        <v>640</v>
      </c>
      <c r="B641" s="3">
        <v>4.9100000000000004E-7</v>
      </c>
      <c r="C641" s="2">
        <v>3.3270000000000001E-2</v>
      </c>
      <c r="D641" s="3">
        <v>197000</v>
      </c>
      <c r="E641" s="3">
        <v>97200000000</v>
      </c>
      <c r="F641" s="3">
        <v>89200000000</v>
      </c>
      <c r="G641" s="3">
        <v>1910000000</v>
      </c>
      <c r="H641" s="3">
        <v>9860000000</v>
      </c>
      <c r="I641" s="2">
        <v>2.1430000000000001E-2</v>
      </c>
      <c r="J641" s="3">
        <v>8.5599999999999999E-13</v>
      </c>
    </row>
    <row r="642" spans="1:10" x14ac:dyDescent="0.2">
      <c r="A642" s="3">
        <v>640</v>
      </c>
      <c r="B642" s="3">
        <v>4.9100000000000004E-7</v>
      </c>
      <c r="C642" s="2">
        <v>3.3320000000000002E-2</v>
      </c>
      <c r="D642" s="3">
        <v>226000</v>
      </c>
      <c r="E642" s="3">
        <v>110000000000</v>
      </c>
      <c r="F642" s="3">
        <v>99900000000</v>
      </c>
      <c r="G642" s="3">
        <v>6380000000</v>
      </c>
      <c r="H642" s="3">
        <v>9450000000</v>
      </c>
      <c r="I642" s="2">
        <v>6.386E-2</v>
      </c>
      <c r="J642" s="3">
        <v>6.5300000000000004E-13</v>
      </c>
    </row>
    <row r="643" spans="1:10" x14ac:dyDescent="0.2">
      <c r="A643" s="3">
        <v>640</v>
      </c>
      <c r="B643" s="3">
        <v>4.9200000000000001E-7</v>
      </c>
      <c r="C643" s="2">
        <v>3.3369999999999997E-2</v>
      </c>
      <c r="D643" s="3">
        <v>214000</v>
      </c>
      <c r="E643" s="3">
        <v>105000000000</v>
      </c>
      <c r="F643" s="3">
        <v>95200000000</v>
      </c>
      <c r="G643" s="3">
        <v>18500000000</v>
      </c>
      <c r="H643" s="3">
        <v>9610000000</v>
      </c>
      <c r="I643" s="2">
        <v>0.19370000000000001</v>
      </c>
      <c r="J643" s="3">
        <v>7.3200000000000001E-13</v>
      </c>
    </row>
    <row r="644" spans="1:10" x14ac:dyDescent="0.2">
      <c r="A644" s="3">
        <v>640</v>
      </c>
      <c r="B644" s="3">
        <v>4.9299999999999998E-7</v>
      </c>
      <c r="C644" s="2">
        <v>3.3419999999999998E-2</v>
      </c>
      <c r="D644" s="3">
        <v>214000</v>
      </c>
      <c r="E644" s="3">
        <v>105000000000</v>
      </c>
      <c r="F644" s="3">
        <v>95300000000</v>
      </c>
      <c r="G644" s="3">
        <v>119000000</v>
      </c>
      <c r="H644" s="3">
        <v>9600000000</v>
      </c>
      <c r="I644" s="2">
        <v>1.253E-3</v>
      </c>
      <c r="J644" s="3">
        <v>7.3000000000000002E-13</v>
      </c>
    </row>
    <row r="645" spans="1:10" x14ac:dyDescent="0.2">
      <c r="A645" s="3">
        <v>640</v>
      </c>
      <c r="B645" s="3">
        <v>4.9299999999999998E-7</v>
      </c>
      <c r="C645" s="2">
        <v>3.3480000000000003E-2</v>
      </c>
      <c r="D645" s="3">
        <v>212000</v>
      </c>
      <c r="E645" s="3">
        <v>103000000000</v>
      </c>
      <c r="F645" s="3">
        <v>94300000000</v>
      </c>
      <c r="G645" s="3">
        <v>1760000000</v>
      </c>
      <c r="H645" s="3">
        <v>9640000000</v>
      </c>
      <c r="I645" s="2">
        <v>1.8610000000000002E-2</v>
      </c>
      <c r="J645" s="3">
        <v>7.4800000000000004E-13</v>
      </c>
    </row>
    <row r="646" spans="1:10" x14ac:dyDescent="0.2">
      <c r="A646" s="3">
        <v>640</v>
      </c>
      <c r="B646" s="3">
        <v>4.9500000000000003E-7</v>
      </c>
      <c r="C646" s="2">
        <v>3.3529999999999997E-2</v>
      </c>
      <c r="D646" s="3">
        <v>231000</v>
      </c>
      <c r="E646" s="3">
        <v>112000000000</v>
      </c>
      <c r="F646" s="3">
        <v>102000000000</v>
      </c>
      <c r="G646" s="3">
        <v>7890000000</v>
      </c>
      <c r="H646" s="3">
        <v>9390000000</v>
      </c>
      <c r="I646" s="2">
        <v>7.7729999999999994E-2</v>
      </c>
      <c r="J646" s="3">
        <v>6.2900000000000005E-13</v>
      </c>
    </row>
    <row r="647" spans="1:10" x14ac:dyDescent="0.2">
      <c r="A647" s="3">
        <v>650</v>
      </c>
      <c r="B647" s="3">
        <v>4.9500000000000003E-7</v>
      </c>
      <c r="C647" s="2">
        <v>3.3579999999999999E-2</v>
      </c>
      <c r="D647" s="3">
        <v>206000</v>
      </c>
      <c r="E647" s="3">
        <v>101000000000</v>
      </c>
      <c r="F647" s="3">
        <v>91900000000</v>
      </c>
      <c r="G647" s="3">
        <v>11200000000</v>
      </c>
      <c r="H647" s="3">
        <v>9720000000</v>
      </c>
      <c r="I647" s="2">
        <v>0.1221</v>
      </c>
      <c r="J647" s="3">
        <v>7.9400000000000005E-13</v>
      </c>
    </row>
    <row r="648" spans="1:10" x14ac:dyDescent="0.2">
      <c r="A648" s="3">
        <v>650</v>
      </c>
      <c r="B648" s="3">
        <v>4.9599999999999999E-7</v>
      </c>
      <c r="C648" s="2">
        <v>3.363E-2</v>
      </c>
      <c r="D648" s="3">
        <v>222000</v>
      </c>
      <c r="E648" s="3">
        <v>108000000000</v>
      </c>
      <c r="F648" s="3">
        <v>97900000000</v>
      </c>
      <c r="G648" s="3">
        <v>9270000000</v>
      </c>
      <c r="H648" s="3">
        <v>9500000000</v>
      </c>
      <c r="I648" s="2">
        <v>9.4619999999999996E-2</v>
      </c>
      <c r="J648" s="3">
        <v>6.8400000000000001E-13</v>
      </c>
    </row>
    <row r="649" spans="1:10" x14ac:dyDescent="0.2">
      <c r="A649" s="3">
        <v>650</v>
      </c>
      <c r="B649" s="3">
        <v>4.9599999999999999E-7</v>
      </c>
      <c r="C649" s="2">
        <v>3.3680000000000002E-2</v>
      </c>
      <c r="D649" s="3">
        <v>201000</v>
      </c>
      <c r="E649" s="3">
        <v>98500000000</v>
      </c>
      <c r="F649" s="3">
        <v>90200000000</v>
      </c>
      <c r="G649" s="3">
        <v>8780000000</v>
      </c>
      <c r="H649" s="3">
        <v>9800000000</v>
      </c>
      <c r="I649" s="2">
        <v>9.7259999999999999E-2</v>
      </c>
      <c r="J649" s="3">
        <v>8.3099999999999999E-13</v>
      </c>
    </row>
    <row r="650" spans="1:10" x14ac:dyDescent="0.2">
      <c r="A650" s="3">
        <v>650</v>
      </c>
      <c r="B650" s="3">
        <v>4.9699999999999996E-7</v>
      </c>
      <c r="C650" s="2">
        <v>3.3739999999999999E-2</v>
      </c>
      <c r="D650" s="3">
        <v>208000</v>
      </c>
      <c r="E650" s="3">
        <v>101000000000</v>
      </c>
      <c r="F650" s="3">
        <v>92700000000</v>
      </c>
      <c r="G650" s="2">
        <v>0</v>
      </c>
      <c r="H650" s="3">
        <v>9700000000</v>
      </c>
      <c r="I650" s="2">
        <v>-7.2389999999999996E-2</v>
      </c>
      <c r="J650" s="3">
        <v>7.8000000000000001E-13</v>
      </c>
    </row>
    <row r="651" spans="1:10" x14ac:dyDescent="0.2">
      <c r="A651" s="3">
        <v>650</v>
      </c>
      <c r="B651" s="3">
        <v>4.9699999999999996E-7</v>
      </c>
      <c r="C651" s="2">
        <v>3.3790000000000001E-2</v>
      </c>
      <c r="D651" s="3">
        <v>224000</v>
      </c>
      <c r="E651" s="3">
        <v>109000000000</v>
      </c>
      <c r="F651" s="3">
        <v>98600000000</v>
      </c>
      <c r="G651" s="3">
        <v>11600000000</v>
      </c>
      <c r="H651" s="3">
        <v>9500000000</v>
      </c>
      <c r="I651" s="2">
        <v>0.1178</v>
      </c>
      <c r="J651" s="3">
        <v>6.7399999999999996E-13</v>
      </c>
    </row>
    <row r="652" spans="1:10" x14ac:dyDescent="0.2">
      <c r="A652" s="3">
        <v>650</v>
      </c>
      <c r="B652" s="3">
        <v>4.9800000000000004E-7</v>
      </c>
      <c r="C652" s="2">
        <v>3.3840000000000002E-2</v>
      </c>
      <c r="D652" s="3">
        <v>216000</v>
      </c>
      <c r="E652" s="3">
        <v>105000000000</v>
      </c>
      <c r="F652" s="3">
        <v>95500000000</v>
      </c>
      <c r="G652" s="3">
        <v>4340000000</v>
      </c>
      <c r="H652" s="3">
        <v>9590000000</v>
      </c>
      <c r="I652" s="2">
        <v>4.5409999999999999E-2</v>
      </c>
      <c r="J652" s="3">
        <v>7.2600000000000004E-13</v>
      </c>
    </row>
    <row r="653" spans="1:10" x14ac:dyDescent="0.2">
      <c r="A653" s="3">
        <v>650</v>
      </c>
      <c r="B653" s="3">
        <v>4.9900000000000001E-7</v>
      </c>
      <c r="C653" s="2">
        <v>3.3890000000000003E-2</v>
      </c>
      <c r="D653" s="3">
        <v>213000</v>
      </c>
      <c r="E653" s="3">
        <v>103000000000</v>
      </c>
      <c r="F653" s="3">
        <v>94200000000</v>
      </c>
      <c r="G653" s="3">
        <v>5400000000</v>
      </c>
      <c r="H653" s="3">
        <v>9640000000</v>
      </c>
      <c r="I653" s="2">
        <v>5.7369999999999997E-2</v>
      </c>
      <c r="J653" s="3">
        <v>7.5100000000000003E-13</v>
      </c>
    </row>
    <row r="654" spans="1:10" x14ac:dyDescent="0.2">
      <c r="A654" s="3">
        <v>650</v>
      </c>
      <c r="B654" s="3">
        <v>4.9999999999999998E-7</v>
      </c>
      <c r="C654" s="2">
        <v>3.3939999999999998E-2</v>
      </c>
      <c r="D654" s="3">
        <v>208000</v>
      </c>
      <c r="E654" s="3">
        <v>101000000000</v>
      </c>
      <c r="F654" s="3">
        <v>92400000000</v>
      </c>
      <c r="G654" s="3">
        <v>4460000000</v>
      </c>
      <c r="H654" s="3">
        <v>9710000000</v>
      </c>
      <c r="I654" s="2">
        <v>4.829E-2</v>
      </c>
      <c r="J654" s="3">
        <v>7.8499999999999999E-13</v>
      </c>
    </row>
    <row r="655" spans="1:10" x14ac:dyDescent="0.2">
      <c r="A655" s="3">
        <v>650</v>
      </c>
      <c r="B655" s="3">
        <v>5.0100000000000005E-7</v>
      </c>
      <c r="C655" s="2">
        <v>3.4000000000000002E-2</v>
      </c>
      <c r="D655" s="3">
        <v>213000</v>
      </c>
      <c r="E655" s="3">
        <v>103000000000</v>
      </c>
      <c r="F655" s="3">
        <v>94100000000</v>
      </c>
      <c r="G655" s="2">
        <v>0</v>
      </c>
      <c r="H655" s="3">
        <v>9640000000</v>
      </c>
      <c r="I655" s="2">
        <v>-4.777E-2</v>
      </c>
      <c r="J655" s="3">
        <v>7.5100000000000003E-13</v>
      </c>
    </row>
    <row r="656" spans="1:10" x14ac:dyDescent="0.2">
      <c r="A656" s="3">
        <v>650</v>
      </c>
      <c r="B656" s="3">
        <v>5.0100000000000005E-7</v>
      </c>
      <c r="C656" s="2">
        <v>3.4049999999999997E-2</v>
      </c>
      <c r="D656" s="3">
        <v>199000</v>
      </c>
      <c r="E656" s="3">
        <v>97000000000</v>
      </c>
      <c r="F656" s="3">
        <v>88900000000</v>
      </c>
      <c r="G656" s="3">
        <v>13300000000</v>
      </c>
      <c r="H656" s="3">
        <v>9860000000</v>
      </c>
      <c r="I656" s="2">
        <v>0.14979999999999999</v>
      </c>
      <c r="J656" s="3">
        <v>8.5999999999999997E-13</v>
      </c>
    </row>
    <row r="657" spans="1:10" x14ac:dyDescent="0.2">
      <c r="A657" s="3">
        <v>660</v>
      </c>
      <c r="B657" s="3">
        <v>5.0200000000000002E-7</v>
      </c>
      <c r="C657" s="2">
        <v>3.4099999999999998E-2</v>
      </c>
      <c r="D657" s="3">
        <v>197000</v>
      </c>
      <c r="E657" s="3">
        <v>95900000000</v>
      </c>
      <c r="F657" s="3">
        <v>88100000000</v>
      </c>
      <c r="G657" s="2">
        <v>0</v>
      </c>
      <c r="H657" s="3">
        <v>9900000000</v>
      </c>
      <c r="I657" s="2">
        <v>-0.1308</v>
      </c>
      <c r="J657" s="3">
        <v>8.8099999999999998E-13</v>
      </c>
    </row>
    <row r="658" spans="1:10" x14ac:dyDescent="0.2">
      <c r="A658" s="3">
        <v>660</v>
      </c>
      <c r="B658" s="3">
        <v>5.0200000000000002E-7</v>
      </c>
      <c r="C658" s="2">
        <v>3.415E-2</v>
      </c>
      <c r="D658" s="3">
        <v>217000</v>
      </c>
      <c r="E658" s="3">
        <v>105000000000</v>
      </c>
      <c r="F658" s="3">
        <v>95500000000</v>
      </c>
      <c r="G658" s="3">
        <v>6670000000</v>
      </c>
      <c r="H658" s="3">
        <v>9600000000</v>
      </c>
      <c r="I658" s="2">
        <v>6.9860000000000005E-2</v>
      </c>
      <c r="J658" s="3">
        <v>7.2600000000000004E-13</v>
      </c>
    </row>
    <row r="659" spans="1:10" x14ac:dyDescent="0.2">
      <c r="A659" s="3">
        <v>660</v>
      </c>
      <c r="B659" s="3">
        <v>5.0299999999999999E-7</v>
      </c>
      <c r="C659" s="2">
        <v>3.4200000000000001E-2</v>
      </c>
      <c r="D659" s="3">
        <v>228000</v>
      </c>
      <c r="E659" s="3">
        <v>110000000000</v>
      </c>
      <c r="F659" s="3">
        <v>99600000000</v>
      </c>
      <c r="G659" s="3">
        <v>7650000000</v>
      </c>
      <c r="H659" s="3">
        <v>9470000000</v>
      </c>
      <c r="I659" s="2">
        <v>7.6799999999999993E-2</v>
      </c>
      <c r="J659" s="3">
        <v>6.5900000000000002E-13</v>
      </c>
    </row>
    <row r="660" spans="1:10" x14ac:dyDescent="0.2">
      <c r="A660" s="3">
        <v>660</v>
      </c>
      <c r="B660" s="3">
        <v>5.0299999999999999E-7</v>
      </c>
      <c r="C660" s="2">
        <v>3.4259999999999999E-2</v>
      </c>
      <c r="D660" s="3">
        <v>197000</v>
      </c>
      <c r="E660" s="3">
        <v>96100000000</v>
      </c>
      <c r="F660" s="3">
        <v>88200000000</v>
      </c>
      <c r="G660" s="3">
        <v>3850000000</v>
      </c>
      <c r="H660" s="3">
        <v>9900000000</v>
      </c>
      <c r="I660" s="2">
        <v>4.3639999999999998E-2</v>
      </c>
      <c r="J660" s="3">
        <v>8.7899999999999999E-13</v>
      </c>
    </row>
    <row r="661" spans="1:10" x14ac:dyDescent="0.2">
      <c r="A661" s="3">
        <v>660</v>
      </c>
      <c r="B661" s="3">
        <v>5.0500000000000004E-7</v>
      </c>
      <c r="C661" s="2">
        <v>3.431E-2</v>
      </c>
      <c r="D661" s="3">
        <v>232000</v>
      </c>
      <c r="E661" s="3">
        <v>111000000000</v>
      </c>
      <c r="F661" s="3">
        <v>101000000000</v>
      </c>
      <c r="G661" s="3">
        <v>7490000000</v>
      </c>
      <c r="H661" s="3">
        <v>9410000000</v>
      </c>
      <c r="I661" s="2">
        <v>7.4260000000000007E-2</v>
      </c>
      <c r="J661" s="3">
        <v>6.3800000000000001E-13</v>
      </c>
    </row>
    <row r="662" spans="1:10" x14ac:dyDescent="0.2">
      <c r="A662" s="3">
        <v>660</v>
      </c>
      <c r="B662" s="3">
        <v>5.0500000000000004E-7</v>
      </c>
      <c r="C662" s="2">
        <v>3.4360000000000002E-2</v>
      </c>
      <c r="D662" s="3">
        <v>213000</v>
      </c>
      <c r="E662" s="3">
        <v>103000000000</v>
      </c>
      <c r="F662" s="3">
        <v>93900000000</v>
      </c>
      <c r="G662" s="3">
        <v>6220000000</v>
      </c>
      <c r="H662" s="3">
        <v>9650000000</v>
      </c>
      <c r="I662" s="2">
        <v>6.6199999999999995E-2</v>
      </c>
      <c r="J662" s="3">
        <v>7.5600000000000001E-13</v>
      </c>
    </row>
    <row r="663" spans="1:10" x14ac:dyDescent="0.2">
      <c r="A663" s="3">
        <v>660</v>
      </c>
      <c r="B663" s="3">
        <v>5.06E-7</v>
      </c>
      <c r="C663" s="2">
        <v>3.4410000000000003E-2</v>
      </c>
      <c r="D663" s="3">
        <v>208000</v>
      </c>
      <c r="E663" s="3">
        <v>101000000000</v>
      </c>
      <c r="F663" s="3">
        <v>91900000000</v>
      </c>
      <c r="G663" s="3">
        <v>5850000000</v>
      </c>
      <c r="H663" s="3">
        <v>9740000000</v>
      </c>
      <c r="I663" s="2">
        <v>6.3670000000000004E-2</v>
      </c>
      <c r="J663" s="3">
        <v>7.9500000000000005E-13</v>
      </c>
    </row>
    <row r="664" spans="1:10" x14ac:dyDescent="0.2">
      <c r="A664" s="3">
        <v>660</v>
      </c>
      <c r="B664" s="3">
        <v>5.0699999999999997E-7</v>
      </c>
      <c r="C664" s="2">
        <v>3.4459999999999998E-2</v>
      </c>
      <c r="D664" s="3">
        <v>236000</v>
      </c>
      <c r="E664" s="3">
        <v>113000000000</v>
      </c>
      <c r="F664" s="3">
        <v>102000000000</v>
      </c>
      <c r="G664" s="3">
        <v>7160000000</v>
      </c>
      <c r="H664" s="3">
        <v>9380000000</v>
      </c>
      <c r="I664" s="2">
        <v>7.0110000000000006E-2</v>
      </c>
      <c r="J664" s="3">
        <v>6.2099999999999998E-13</v>
      </c>
    </row>
    <row r="665" spans="1:10" x14ac:dyDescent="0.2">
      <c r="A665" s="3">
        <v>660</v>
      </c>
      <c r="B665" s="3">
        <v>5.0699999999999997E-7</v>
      </c>
      <c r="C665" s="2">
        <v>3.4520000000000002E-2</v>
      </c>
      <c r="D665" s="3">
        <v>224000</v>
      </c>
      <c r="E665" s="3">
        <v>108000000000</v>
      </c>
      <c r="F665" s="3">
        <v>97700000000</v>
      </c>
      <c r="G665" s="3">
        <v>1050000000</v>
      </c>
      <c r="H665" s="3">
        <v>9520000000</v>
      </c>
      <c r="I665" s="2">
        <v>1.076E-2</v>
      </c>
      <c r="J665" s="3">
        <v>6.88E-13</v>
      </c>
    </row>
    <row r="666" spans="1:10" x14ac:dyDescent="0.2">
      <c r="A666" s="3">
        <v>660</v>
      </c>
      <c r="B666" s="3">
        <v>5.0800000000000005E-7</v>
      </c>
      <c r="C666" s="2">
        <v>3.458E-2</v>
      </c>
      <c r="D666" s="3">
        <v>212000</v>
      </c>
      <c r="E666" s="3">
        <v>102000000000</v>
      </c>
      <c r="F666" s="3">
        <v>93200000000</v>
      </c>
      <c r="G666" s="3">
        <v>9870000000</v>
      </c>
      <c r="H666" s="3">
        <v>9680000000</v>
      </c>
      <c r="I666" s="2">
        <v>0.10580000000000001</v>
      </c>
      <c r="J666" s="3">
        <v>7.6799999999999996E-13</v>
      </c>
    </row>
    <row r="667" spans="1:10" x14ac:dyDescent="0.2">
      <c r="A667" s="3">
        <v>670</v>
      </c>
      <c r="B667" s="3">
        <v>5.0900000000000002E-7</v>
      </c>
      <c r="C667" s="2">
        <v>3.4630000000000001E-2</v>
      </c>
      <c r="D667" s="3">
        <v>216000</v>
      </c>
      <c r="E667" s="3">
        <v>104000000000</v>
      </c>
      <c r="F667" s="3">
        <v>94600000000</v>
      </c>
      <c r="G667" s="3">
        <v>11800000000</v>
      </c>
      <c r="H667" s="3">
        <v>9620000000</v>
      </c>
      <c r="I667" s="2">
        <v>0.12509999999999999</v>
      </c>
      <c r="J667" s="3">
        <v>7.4199999999999997E-13</v>
      </c>
    </row>
    <row r="668" spans="1:10" x14ac:dyDescent="0.2">
      <c r="A668" s="3">
        <v>670</v>
      </c>
      <c r="B668" s="3">
        <v>5.0900000000000002E-7</v>
      </c>
      <c r="C668" s="2">
        <v>3.4680000000000002E-2</v>
      </c>
      <c r="D668" s="3">
        <v>214000</v>
      </c>
      <c r="E668" s="3">
        <v>103000000000</v>
      </c>
      <c r="F668" s="3">
        <v>93800000000</v>
      </c>
      <c r="G668" s="3">
        <v>6150000000</v>
      </c>
      <c r="H668" s="3">
        <v>9670000000</v>
      </c>
      <c r="I668" s="2">
        <v>6.5549999999999997E-2</v>
      </c>
      <c r="J668" s="3">
        <v>7.58E-13</v>
      </c>
    </row>
    <row r="669" spans="1:10" x14ac:dyDescent="0.2">
      <c r="A669" s="3">
        <v>670</v>
      </c>
      <c r="B669" s="3">
        <v>5.0999999999999999E-7</v>
      </c>
      <c r="C669" s="2">
        <v>3.4729999999999997E-2</v>
      </c>
      <c r="D669" s="3">
        <v>218000</v>
      </c>
      <c r="E669" s="3">
        <v>105000000000</v>
      </c>
      <c r="F669" s="3">
        <v>95300000000</v>
      </c>
      <c r="G669" s="3">
        <v>8750000000</v>
      </c>
      <c r="H669" s="3">
        <v>9610000000</v>
      </c>
      <c r="I669" s="2">
        <v>9.1800000000000007E-2</v>
      </c>
      <c r="J669" s="3">
        <v>7.3100000000000002E-13</v>
      </c>
    </row>
    <row r="670" spans="1:10" x14ac:dyDescent="0.2">
      <c r="A670" s="3">
        <v>670</v>
      </c>
      <c r="B670" s="3">
        <v>5.1099999999999996E-7</v>
      </c>
      <c r="C670" s="2">
        <v>3.4779999999999998E-2</v>
      </c>
      <c r="D670" s="3">
        <v>220000</v>
      </c>
      <c r="E670" s="3">
        <v>105000000000</v>
      </c>
      <c r="F670" s="3">
        <v>96000000000</v>
      </c>
      <c r="G670" s="3">
        <v>2250000000</v>
      </c>
      <c r="H670" s="3">
        <v>9570000000</v>
      </c>
      <c r="I670" s="2">
        <v>2.3439999999999999E-2</v>
      </c>
      <c r="J670" s="3">
        <v>7.1699999999999997E-13</v>
      </c>
    </row>
    <row r="671" spans="1:10" x14ac:dyDescent="0.2">
      <c r="A671" s="3">
        <v>670</v>
      </c>
      <c r="B671" s="3">
        <v>5.1099999999999996E-7</v>
      </c>
      <c r="C671" s="2">
        <v>3.483E-2</v>
      </c>
      <c r="D671" s="3">
        <v>202000</v>
      </c>
      <c r="E671" s="3">
        <v>97100000000</v>
      </c>
      <c r="F671" s="3">
        <v>89000000000</v>
      </c>
      <c r="G671" s="3">
        <v>4220000000</v>
      </c>
      <c r="H671" s="3">
        <v>9850000000</v>
      </c>
      <c r="I671" s="2">
        <v>4.7410000000000001E-2</v>
      </c>
      <c r="J671" s="3">
        <v>8.5799999999999998E-13</v>
      </c>
    </row>
    <row r="672" spans="1:10" x14ac:dyDescent="0.2">
      <c r="A672" s="3">
        <v>670</v>
      </c>
      <c r="B672" s="3">
        <v>5.1200000000000003E-7</v>
      </c>
      <c r="C672" s="2">
        <v>3.4880000000000001E-2</v>
      </c>
      <c r="D672" s="3">
        <v>224000</v>
      </c>
      <c r="E672" s="3">
        <v>107000000000</v>
      </c>
      <c r="F672" s="3">
        <v>97100000000</v>
      </c>
      <c r="G672" s="2">
        <v>0</v>
      </c>
      <c r="H672" s="3">
        <v>9540000000</v>
      </c>
      <c r="I672" s="2">
        <v>-1.223E-2</v>
      </c>
      <c r="J672" s="3">
        <v>6.9799999999999995E-13</v>
      </c>
    </row>
    <row r="673" spans="1:10" x14ac:dyDescent="0.2">
      <c r="A673" s="3">
        <v>670</v>
      </c>
      <c r="B673" s="3">
        <v>5.13E-7</v>
      </c>
      <c r="C673" s="2">
        <v>3.4930000000000003E-2</v>
      </c>
      <c r="D673" s="3">
        <v>216000</v>
      </c>
      <c r="E673" s="3">
        <v>103000000000</v>
      </c>
      <c r="F673" s="3">
        <v>94100000000</v>
      </c>
      <c r="G673" s="2">
        <v>0</v>
      </c>
      <c r="H673" s="3">
        <v>9630000000</v>
      </c>
      <c r="I673" s="2">
        <v>-9.5680000000000001E-2</v>
      </c>
      <c r="J673" s="3">
        <v>7.5100000000000003E-13</v>
      </c>
    </row>
    <row r="674" spans="1:10" x14ac:dyDescent="0.2">
      <c r="A674" s="3">
        <v>670</v>
      </c>
      <c r="B674" s="3">
        <v>5.13E-7</v>
      </c>
      <c r="C674" s="2">
        <v>3.499E-2</v>
      </c>
      <c r="D674" s="3">
        <v>225000</v>
      </c>
      <c r="E674" s="3">
        <v>107000000000</v>
      </c>
      <c r="F674" s="3">
        <v>97500000000</v>
      </c>
      <c r="G674" s="2">
        <v>0</v>
      </c>
      <c r="H674" s="3">
        <v>9520000000</v>
      </c>
      <c r="I674" s="2">
        <v>-2.4740000000000002E-2</v>
      </c>
      <c r="J674" s="3">
        <v>6.9099999999999998E-13</v>
      </c>
    </row>
    <row r="675" spans="1:10" x14ac:dyDescent="0.2">
      <c r="A675" s="3">
        <v>670</v>
      </c>
      <c r="B675" s="3">
        <v>5.1399999999999997E-7</v>
      </c>
      <c r="C675" s="2">
        <v>3.5040000000000002E-2</v>
      </c>
      <c r="D675" s="3">
        <v>214000</v>
      </c>
      <c r="E675" s="3">
        <v>102000000000</v>
      </c>
      <c r="F675" s="3">
        <v>93200000000</v>
      </c>
      <c r="G675" s="3">
        <v>9580000000</v>
      </c>
      <c r="H675" s="3">
        <v>9670000000</v>
      </c>
      <c r="I675" s="2">
        <v>0.1027</v>
      </c>
      <c r="J675" s="3">
        <v>7.6799999999999996E-13</v>
      </c>
    </row>
    <row r="676" spans="1:10" x14ac:dyDescent="0.2">
      <c r="A676" s="3">
        <v>670</v>
      </c>
      <c r="B676" s="3">
        <v>5.1500000000000005E-7</v>
      </c>
      <c r="C676" s="2">
        <v>3.5090000000000003E-2</v>
      </c>
      <c r="D676" s="3">
        <v>206000</v>
      </c>
      <c r="E676" s="3">
        <v>98500000000</v>
      </c>
      <c r="F676" s="3">
        <v>90200000000</v>
      </c>
      <c r="G676" s="3">
        <v>892000000</v>
      </c>
      <c r="H676" s="3">
        <v>9790000000</v>
      </c>
      <c r="I676" s="2">
        <v>9.887E-3</v>
      </c>
      <c r="J676" s="3">
        <v>8.3E-13</v>
      </c>
    </row>
    <row r="677" spans="1:10" x14ac:dyDescent="0.2">
      <c r="A677" s="3">
        <v>680</v>
      </c>
      <c r="B677" s="3">
        <v>5.1600000000000001E-7</v>
      </c>
      <c r="C677" s="2">
        <v>3.5139999999999998E-2</v>
      </c>
      <c r="D677" s="3">
        <v>203000</v>
      </c>
      <c r="E677" s="3">
        <v>97100000000</v>
      </c>
      <c r="F677" s="3">
        <v>89100000000</v>
      </c>
      <c r="G677" s="3">
        <v>4800000000</v>
      </c>
      <c r="H677" s="3">
        <v>9830000000</v>
      </c>
      <c r="I677" s="2">
        <v>5.3929999999999999E-2</v>
      </c>
      <c r="J677" s="3">
        <v>8.5599999999999999E-13</v>
      </c>
    </row>
    <row r="678" spans="1:10" x14ac:dyDescent="0.2">
      <c r="A678" s="3">
        <v>680</v>
      </c>
      <c r="B678" s="3">
        <v>5.1600000000000001E-7</v>
      </c>
      <c r="C678" s="2">
        <v>3.5189999999999999E-2</v>
      </c>
      <c r="D678" s="3">
        <v>226000</v>
      </c>
      <c r="E678" s="3">
        <v>107000000000</v>
      </c>
      <c r="F678" s="3">
        <v>97600000000</v>
      </c>
      <c r="G678" s="3">
        <v>14900000000</v>
      </c>
      <c r="H678" s="3">
        <v>9520000000</v>
      </c>
      <c r="I678" s="2">
        <v>0.15229999999999999</v>
      </c>
      <c r="J678" s="3">
        <v>6.8999999999999999E-13</v>
      </c>
    </row>
    <row r="679" spans="1:10" x14ac:dyDescent="0.2">
      <c r="A679" s="3">
        <v>680</v>
      </c>
      <c r="B679" s="3">
        <v>5.1699999999999998E-7</v>
      </c>
      <c r="C679" s="2">
        <v>3.524E-2</v>
      </c>
      <c r="D679" s="3">
        <v>213000</v>
      </c>
      <c r="E679" s="3">
        <v>102000000000</v>
      </c>
      <c r="F679" s="3">
        <v>92800000000</v>
      </c>
      <c r="G679" s="2">
        <v>0</v>
      </c>
      <c r="H679" s="3">
        <v>9700000000</v>
      </c>
      <c r="I679" s="2">
        <v>-3.023E-2</v>
      </c>
      <c r="J679" s="3">
        <v>7.7800000000000002E-13</v>
      </c>
    </row>
    <row r="680" spans="1:10" x14ac:dyDescent="0.2">
      <c r="A680" s="3">
        <v>680</v>
      </c>
      <c r="B680" s="3">
        <v>5.1799999999999995E-7</v>
      </c>
      <c r="C680" s="2">
        <v>3.5299999999999998E-2</v>
      </c>
      <c r="D680" s="3">
        <v>234000</v>
      </c>
      <c r="E680" s="3">
        <v>111000000000</v>
      </c>
      <c r="F680" s="3">
        <v>101000000000</v>
      </c>
      <c r="G680" s="2">
        <v>0</v>
      </c>
      <c r="H680" s="3">
        <v>9420000000</v>
      </c>
      <c r="I680" s="2">
        <v>-0.10199999999999999</v>
      </c>
      <c r="J680" s="3">
        <v>6.4199999999999999E-13</v>
      </c>
    </row>
    <row r="681" spans="1:10" x14ac:dyDescent="0.2">
      <c r="A681" s="3">
        <v>680</v>
      </c>
      <c r="B681" s="3">
        <v>5.1900000000000003E-7</v>
      </c>
      <c r="C681" s="2">
        <v>3.5349999999999999E-2</v>
      </c>
      <c r="D681" s="3">
        <v>239000</v>
      </c>
      <c r="E681" s="3">
        <v>113000000000</v>
      </c>
      <c r="F681" s="3">
        <v>102000000000</v>
      </c>
      <c r="G681" s="3">
        <v>5410000000</v>
      </c>
      <c r="H681" s="3">
        <v>9370000000</v>
      </c>
      <c r="I681" s="2">
        <v>5.2979999999999999E-2</v>
      </c>
      <c r="J681" s="3">
        <v>6.1999999999999998E-13</v>
      </c>
    </row>
    <row r="682" spans="1:10" x14ac:dyDescent="0.2">
      <c r="A682" s="3">
        <v>680</v>
      </c>
      <c r="B682" s="3">
        <v>5.1900000000000003E-7</v>
      </c>
      <c r="C682" s="2">
        <v>3.5400000000000001E-2</v>
      </c>
      <c r="D682" s="3">
        <v>229000</v>
      </c>
      <c r="E682" s="3">
        <v>108000000000</v>
      </c>
      <c r="F682" s="3">
        <v>98300000000</v>
      </c>
      <c r="G682" s="3">
        <v>901000000</v>
      </c>
      <c r="H682" s="3">
        <v>9490000000</v>
      </c>
      <c r="I682" s="2">
        <v>9.1579999999999995E-3</v>
      </c>
      <c r="J682" s="3">
        <v>6.7700000000000004E-13</v>
      </c>
    </row>
    <row r="683" spans="1:10" x14ac:dyDescent="0.2">
      <c r="A683" s="3">
        <v>680</v>
      </c>
      <c r="B683" s="3">
        <v>5.2E-7</v>
      </c>
      <c r="C683" s="2">
        <v>3.5459999999999998E-2</v>
      </c>
      <c r="D683" s="3">
        <v>197000</v>
      </c>
      <c r="E683" s="3">
        <v>94400000000</v>
      </c>
      <c r="F683" s="3">
        <v>86800000000</v>
      </c>
      <c r="G683" s="2">
        <v>0</v>
      </c>
      <c r="H683" s="3">
        <v>9950000000</v>
      </c>
      <c r="I683" s="2">
        <v>-1.916E-2</v>
      </c>
      <c r="J683" s="3">
        <v>9.1199999999999995E-13</v>
      </c>
    </row>
    <row r="684" spans="1:10" x14ac:dyDescent="0.2">
      <c r="A684" s="3">
        <v>680</v>
      </c>
      <c r="B684" s="3">
        <v>5.2E-7</v>
      </c>
      <c r="C684" s="2">
        <v>3.551E-2</v>
      </c>
      <c r="D684" s="3">
        <v>223000</v>
      </c>
      <c r="E684" s="3">
        <v>106000000000</v>
      </c>
      <c r="F684" s="3">
        <v>96200000000</v>
      </c>
      <c r="G684" s="3">
        <v>9880000000</v>
      </c>
      <c r="H684" s="3">
        <v>9570000000</v>
      </c>
      <c r="I684" s="2">
        <v>0.1027</v>
      </c>
      <c r="J684" s="3">
        <v>7.1299999999999999E-13</v>
      </c>
    </row>
    <row r="685" spans="1:10" x14ac:dyDescent="0.2">
      <c r="A685" s="3">
        <v>680</v>
      </c>
      <c r="B685" s="3">
        <v>5.2099999999999997E-7</v>
      </c>
      <c r="C685" s="2">
        <v>3.5560000000000001E-2</v>
      </c>
      <c r="D685" s="3">
        <v>229000</v>
      </c>
      <c r="E685" s="3">
        <v>108000000000</v>
      </c>
      <c r="F685" s="3">
        <v>98100000000</v>
      </c>
      <c r="G685" s="2">
        <v>0</v>
      </c>
      <c r="H685" s="3">
        <v>9500000000</v>
      </c>
      <c r="I685" s="2">
        <v>-6.7129999999999995E-2</v>
      </c>
      <c r="J685" s="3">
        <v>6.8100000000000003E-13</v>
      </c>
    </row>
    <row r="686" spans="1:10" x14ac:dyDescent="0.2">
      <c r="A686" s="3">
        <v>680</v>
      </c>
      <c r="B686" s="3">
        <v>5.2200000000000004E-7</v>
      </c>
      <c r="C686" s="2">
        <v>3.5610000000000003E-2</v>
      </c>
      <c r="D686" s="3">
        <v>222000</v>
      </c>
      <c r="E686" s="3">
        <v>105000000000</v>
      </c>
      <c r="F686" s="3">
        <v>95600000000</v>
      </c>
      <c r="G686" s="3">
        <v>17000000000</v>
      </c>
      <c r="H686" s="3">
        <v>9580000000</v>
      </c>
      <c r="I686" s="2">
        <v>0.1782</v>
      </c>
      <c r="J686" s="3">
        <v>7.2300000000000005E-13</v>
      </c>
    </row>
    <row r="687" spans="1:10" x14ac:dyDescent="0.2">
      <c r="A687" s="3">
        <v>690</v>
      </c>
      <c r="B687" s="3">
        <v>5.2300000000000001E-7</v>
      </c>
      <c r="C687" s="2">
        <v>3.5659999999999997E-2</v>
      </c>
      <c r="D687" s="3">
        <v>232000</v>
      </c>
      <c r="E687" s="3">
        <v>110000000000</v>
      </c>
      <c r="F687" s="3">
        <v>99400000000</v>
      </c>
      <c r="G687" s="2">
        <v>0</v>
      </c>
      <c r="H687" s="3">
        <v>9460000000</v>
      </c>
      <c r="I687" s="2">
        <v>-6.6989999999999994E-2</v>
      </c>
      <c r="J687" s="3">
        <v>6.6100000000000001E-13</v>
      </c>
    </row>
    <row r="688" spans="1:10" x14ac:dyDescent="0.2">
      <c r="A688" s="3">
        <v>690</v>
      </c>
      <c r="B688" s="3">
        <v>5.2399999999999998E-7</v>
      </c>
      <c r="C688" s="2">
        <v>3.5720000000000002E-2</v>
      </c>
      <c r="D688" s="3">
        <v>223000</v>
      </c>
      <c r="E688" s="3">
        <v>105000000000</v>
      </c>
      <c r="F688" s="3">
        <v>95700000000</v>
      </c>
      <c r="G688" s="2">
        <v>0</v>
      </c>
      <c r="H688" s="3">
        <v>9570000000</v>
      </c>
      <c r="I688" s="2">
        <v>-4.4850000000000001E-2</v>
      </c>
      <c r="J688" s="3">
        <v>7.2099999999999996E-13</v>
      </c>
    </row>
    <row r="689" spans="1:10" x14ac:dyDescent="0.2">
      <c r="A689" s="3">
        <v>690</v>
      </c>
      <c r="B689" s="3">
        <v>5.2399999999999998E-7</v>
      </c>
      <c r="C689" s="2">
        <v>3.5770000000000003E-2</v>
      </c>
      <c r="D689" s="3">
        <v>213000</v>
      </c>
      <c r="E689" s="3">
        <v>101000000000</v>
      </c>
      <c r="F689" s="3">
        <v>92100000000</v>
      </c>
      <c r="G689" s="3">
        <v>8830000000</v>
      </c>
      <c r="H689" s="3">
        <v>9720000000</v>
      </c>
      <c r="I689" s="2">
        <v>9.5869999999999997E-2</v>
      </c>
      <c r="J689" s="3">
        <v>7.9099999999999996E-13</v>
      </c>
    </row>
    <row r="690" spans="1:10" x14ac:dyDescent="0.2">
      <c r="A690" s="3">
        <v>690</v>
      </c>
      <c r="B690" s="3">
        <v>5.2499999999999995E-7</v>
      </c>
      <c r="C690" s="2">
        <v>3.5819999999999998E-2</v>
      </c>
      <c r="D690" s="3">
        <v>221000</v>
      </c>
      <c r="E690" s="3">
        <v>104000000000</v>
      </c>
      <c r="F690" s="3">
        <v>94900000000</v>
      </c>
      <c r="G690" s="3">
        <v>11100000000</v>
      </c>
      <c r="H690" s="3">
        <v>9610000000</v>
      </c>
      <c r="I690" s="2">
        <v>0.1169</v>
      </c>
      <c r="J690" s="3">
        <v>7.3599999999999999E-13</v>
      </c>
    </row>
    <row r="691" spans="1:10" x14ac:dyDescent="0.2">
      <c r="A691" s="3">
        <v>690</v>
      </c>
      <c r="B691" s="3">
        <v>5.2499999999999995E-7</v>
      </c>
      <c r="C691" s="2">
        <v>3.5869999999999999E-2</v>
      </c>
      <c r="D691" s="3">
        <v>206000</v>
      </c>
      <c r="E691" s="3">
        <v>97700000000</v>
      </c>
      <c r="F691" s="3">
        <v>89500000000</v>
      </c>
      <c r="G691" s="3">
        <v>5480000000</v>
      </c>
      <c r="H691" s="3">
        <v>9810000000</v>
      </c>
      <c r="I691" s="2">
        <v>6.1249999999999999E-2</v>
      </c>
      <c r="J691" s="3">
        <v>8.4500000000000003E-13</v>
      </c>
    </row>
    <row r="692" spans="1:10" x14ac:dyDescent="0.2">
      <c r="A692" s="3">
        <v>690</v>
      </c>
      <c r="B692" s="3">
        <v>5.2600000000000002E-7</v>
      </c>
      <c r="C692" s="2">
        <v>3.5920000000000001E-2</v>
      </c>
      <c r="D692" s="3">
        <v>211000</v>
      </c>
      <c r="E692" s="3">
        <v>99700000000</v>
      </c>
      <c r="F692" s="3">
        <v>91300000000</v>
      </c>
      <c r="G692" s="3">
        <v>1230000000</v>
      </c>
      <c r="H692" s="3">
        <v>9750000000</v>
      </c>
      <c r="I692" s="2">
        <v>1.349E-2</v>
      </c>
      <c r="J692" s="3">
        <v>8.0799999999999999E-13</v>
      </c>
    </row>
    <row r="693" spans="1:10" x14ac:dyDescent="0.2">
      <c r="A693" s="3">
        <v>690</v>
      </c>
      <c r="B693" s="3">
        <v>5.2600000000000002E-7</v>
      </c>
      <c r="C693" s="2">
        <v>3.5979999999999998E-2</v>
      </c>
      <c r="D693" s="3">
        <v>222000</v>
      </c>
      <c r="E693" s="3">
        <v>105000000000</v>
      </c>
      <c r="F693" s="3">
        <v>95500000000</v>
      </c>
      <c r="G693" s="3">
        <v>1770000000</v>
      </c>
      <c r="H693" s="3">
        <v>9600000000</v>
      </c>
      <c r="I693" s="2">
        <v>1.8509999999999999E-2</v>
      </c>
      <c r="J693" s="3">
        <v>7.2700000000000003E-13</v>
      </c>
    </row>
    <row r="694" spans="1:10" x14ac:dyDescent="0.2">
      <c r="A694" s="3">
        <v>690</v>
      </c>
      <c r="B694" s="3">
        <v>5.2699999999999999E-7</v>
      </c>
      <c r="C694" s="2">
        <v>3.603E-2</v>
      </c>
      <c r="D694" s="3">
        <v>216000</v>
      </c>
      <c r="E694" s="3">
        <v>102000000000</v>
      </c>
      <c r="F694" s="3">
        <v>92900000000</v>
      </c>
      <c r="G694" s="3">
        <v>1350000000</v>
      </c>
      <c r="H694" s="3">
        <v>9680000000</v>
      </c>
      <c r="I694" s="2">
        <v>1.4540000000000001E-2</v>
      </c>
      <c r="J694" s="3">
        <v>7.7500000000000003E-13</v>
      </c>
    </row>
    <row r="695" spans="1:10" x14ac:dyDescent="0.2">
      <c r="A695" s="3">
        <v>690</v>
      </c>
      <c r="B695" s="3">
        <v>5.2900000000000004E-7</v>
      </c>
      <c r="C695" s="2">
        <v>3.6080000000000001E-2</v>
      </c>
      <c r="D695" s="3">
        <v>216000</v>
      </c>
      <c r="E695" s="3">
        <v>101000000000</v>
      </c>
      <c r="F695" s="3">
        <v>92700000000</v>
      </c>
      <c r="G695" s="3">
        <v>4610000000</v>
      </c>
      <c r="H695" s="3">
        <v>9670000000</v>
      </c>
      <c r="I695" s="2">
        <v>4.9779999999999998E-2</v>
      </c>
      <c r="J695" s="3">
        <v>7.7700000000000002E-13</v>
      </c>
    </row>
    <row r="696" spans="1:10" x14ac:dyDescent="0.2">
      <c r="A696" s="3">
        <v>690</v>
      </c>
      <c r="B696" s="3">
        <v>5.3000000000000001E-7</v>
      </c>
      <c r="C696" s="2">
        <v>3.6130000000000002E-2</v>
      </c>
      <c r="D696" s="3">
        <v>221000</v>
      </c>
      <c r="E696" s="3">
        <v>104000000000</v>
      </c>
      <c r="F696" s="3">
        <v>94700000000</v>
      </c>
      <c r="G696" s="3">
        <v>3990000000</v>
      </c>
      <c r="H696" s="3">
        <v>9580000000</v>
      </c>
      <c r="I696" s="2">
        <v>4.2160000000000003E-2</v>
      </c>
      <c r="J696" s="3">
        <v>7.3799999999999999E-13</v>
      </c>
    </row>
    <row r="697" spans="1:10" x14ac:dyDescent="0.2">
      <c r="A697" s="3">
        <v>700</v>
      </c>
      <c r="B697" s="3">
        <v>5.3099999999999998E-7</v>
      </c>
      <c r="C697" s="2">
        <v>3.6179999999999997E-2</v>
      </c>
      <c r="D697" s="3">
        <v>229000</v>
      </c>
      <c r="E697" s="3">
        <v>107000000000</v>
      </c>
      <c r="F697" s="3">
        <v>97400000000</v>
      </c>
      <c r="G697" s="3">
        <v>12800000000</v>
      </c>
      <c r="H697" s="3">
        <v>9490000000</v>
      </c>
      <c r="I697" s="2">
        <v>0.1318</v>
      </c>
      <c r="J697" s="3">
        <v>6.8999999999999999E-13</v>
      </c>
    </row>
    <row r="698" spans="1:10" x14ac:dyDescent="0.2">
      <c r="A698" s="3">
        <v>700</v>
      </c>
      <c r="B698" s="3">
        <v>5.3200000000000005E-7</v>
      </c>
      <c r="C698" s="2">
        <v>3.6240000000000001E-2</v>
      </c>
      <c r="D698" s="3">
        <v>236000</v>
      </c>
      <c r="E698" s="3">
        <v>110000000000</v>
      </c>
      <c r="F698" s="3">
        <v>99700000000</v>
      </c>
      <c r="G698" s="3">
        <v>5610000000</v>
      </c>
      <c r="H698" s="3">
        <v>9410000000</v>
      </c>
      <c r="I698" s="2">
        <v>5.6230000000000002E-2</v>
      </c>
      <c r="J698" s="3">
        <v>6.5300000000000004E-13</v>
      </c>
    </row>
    <row r="699" spans="1:10" x14ac:dyDescent="0.2">
      <c r="A699" s="3">
        <v>700</v>
      </c>
      <c r="B699" s="3">
        <v>5.3200000000000005E-7</v>
      </c>
      <c r="C699" s="2">
        <v>3.6290000000000003E-2</v>
      </c>
      <c r="D699" s="3">
        <v>226000</v>
      </c>
      <c r="E699" s="3">
        <v>106000000000</v>
      </c>
      <c r="F699" s="3">
        <v>96200000000</v>
      </c>
      <c r="G699" s="3">
        <v>6630000000</v>
      </c>
      <c r="H699" s="3">
        <v>9520000000</v>
      </c>
      <c r="I699" s="2">
        <v>6.8959999999999994E-2</v>
      </c>
      <c r="J699" s="3">
        <v>7.11E-13</v>
      </c>
    </row>
    <row r="700" spans="1:10" x14ac:dyDescent="0.2">
      <c r="A700" s="3">
        <v>700</v>
      </c>
      <c r="B700" s="3">
        <v>5.3300000000000002E-7</v>
      </c>
      <c r="C700" s="2">
        <v>3.6339999999999997E-2</v>
      </c>
      <c r="D700" s="3">
        <v>232000</v>
      </c>
      <c r="E700" s="3">
        <v>108000000000</v>
      </c>
      <c r="F700" s="3">
        <v>98200000000</v>
      </c>
      <c r="G700" s="3">
        <v>11700000000</v>
      </c>
      <c r="H700" s="3">
        <v>9450000000</v>
      </c>
      <c r="I700" s="2">
        <v>0.1193</v>
      </c>
      <c r="J700" s="3">
        <v>6.7600000000000005E-13</v>
      </c>
    </row>
    <row r="701" spans="1:10" x14ac:dyDescent="0.2">
      <c r="A701" s="3">
        <v>700</v>
      </c>
      <c r="B701" s="3">
        <v>5.3399999999999999E-7</v>
      </c>
      <c r="C701" s="2">
        <v>3.6389999999999999E-2</v>
      </c>
      <c r="D701" s="3">
        <v>247000</v>
      </c>
      <c r="E701" s="3">
        <v>115000000000</v>
      </c>
      <c r="F701" s="3">
        <v>104000000000</v>
      </c>
      <c r="G701" s="2">
        <v>0</v>
      </c>
      <c r="H701" s="3">
        <v>9280000000</v>
      </c>
      <c r="I701" s="2">
        <v>-2.5579999999999999E-2</v>
      </c>
      <c r="J701" s="3">
        <v>5.9499999999999999E-13</v>
      </c>
    </row>
    <row r="702" spans="1:10" x14ac:dyDescent="0.2">
      <c r="A702" s="3">
        <v>700</v>
      </c>
      <c r="B702" s="3">
        <v>5.3499999999999996E-7</v>
      </c>
      <c r="C702" s="2">
        <v>3.644E-2</v>
      </c>
      <c r="D702" s="3">
        <v>205000</v>
      </c>
      <c r="E702" s="3">
        <v>96100000000</v>
      </c>
      <c r="F702" s="3">
        <v>88200000000</v>
      </c>
      <c r="G702" s="3">
        <v>8530000000</v>
      </c>
      <c r="H702" s="3">
        <v>9810000000</v>
      </c>
      <c r="I702" s="2">
        <v>9.6759999999999999E-2</v>
      </c>
      <c r="J702" s="3">
        <v>8.7100000000000002E-13</v>
      </c>
    </row>
    <row r="703" spans="1:10" x14ac:dyDescent="0.2">
      <c r="A703" s="3">
        <v>700</v>
      </c>
      <c r="B703" s="3">
        <v>5.3600000000000004E-7</v>
      </c>
      <c r="C703" s="2">
        <v>3.6490000000000002E-2</v>
      </c>
      <c r="D703" s="3">
        <v>213000</v>
      </c>
      <c r="E703" s="3">
        <v>99500000000</v>
      </c>
      <c r="F703" s="3">
        <v>91000000000</v>
      </c>
      <c r="G703" s="3">
        <v>6410000000</v>
      </c>
      <c r="H703" s="3">
        <v>9690000000</v>
      </c>
      <c r="I703" s="2">
        <v>7.0360000000000006E-2</v>
      </c>
      <c r="J703" s="3">
        <v>8.0699999999999999E-13</v>
      </c>
    </row>
    <row r="704" spans="1:10" x14ac:dyDescent="0.2">
      <c r="A704" s="3">
        <v>700</v>
      </c>
      <c r="B704" s="3">
        <v>5.3600000000000004E-7</v>
      </c>
      <c r="C704" s="2">
        <v>3.6549999999999999E-2</v>
      </c>
      <c r="D704" s="3">
        <v>242000</v>
      </c>
      <c r="E704" s="3">
        <v>112000000000</v>
      </c>
      <c r="F704" s="3">
        <v>102000000000</v>
      </c>
      <c r="G704" s="2">
        <v>0</v>
      </c>
      <c r="H704" s="3">
        <v>9350000000</v>
      </c>
      <c r="I704" s="2">
        <v>-8.1040000000000001E-2</v>
      </c>
      <c r="J704" s="3">
        <v>6.2499999999999996E-13</v>
      </c>
    </row>
    <row r="705" spans="1:10" x14ac:dyDescent="0.2">
      <c r="A705" s="3">
        <v>700</v>
      </c>
      <c r="B705" s="3">
        <v>5.37E-7</v>
      </c>
      <c r="C705" s="2">
        <v>3.6600000000000001E-2</v>
      </c>
      <c r="D705" s="3">
        <v>233000</v>
      </c>
      <c r="E705" s="3">
        <v>108000000000</v>
      </c>
      <c r="F705" s="3">
        <v>98200000000</v>
      </c>
      <c r="G705" s="2">
        <v>0</v>
      </c>
      <c r="H705" s="3">
        <v>9450000000</v>
      </c>
      <c r="I705" s="2">
        <v>-1.17E-2</v>
      </c>
      <c r="J705" s="3">
        <v>6.7700000000000004E-13</v>
      </c>
    </row>
    <row r="706" spans="1:10" x14ac:dyDescent="0.2">
      <c r="A706" s="3">
        <v>700</v>
      </c>
      <c r="B706" s="3">
        <v>5.3799999999999997E-7</v>
      </c>
      <c r="C706" s="2">
        <v>3.6650000000000002E-2</v>
      </c>
      <c r="D706" s="3">
        <v>223000</v>
      </c>
      <c r="E706" s="3">
        <v>104000000000</v>
      </c>
      <c r="F706" s="3">
        <v>94500000000</v>
      </c>
      <c r="G706" s="3">
        <v>933000000</v>
      </c>
      <c r="H706" s="3">
        <v>9560000000</v>
      </c>
      <c r="I706" s="2">
        <v>9.8740000000000008E-3</v>
      </c>
      <c r="J706" s="3">
        <v>7.3899999999999998E-13</v>
      </c>
    </row>
    <row r="707" spans="1:10" x14ac:dyDescent="0.2">
      <c r="A707" s="3">
        <v>710</v>
      </c>
      <c r="B707" s="3">
        <v>5.3799999999999997E-7</v>
      </c>
      <c r="C707" s="2">
        <v>3.6700000000000003E-2</v>
      </c>
      <c r="D707" s="3">
        <v>248000</v>
      </c>
      <c r="E707" s="3">
        <v>115000000000</v>
      </c>
      <c r="F707" s="3">
        <v>104000000000</v>
      </c>
      <c r="G707" s="3">
        <v>271000000</v>
      </c>
      <c r="H707" s="3">
        <v>9290000000</v>
      </c>
      <c r="I707" s="2">
        <v>2.6129999999999999E-3</v>
      </c>
      <c r="J707" s="3">
        <v>5.9499999999999999E-13</v>
      </c>
    </row>
    <row r="708" spans="1:10" x14ac:dyDescent="0.2">
      <c r="A708" s="3">
        <v>710</v>
      </c>
      <c r="B708" s="3">
        <v>5.3900000000000005E-7</v>
      </c>
      <c r="C708" s="2">
        <v>3.6760000000000001E-2</v>
      </c>
      <c r="D708" s="3">
        <v>223000</v>
      </c>
      <c r="E708" s="3">
        <v>104000000000</v>
      </c>
      <c r="F708" s="3">
        <v>94500000000</v>
      </c>
      <c r="G708" s="2">
        <v>0</v>
      </c>
      <c r="H708" s="3">
        <v>9580000000</v>
      </c>
      <c r="I708" s="2">
        <v>-4.156E-2</v>
      </c>
      <c r="J708" s="3">
        <v>7.3999999999999998E-13</v>
      </c>
    </row>
    <row r="709" spans="1:10" x14ac:dyDescent="0.2">
      <c r="A709" s="3">
        <v>710</v>
      </c>
      <c r="B709" s="3">
        <v>5.3900000000000005E-7</v>
      </c>
      <c r="C709" s="2">
        <v>3.6810000000000002E-2</v>
      </c>
      <c r="D709" s="3">
        <v>225000</v>
      </c>
      <c r="E709" s="3">
        <v>105000000000</v>
      </c>
      <c r="F709" s="3">
        <v>95400000000</v>
      </c>
      <c r="G709" s="2">
        <v>0</v>
      </c>
      <c r="H709" s="3">
        <v>9540000000</v>
      </c>
      <c r="I709" s="2">
        <v>-9.0189999999999997E-4</v>
      </c>
      <c r="J709" s="3">
        <v>7.2400000000000005E-13</v>
      </c>
    </row>
    <row r="710" spans="1:10" x14ac:dyDescent="0.2">
      <c r="A710" s="3">
        <v>710</v>
      </c>
      <c r="B710" s="3">
        <v>5.4000000000000002E-7</v>
      </c>
      <c r="C710" s="2">
        <v>3.6859999999999997E-2</v>
      </c>
      <c r="D710" s="3">
        <v>225000</v>
      </c>
      <c r="E710" s="3">
        <v>104000000000</v>
      </c>
      <c r="F710" s="3">
        <v>95100000000</v>
      </c>
      <c r="G710" s="3">
        <v>16700000000</v>
      </c>
      <c r="H710" s="3">
        <v>9560000000</v>
      </c>
      <c r="I710" s="2">
        <v>0.17530000000000001</v>
      </c>
      <c r="J710" s="3">
        <v>7.3000000000000002E-13</v>
      </c>
    </row>
    <row r="711" spans="1:10" x14ac:dyDescent="0.2">
      <c r="A711" s="3">
        <v>710</v>
      </c>
      <c r="B711" s="3">
        <v>5.4099999999999999E-7</v>
      </c>
      <c r="C711" s="2">
        <v>3.6909999999999998E-2</v>
      </c>
      <c r="D711" s="3">
        <v>220000</v>
      </c>
      <c r="E711" s="3">
        <v>102000000000</v>
      </c>
      <c r="F711" s="3">
        <v>93300000000</v>
      </c>
      <c r="G711" s="3">
        <v>4920000000</v>
      </c>
      <c r="H711" s="3">
        <v>9620000000</v>
      </c>
      <c r="I711" s="2">
        <v>5.2740000000000002E-2</v>
      </c>
      <c r="J711" s="3">
        <v>7.6299999999999998E-13</v>
      </c>
    </row>
    <row r="712" spans="1:10" x14ac:dyDescent="0.2">
      <c r="A712" s="3">
        <v>710</v>
      </c>
      <c r="B712" s="3">
        <v>5.4099999999999999E-7</v>
      </c>
      <c r="C712" s="2">
        <v>3.696E-2</v>
      </c>
      <c r="D712" s="3">
        <v>236000</v>
      </c>
      <c r="E712" s="3">
        <v>109000000000</v>
      </c>
      <c r="F712" s="3">
        <v>98900000000</v>
      </c>
      <c r="G712" s="2">
        <v>0</v>
      </c>
      <c r="H712" s="3">
        <v>9440000000</v>
      </c>
      <c r="I712" s="2">
        <v>-3.168E-2</v>
      </c>
      <c r="J712" s="3">
        <v>6.6599999999999999E-13</v>
      </c>
    </row>
    <row r="713" spans="1:10" x14ac:dyDescent="0.2">
      <c r="A713" s="3">
        <v>710</v>
      </c>
      <c r="B713" s="3">
        <v>5.4199999999999996E-7</v>
      </c>
      <c r="C713" s="2">
        <v>3.7019999999999997E-2</v>
      </c>
      <c r="D713" s="3">
        <v>217000</v>
      </c>
      <c r="E713" s="3">
        <v>101000000000</v>
      </c>
      <c r="F713" s="3">
        <v>92200000000</v>
      </c>
      <c r="G713" s="3">
        <v>8530000000</v>
      </c>
      <c r="H713" s="3">
        <v>9670000000</v>
      </c>
      <c r="I713" s="2">
        <v>9.2509999999999995E-2</v>
      </c>
      <c r="J713" s="3">
        <v>7.8499999999999999E-13</v>
      </c>
    </row>
    <row r="714" spans="1:10" x14ac:dyDescent="0.2">
      <c r="A714" s="3">
        <v>710</v>
      </c>
      <c r="B714" s="3">
        <v>5.4199999999999996E-7</v>
      </c>
      <c r="C714" s="2">
        <v>3.7069999999999999E-2</v>
      </c>
      <c r="D714" s="3">
        <v>218000</v>
      </c>
      <c r="E714" s="3">
        <v>101000000000</v>
      </c>
      <c r="F714" s="3">
        <v>92500000000</v>
      </c>
      <c r="G714" s="2">
        <v>0</v>
      </c>
      <c r="H714" s="3">
        <v>9660000000</v>
      </c>
      <c r="I714" s="2">
        <v>-0.10390000000000001</v>
      </c>
      <c r="J714" s="3">
        <v>7.7800000000000002E-13</v>
      </c>
    </row>
    <row r="715" spans="1:10" x14ac:dyDescent="0.2">
      <c r="A715" s="3">
        <v>710</v>
      </c>
      <c r="B715" s="3">
        <v>5.4300000000000003E-7</v>
      </c>
      <c r="C715" s="2">
        <v>3.712E-2</v>
      </c>
      <c r="D715" s="3">
        <v>215000</v>
      </c>
      <c r="E715" s="3">
        <v>99900000000</v>
      </c>
      <c r="F715" s="3">
        <v>91400000000</v>
      </c>
      <c r="G715" s="3">
        <v>5850000000</v>
      </c>
      <c r="H715" s="3">
        <v>9710000000</v>
      </c>
      <c r="I715" s="2">
        <v>6.4019999999999994E-2</v>
      </c>
      <c r="J715" s="3">
        <v>8.0200000000000002E-13</v>
      </c>
    </row>
    <row r="716" spans="1:10" x14ac:dyDescent="0.2">
      <c r="A716" s="3">
        <v>710</v>
      </c>
      <c r="B716" s="3">
        <v>5.44E-7</v>
      </c>
      <c r="C716" s="2">
        <v>3.7170000000000002E-2</v>
      </c>
      <c r="D716" s="3">
        <v>207000</v>
      </c>
      <c r="E716" s="3">
        <v>96300000000</v>
      </c>
      <c r="F716" s="3">
        <v>88400000000</v>
      </c>
      <c r="G716" s="3">
        <v>11200000000</v>
      </c>
      <c r="H716" s="3">
        <v>9830000000</v>
      </c>
      <c r="I716" s="2">
        <v>0.12670000000000001</v>
      </c>
      <c r="J716" s="3">
        <v>8.6800000000000004E-13</v>
      </c>
    </row>
    <row r="717" spans="1:10" x14ac:dyDescent="0.2">
      <c r="A717" s="3">
        <v>720</v>
      </c>
      <c r="B717" s="3">
        <v>5.44E-7</v>
      </c>
      <c r="C717" s="2">
        <v>3.7220000000000003E-2</v>
      </c>
      <c r="D717" s="3">
        <v>212000</v>
      </c>
      <c r="E717" s="3">
        <v>98600000000</v>
      </c>
      <c r="F717" s="3">
        <v>90300000000</v>
      </c>
      <c r="G717" s="3">
        <v>3880000000</v>
      </c>
      <c r="H717" s="3">
        <v>9750000000</v>
      </c>
      <c r="I717" s="2">
        <v>4.2959999999999998E-2</v>
      </c>
      <c r="J717" s="3">
        <v>8.2500000000000002E-13</v>
      </c>
    </row>
    <row r="718" spans="1:10" x14ac:dyDescent="0.2">
      <c r="A718" s="3">
        <v>720</v>
      </c>
      <c r="B718" s="3">
        <v>5.4499999999999997E-7</v>
      </c>
      <c r="C718" s="2">
        <v>3.7280000000000001E-2</v>
      </c>
      <c r="D718" s="3">
        <v>212000</v>
      </c>
      <c r="E718" s="3">
        <v>98400000000</v>
      </c>
      <c r="F718" s="3">
        <v>90200000000</v>
      </c>
      <c r="G718" s="3">
        <v>9190000000</v>
      </c>
      <c r="H718" s="3">
        <v>9760000000</v>
      </c>
      <c r="I718" s="2">
        <v>0.1019</v>
      </c>
      <c r="J718" s="3">
        <v>8.2800000000000001E-13</v>
      </c>
    </row>
    <row r="719" spans="1:10" x14ac:dyDescent="0.2">
      <c r="A719" s="3">
        <v>720</v>
      </c>
      <c r="B719" s="3">
        <v>5.4600000000000005E-7</v>
      </c>
      <c r="C719" s="2">
        <v>3.7330000000000002E-2</v>
      </c>
      <c r="D719" s="3">
        <v>242000</v>
      </c>
      <c r="E719" s="3">
        <v>111000000000</v>
      </c>
      <c r="F719" s="3">
        <v>101000000000</v>
      </c>
      <c r="G719" s="2">
        <v>0</v>
      </c>
      <c r="H719" s="3">
        <v>9390000000</v>
      </c>
      <c r="I719" s="2">
        <v>-2.8309999999999998E-2</v>
      </c>
      <c r="J719" s="3">
        <v>6.3700000000000001E-13</v>
      </c>
    </row>
    <row r="720" spans="1:10" x14ac:dyDescent="0.2">
      <c r="A720" s="3">
        <v>720</v>
      </c>
      <c r="B720" s="3">
        <v>5.4600000000000005E-7</v>
      </c>
      <c r="C720" s="2">
        <v>3.7379999999999997E-2</v>
      </c>
      <c r="D720" s="3">
        <v>213000</v>
      </c>
      <c r="E720" s="3">
        <v>98600000000</v>
      </c>
      <c r="F720" s="3">
        <v>90300000000</v>
      </c>
      <c r="G720" s="3">
        <v>3500000000</v>
      </c>
      <c r="H720" s="3">
        <v>9750000000</v>
      </c>
      <c r="I720" s="2">
        <v>3.8690000000000002E-2</v>
      </c>
      <c r="J720" s="3">
        <v>8.2500000000000002E-13</v>
      </c>
    </row>
    <row r="721" spans="1:10" x14ac:dyDescent="0.2">
      <c r="A721" s="3">
        <v>720</v>
      </c>
      <c r="B721" s="3">
        <v>5.4700000000000001E-7</v>
      </c>
      <c r="C721" s="2">
        <v>3.7429999999999998E-2</v>
      </c>
      <c r="D721" s="3">
        <v>228000</v>
      </c>
      <c r="E721" s="3">
        <v>105000000000</v>
      </c>
      <c r="F721" s="3">
        <v>95700000000</v>
      </c>
      <c r="G721" s="3">
        <v>4730000000</v>
      </c>
      <c r="H721" s="3">
        <v>9560000000</v>
      </c>
      <c r="I721" s="2">
        <v>4.9399999999999999E-2</v>
      </c>
      <c r="J721" s="3">
        <v>7.2099999999999996E-13</v>
      </c>
    </row>
    <row r="722" spans="1:10" x14ac:dyDescent="0.2">
      <c r="A722" s="3">
        <v>720</v>
      </c>
      <c r="B722" s="3">
        <v>5.4799999999999998E-7</v>
      </c>
      <c r="C722" s="2">
        <v>3.7479999999999999E-2</v>
      </c>
      <c r="D722" s="3">
        <v>212000</v>
      </c>
      <c r="E722" s="3">
        <v>98000000000</v>
      </c>
      <c r="F722" s="3">
        <v>89800000000</v>
      </c>
      <c r="G722" s="3">
        <v>11500000000</v>
      </c>
      <c r="H722" s="3">
        <v>9770000000</v>
      </c>
      <c r="I722" s="2">
        <v>0.1283</v>
      </c>
      <c r="J722" s="3">
        <v>8.3599999999999997E-13</v>
      </c>
    </row>
    <row r="723" spans="1:10" x14ac:dyDescent="0.2">
      <c r="A723" s="3">
        <v>720</v>
      </c>
      <c r="B723" s="3">
        <v>5.4799999999999998E-7</v>
      </c>
      <c r="C723" s="2">
        <v>3.7539999999999997E-2</v>
      </c>
      <c r="D723" s="3">
        <v>238000</v>
      </c>
      <c r="E723" s="3">
        <v>109000000000</v>
      </c>
      <c r="F723" s="3">
        <v>99300000000</v>
      </c>
      <c r="G723" s="3">
        <v>7430000000</v>
      </c>
      <c r="H723" s="3">
        <v>9450000000</v>
      </c>
      <c r="I723" s="2">
        <v>7.485E-2</v>
      </c>
      <c r="J723" s="3">
        <v>6.6100000000000001E-13</v>
      </c>
    </row>
    <row r="724" spans="1:10" x14ac:dyDescent="0.2">
      <c r="A724" s="3">
        <v>720</v>
      </c>
      <c r="B724" s="3">
        <v>5.4899999999999995E-7</v>
      </c>
      <c r="C724" s="2">
        <v>3.7589999999999998E-2</v>
      </c>
      <c r="D724" s="3">
        <v>199000</v>
      </c>
      <c r="E724" s="3">
        <v>92700000000</v>
      </c>
      <c r="F724" s="3">
        <v>85300000000</v>
      </c>
      <c r="G724" s="2">
        <v>0</v>
      </c>
      <c r="H724" s="3">
        <v>9970000000</v>
      </c>
      <c r="I724" s="2">
        <v>-9.8780000000000007E-2</v>
      </c>
      <c r="J724" s="3">
        <v>9.4499999999999991E-13</v>
      </c>
    </row>
    <row r="725" spans="1:10" x14ac:dyDescent="0.2">
      <c r="A725" s="3">
        <v>720</v>
      </c>
      <c r="B725" s="3">
        <v>5.5000000000000003E-7</v>
      </c>
      <c r="C725" s="2">
        <v>3.764E-2</v>
      </c>
      <c r="D725" s="3">
        <v>206000</v>
      </c>
      <c r="E725" s="3">
        <v>95200000000</v>
      </c>
      <c r="F725" s="3">
        <v>87400000000</v>
      </c>
      <c r="G725" s="3">
        <v>7930000000</v>
      </c>
      <c r="H725" s="3">
        <v>9870000000</v>
      </c>
      <c r="I725" s="2">
        <v>9.0759999999999993E-2</v>
      </c>
      <c r="J725" s="3">
        <v>8.9200000000000004E-13</v>
      </c>
    </row>
    <row r="726" spans="1:10" x14ac:dyDescent="0.2">
      <c r="A726" s="3">
        <v>720</v>
      </c>
      <c r="B726" s="3">
        <v>5.5000000000000003E-7</v>
      </c>
      <c r="C726" s="2">
        <v>3.7690000000000001E-2</v>
      </c>
      <c r="D726" s="3">
        <v>224000</v>
      </c>
      <c r="E726" s="3">
        <v>103000000000</v>
      </c>
      <c r="F726" s="3">
        <v>93900000000</v>
      </c>
      <c r="G726" s="3">
        <v>3410000000</v>
      </c>
      <c r="H726" s="3">
        <v>9620000000</v>
      </c>
      <c r="I726" s="2">
        <v>3.6299999999999999E-2</v>
      </c>
      <c r="J726" s="3">
        <v>7.5300000000000002E-13</v>
      </c>
    </row>
    <row r="727" spans="1:10" x14ac:dyDescent="0.2">
      <c r="A727" s="3">
        <v>730</v>
      </c>
      <c r="B727" s="3">
        <v>5.51E-7</v>
      </c>
      <c r="C727" s="2">
        <v>3.7740000000000003E-2</v>
      </c>
      <c r="D727" s="3">
        <v>229000</v>
      </c>
      <c r="E727" s="3">
        <v>105000000000</v>
      </c>
      <c r="F727" s="3">
        <v>95800000000</v>
      </c>
      <c r="G727" s="3">
        <v>8410000000</v>
      </c>
      <c r="H727" s="3">
        <v>9550000000</v>
      </c>
      <c r="I727" s="2">
        <v>8.7730000000000002E-2</v>
      </c>
      <c r="J727" s="3">
        <v>7.1799999999999997E-13</v>
      </c>
    </row>
    <row r="728" spans="1:10" x14ac:dyDescent="0.2">
      <c r="A728" s="3">
        <v>730</v>
      </c>
      <c r="B728" s="3">
        <v>5.5199999999999997E-7</v>
      </c>
      <c r="C728" s="2">
        <v>3.78E-2</v>
      </c>
      <c r="D728" s="3">
        <v>233000</v>
      </c>
      <c r="E728" s="3">
        <v>107000000000</v>
      </c>
      <c r="F728" s="3">
        <v>96900000000</v>
      </c>
      <c r="G728" s="2">
        <v>0</v>
      </c>
      <c r="H728" s="3">
        <v>9520000000</v>
      </c>
      <c r="I728" s="2">
        <v>-1.201E-2</v>
      </c>
      <c r="J728" s="3">
        <v>6.9899999999999995E-13</v>
      </c>
    </row>
    <row r="729" spans="1:10" x14ac:dyDescent="0.2">
      <c r="A729" s="3">
        <v>730</v>
      </c>
      <c r="B729" s="3">
        <v>5.5199999999999997E-7</v>
      </c>
      <c r="C729" s="2">
        <v>3.7850000000000002E-2</v>
      </c>
      <c r="D729" s="3">
        <v>208000</v>
      </c>
      <c r="E729" s="3">
        <v>95800000000</v>
      </c>
      <c r="F729" s="3">
        <v>88000000000</v>
      </c>
      <c r="G729" s="3">
        <v>6290000000</v>
      </c>
      <c r="H729" s="3">
        <v>9850000000</v>
      </c>
      <c r="I729" s="2">
        <v>7.1510000000000004E-2</v>
      </c>
      <c r="J729" s="3">
        <v>8.7899999999999999E-13</v>
      </c>
    </row>
    <row r="730" spans="1:10" x14ac:dyDescent="0.2">
      <c r="A730" s="3">
        <v>730</v>
      </c>
      <c r="B730" s="3">
        <v>5.5300000000000004E-7</v>
      </c>
      <c r="C730" s="2">
        <v>3.7900000000000003E-2</v>
      </c>
      <c r="D730" s="3">
        <v>212000</v>
      </c>
      <c r="E730" s="3">
        <v>97600000000</v>
      </c>
      <c r="F730" s="3">
        <v>89500000000</v>
      </c>
      <c r="G730" s="3">
        <v>2210000000</v>
      </c>
      <c r="H730" s="3">
        <v>9790000000</v>
      </c>
      <c r="I730" s="2">
        <v>2.47E-2</v>
      </c>
      <c r="J730" s="3">
        <v>8.4400000000000004E-13</v>
      </c>
    </row>
    <row r="731" spans="1:10" x14ac:dyDescent="0.2">
      <c r="A731" s="3">
        <v>730</v>
      </c>
      <c r="B731" s="3">
        <v>5.5300000000000004E-7</v>
      </c>
      <c r="C731" s="2">
        <v>3.7949999999999998E-2</v>
      </c>
      <c r="D731" s="3">
        <v>223000</v>
      </c>
      <c r="E731" s="3">
        <v>102000000000</v>
      </c>
      <c r="F731" s="3">
        <v>93400000000</v>
      </c>
      <c r="G731" s="3">
        <v>3670000000</v>
      </c>
      <c r="H731" s="3">
        <v>9650000000</v>
      </c>
      <c r="I731" s="2">
        <v>3.9309999999999998E-2</v>
      </c>
      <c r="J731" s="3">
        <v>7.6399999999999998E-13</v>
      </c>
    </row>
    <row r="732" spans="1:10" x14ac:dyDescent="0.2">
      <c r="A732" s="3">
        <v>730</v>
      </c>
      <c r="B732" s="3">
        <v>5.5400000000000001E-7</v>
      </c>
      <c r="C732" s="2">
        <v>3.8010000000000002E-2</v>
      </c>
      <c r="D732" s="3">
        <v>212000</v>
      </c>
      <c r="E732" s="3">
        <v>97500000000</v>
      </c>
      <c r="F732" s="3">
        <v>89400000000</v>
      </c>
      <c r="G732" s="3">
        <v>2170000000</v>
      </c>
      <c r="H732" s="3">
        <v>9800000000</v>
      </c>
      <c r="I732" s="2">
        <v>2.4219999999999998E-2</v>
      </c>
      <c r="J732" s="3">
        <v>8.4700000000000003E-13</v>
      </c>
    </row>
    <row r="733" spans="1:10" x14ac:dyDescent="0.2">
      <c r="A733" s="3">
        <v>730</v>
      </c>
      <c r="B733" s="3">
        <v>5.5499999999999998E-7</v>
      </c>
      <c r="C733" s="2">
        <v>3.8059999999999997E-2</v>
      </c>
      <c r="D733" s="3">
        <v>253000</v>
      </c>
      <c r="E733" s="3">
        <v>115000000000</v>
      </c>
      <c r="F733" s="3">
        <v>104000000000</v>
      </c>
      <c r="G733" s="3">
        <v>8780000000</v>
      </c>
      <c r="H733" s="3">
        <v>9310000000</v>
      </c>
      <c r="I733" s="2">
        <v>8.4290000000000004E-2</v>
      </c>
      <c r="J733" s="3">
        <v>5.93E-13</v>
      </c>
    </row>
    <row r="734" spans="1:10" x14ac:dyDescent="0.2">
      <c r="A734" s="3">
        <v>730</v>
      </c>
      <c r="B734" s="3">
        <v>5.5599999999999995E-7</v>
      </c>
      <c r="C734" s="2">
        <v>3.8109999999999998E-2</v>
      </c>
      <c r="D734" s="3">
        <v>233000</v>
      </c>
      <c r="E734" s="3">
        <v>106000000000</v>
      </c>
      <c r="F734" s="3">
        <v>96800000000</v>
      </c>
      <c r="G734" s="2">
        <v>0</v>
      </c>
      <c r="H734" s="3">
        <v>9520000000</v>
      </c>
      <c r="I734" s="2">
        <v>-1.9009999999999999E-3</v>
      </c>
      <c r="J734" s="3">
        <v>7.0100000000000004E-13</v>
      </c>
    </row>
    <row r="735" spans="1:10" x14ac:dyDescent="0.2">
      <c r="A735" s="3">
        <v>730</v>
      </c>
      <c r="B735" s="3">
        <v>5.5599999999999995E-7</v>
      </c>
      <c r="C735" s="2">
        <v>3.8159999999999999E-2</v>
      </c>
      <c r="D735" s="3">
        <v>223000</v>
      </c>
      <c r="E735" s="3">
        <v>102000000000</v>
      </c>
      <c r="F735" s="3">
        <v>93300000000</v>
      </c>
      <c r="G735" s="3">
        <v>9590000000</v>
      </c>
      <c r="H735" s="3">
        <v>9650000000</v>
      </c>
      <c r="I735" s="2">
        <v>0.1027</v>
      </c>
      <c r="J735" s="3">
        <v>7.6499999999999997E-13</v>
      </c>
    </row>
    <row r="736" spans="1:10" x14ac:dyDescent="0.2">
      <c r="A736" s="3">
        <v>730</v>
      </c>
      <c r="B736" s="3">
        <v>5.5700000000000002E-7</v>
      </c>
      <c r="C736" s="2">
        <v>3.8210000000000001E-2</v>
      </c>
      <c r="D736" s="3">
        <v>218000</v>
      </c>
      <c r="E736" s="3">
        <v>99800000000</v>
      </c>
      <c r="F736" s="3">
        <v>91300000000</v>
      </c>
      <c r="G736" s="2">
        <v>0</v>
      </c>
      <c r="H736" s="3">
        <v>9720000000</v>
      </c>
      <c r="I736" s="2">
        <v>-5.4420000000000003E-2</v>
      </c>
      <c r="J736" s="3">
        <v>8.05E-13</v>
      </c>
    </row>
    <row r="737" spans="1:10" x14ac:dyDescent="0.2">
      <c r="A737" s="3">
        <v>740</v>
      </c>
      <c r="B737" s="3">
        <v>5.5799999999999999E-7</v>
      </c>
      <c r="C737" s="2">
        <v>3.8260000000000002E-2</v>
      </c>
      <c r="D737" s="3">
        <v>215000</v>
      </c>
      <c r="E737" s="3">
        <v>98600000000</v>
      </c>
      <c r="F737" s="3">
        <v>90300000000</v>
      </c>
      <c r="G737" s="2">
        <v>0</v>
      </c>
      <c r="H737" s="3">
        <v>9750000000</v>
      </c>
      <c r="I737" s="2">
        <v>-5.4190000000000002E-2</v>
      </c>
      <c r="J737" s="3">
        <v>8.2400000000000002E-13</v>
      </c>
    </row>
    <row r="738" spans="1:10" x14ac:dyDescent="0.2">
      <c r="A738" s="3">
        <v>740</v>
      </c>
      <c r="B738" s="3">
        <v>5.5899999999999996E-7</v>
      </c>
      <c r="C738" s="2">
        <v>3.832E-2</v>
      </c>
      <c r="D738" s="3">
        <v>217000</v>
      </c>
      <c r="E738" s="3">
        <v>99300000000</v>
      </c>
      <c r="F738" s="3">
        <v>90900000000</v>
      </c>
      <c r="G738" s="2">
        <v>0</v>
      </c>
      <c r="H738" s="3">
        <v>9720000000</v>
      </c>
      <c r="I738" s="2">
        <v>-2.1299999999999999E-2</v>
      </c>
      <c r="J738" s="3">
        <v>8.1199999999999997E-13</v>
      </c>
    </row>
    <row r="739" spans="1:10" x14ac:dyDescent="0.2">
      <c r="A739" s="3">
        <v>740</v>
      </c>
      <c r="B739" s="3">
        <v>5.6000000000000004E-7</v>
      </c>
      <c r="C739" s="2">
        <v>3.8370000000000001E-2</v>
      </c>
      <c r="D739" s="3">
        <v>214000</v>
      </c>
      <c r="E739" s="3">
        <v>97800000000</v>
      </c>
      <c r="F739" s="3">
        <v>89700000000</v>
      </c>
      <c r="G739" s="3">
        <v>6150000000</v>
      </c>
      <c r="H739" s="3">
        <v>9760000000</v>
      </c>
      <c r="I739" s="2">
        <v>6.855E-2</v>
      </c>
      <c r="J739" s="3">
        <v>8.3799999999999996E-13</v>
      </c>
    </row>
    <row r="740" spans="1:10" x14ac:dyDescent="0.2">
      <c r="A740" s="3">
        <v>740</v>
      </c>
      <c r="B740" s="3">
        <v>5.6100000000000001E-7</v>
      </c>
      <c r="C740" s="2">
        <v>3.8420000000000003E-2</v>
      </c>
      <c r="D740" s="3">
        <v>230000</v>
      </c>
      <c r="E740" s="3">
        <v>105000000000</v>
      </c>
      <c r="F740" s="3">
        <v>95400000000</v>
      </c>
      <c r="G740" s="2">
        <v>0</v>
      </c>
      <c r="H740" s="3">
        <v>9550000000</v>
      </c>
      <c r="I740" s="2">
        <v>-1.3100000000000001E-2</v>
      </c>
      <c r="J740" s="3">
        <v>7.2500000000000004E-13</v>
      </c>
    </row>
    <row r="741" spans="1:10" x14ac:dyDescent="0.2">
      <c r="A741" s="3">
        <v>740</v>
      </c>
      <c r="B741" s="3">
        <v>5.6100000000000001E-7</v>
      </c>
      <c r="C741" s="2">
        <v>3.8469999999999997E-2</v>
      </c>
      <c r="D741" s="3">
        <v>218000</v>
      </c>
      <c r="E741" s="3">
        <v>99200000000</v>
      </c>
      <c r="F741" s="3">
        <v>90800000000</v>
      </c>
      <c r="G741" s="2">
        <v>0</v>
      </c>
      <c r="H741" s="3">
        <v>9700000000</v>
      </c>
      <c r="I741" s="2">
        <v>-4.453E-2</v>
      </c>
      <c r="J741" s="3">
        <v>8.1199999999999997E-13</v>
      </c>
    </row>
    <row r="742" spans="1:10" x14ac:dyDescent="0.2">
      <c r="A742" s="3">
        <v>740</v>
      </c>
      <c r="B742" s="3">
        <v>5.6199999999999998E-7</v>
      </c>
      <c r="C742" s="2">
        <v>3.8530000000000002E-2</v>
      </c>
      <c r="D742" s="3">
        <v>225000</v>
      </c>
      <c r="E742" s="3">
        <v>102000000000</v>
      </c>
      <c r="F742" s="3">
        <v>93300000000</v>
      </c>
      <c r="G742" s="3">
        <v>9610000000</v>
      </c>
      <c r="H742" s="3">
        <v>9620000000</v>
      </c>
      <c r="I742" s="2">
        <v>0.10299999999999999</v>
      </c>
      <c r="J742" s="3">
        <v>7.6299999999999998E-13</v>
      </c>
    </row>
    <row r="743" spans="1:10" x14ac:dyDescent="0.2">
      <c r="A743" s="3">
        <v>740</v>
      </c>
      <c r="B743" s="3">
        <v>5.6300000000000005E-7</v>
      </c>
      <c r="C743" s="2">
        <v>3.8580000000000003E-2</v>
      </c>
      <c r="D743" s="3">
        <v>205000</v>
      </c>
      <c r="E743" s="3">
        <v>93700000000</v>
      </c>
      <c r="F743" s="3">
        <v>86200000000</v>
      </c>
      <c r="G743" s="3">
        <v>11800000000</v>
      </c>
      <c r="H743" s="3">
        <v>9890000000</v>
      </c>
      <c r="I743" s="2">
        <v>0.13739999999999999</v>
      </c>
      <c r="J743" s="3">
        <v>9.1900000000000002E-13</v>
      </c>
    </row>
    <row r="744" spans="1:10" x14ac:dyDescent="0.2">
      <c r="A744" s="3">
        <v>740</v>
      </c>
      <c r="B744" s="3">
        <v>5.6400000000000002E-7</v>
      </c>
      <c r="C744" s="2">
        <v>3.8629999999999998E-2</v>
      </c>
      <c r="D744" s="3">
        <v>200000</v>
      </c>
      <c r="E744" s="3">
        <v>91400000000</v>
      </c>
      <c r="F744" s="3">
        <v>84300000000</v>
      </c>
      <c r="G744" s="3">
        <v>6200000000</v>
      </c>
      <c r="H744" s="3">
        <v>9980000000</v>
      </c>
      <c r="I744" s="2">
        <v>7.3630000000000001E-2</v>
      </c>
      <c r="J744" s="3">
        <v>9.6999999999999991E-13</v>
      </c>
    </row>
    <row r="745" spans="1:10" x14ac:dyDescent="0.2">
      <c r="A745" s="3">
        <v>740</v>
      </c>
      <c r="B745" s="3">
        <v>5.6400000000000002E-7</v>
      </c>
      <c r="C745" s="2">
        <v>3.8679999999999999E-2</v>
      </c>
      <c r="D745" s="3">
        <v>235000</v>
      </c>
      <c r="E745" s="3">
        <v>106000000000</v>
      </c>
      <c r="F745" s="3">
        <v>96900000000</v>
      </c>
      <c r="G745" s="2">
        <v>0</v>
      </c>
      <c r="H745" s="3">
        <v>9490000000</v>
      </c>
      <c r="I745" s="2">
        <v>-0.1057</v>
      </c>
      <c r="J745" s="3">
        <v>6.9799999999999995E-13</v>
      </c>
    </row>
    <row r="746" spans="1:10" x14ac:dyDescent="0.2">
      <c r="A746" s="3">
        <v>740</v>
      </c>
      <c r="B746" s="3">
        <v>5.6499999999999999E-7</v>
      </c>
      <c r="C746" s="2">
        <v>3.8730000000000001E-2</v>
      </c>
      <c r="D746" s="3">
        <v>225000</v>
      </c>
      <c r="E746" s="3">
        <v>102000000000</v>
      </c>
      <c r="F746" s="3">
        <v>93100000000</v>
      </c>
      <c r="G746" s="3">
        <v>7890000000</v>
      </c>
      <c r="H746" s="3">
        <v>9620000000</v>
      </c>
      <c r="I746" s="2">
        <v>8.4750000000000006E-2</v>
      </c>
      <c r="J746" s="3">
        <v>7.6599999999999997E-13</v>
      </c>
    </row>
    <row r="747" spans="1:10" x14ac:dyDescent="0.2">
      <c r="A747" s="3">
        <v>750</v>
      </c>
      <c r="B747" s="3">
        <v>5.6599999999999996E-7</v>
      </c>
      <c r="C747" s="2">
        <v>3.8789999999999998E-2</v>
      </c>
      <c r="D747" s="3">
        <v>212000</v>
      </c>
      <c r="E747" s="3">
        <v>96300000000</v>
      </c>
      <c r="F747" s="3">
        <v>88400000000</v>
      </c>
      <c r="G747" s="3">
        <v>4810000000</v>
      </c>
      <c r="H747" s="3">
        <v>9790000000</v>
      </c>
      <c r="I747" s="2">
        <v>5.441E-2</v>
      </c>
      <c r="J747" s="3">
        <v>8.6500000000000005E-13</v>
      </c>
    </row>
    <row r="748" spans="1:10" x14ac:dyDescent="0.2">
      <c r="A748" s="3">
        <v>750</v>
      </c>
      <c r="B748" s="3">
        <v>5.6599999999999996E-7</v>
      </c>
      <c r="C748" s="2">
        <v>3.884E-2</v>
      </c>
      <c r="D748" s="3">
        <v>207000</v>
      </c>
      <c r="E748" s="3">
        <v>94400000000</v>
      </c>
      <c r="F748" s="3">
        <v>86800000000</v>
      </c>
      <c r="G748" s="3">
        <v>8440000000</v>
      </c>
      <c r="H748" s="3">
        <v>9870000000</v>
      </c>
      <c r="I748" s="2">
        <v>9.7269999999999995E-2</v>
      </c>
      <c r="J748" s="3">
        <v>9.0499999999999998E-13</v>
      </c>
    </row>
    <row r="749" spans="1:10" x14ac:dyDescent="0.2">
      <c r="A749" s="3">
        <v>750</v>
      </c>
      <c r="B749" s="3">
        <v>5.68E-7</v>
      </c>
      <c r="C749" s="2">
        <v>3.8890000000000001E-2</v>
      </c>
      <c r="D749" s="3">
        <v>214000</v>
      </c>
      <c r="E749" s="3">
        <v>97100000000</v>
      </c>
      <c r="F749" s="3">
        <v>89100000000</v>
      </c>
      <c r="G749" s="3">
        <v>8460000000</v>
      </c>
      <c r="H749" s="3">
        <v>9750000000</v>
      </c>
      <c r="I749" s="2">
        <v>9.4979999999999995E-2</v>
      </c>
      <c r="J749" s="3">
        <v>8.4900000000000002E-13</v>
      </c>
    </row>
    <row r="750" spans="1:10" x14ac:dyDescent="0.2">
      <c r="A750" s="3">
        <v>750</v>
      </c>
      <c r="B750" s="3">
        <v>5.68E-7</v>
      </c>
      <c r="C750" s="2">
        <v>3.8940000000000002E-2</v>
      </c>
      <c r="D750" s="3">
        <v>207000</v>
      </c>
      <c r="E750" s="3">
        <v>94200000000</v>
      </c>
      <c r="F750" s="3">
        <v>86600000000</v>
      </c>
      <c r="G750" s="3">
        <v>20400000000</v>
      </c>
      <c r="H750" s="3">
        <v>9860000000</v>
      </c>
      <c r="I750" s="2">
        <v>0.23580000000000001</v>
      </c>
      <c r="J750" s="3">
        <v>9.0799999999999997E-13</v>
      </c>
    </row>
    <row r="751" spans="1:10" x14ac:dyDescent="0.2">
      <c r="A751" s="3">
        <v>750</v>
      </c>
      <c r="B751" s="3">
        <v>5.68E-7</v>
      </c>
      <c r="C751" s="2">
        <v>3.8989999999999997E-2</v>
      </c>
      <c r="D751" s="3">
        <v>218000</v>
      </c>
      <c r="E751" s="3">
        <v>98600000000</v>
      </c>
      <c r="F751" s="3">
        <v>90400000000</v>
      </c>
      <c r="G751" s="2">
        <v>0</v>
      </c>
      <c r="H751" s="3">
        <v>9710000000</v>
      </c>
      <c r="I751" s="2">
        <v>-9.7780000000000002E-3</v>
      </c>
      <c r="J751" s="3">
        <v>8.2100000000000004E-13</v>
      </c>
    </row>
    <row r="752" spans="1:10" x14ac:dyDescent="0.2">
      <c r="A752" s="3">
        <v>750</v>
      </c>
      <c r="B752" s="3">
        <v>5.6899999999999997E-7</v>
      </c>
      <c r="C752" s="2">
        <v>3.9050000000000001E-2</v>
      </c>
      <c r="D752" s="3">
        <v>207000</v>
      </c>
      <c r="E752" s="3">
        <v>94100000000</v>
      </c>
      <c r="F752" s="3">
        <v>86600000000</v>
      </c>
      <c r="G752" s="3">
        <v>1920000000</v>
      </c>
      <c r="H752" s="3">
        <v>9870000000</v>
      </c>
      <c r="I752" s="2">
        <v>2.2120000000000001E-2</v>
      </c>
      <c r="J752" s="3">
        <v>9.0999999999999996E-13</v>
      </c>
    </row>
    <row r="753" spans="1:10" x14ac:dyDescent="0.2">
      <c r="A753" s="3">
        <v>750</v>
      </c>
      <c r="B753" s="3">
        <v>5.7000000000000005E-7</v>
      </c>
      <c r="C753" s="2">
        <v>3.9100000000000003E-2</v>
      </c>
      <c r="D753" s="3">
        <v>224000</v>
      </c>
      <c r="E753" s="3">
        <v>101000000000</v>
      </c>
      <c r="F753" s="3">
        <v>92600000000</v>
      </c>
      <c r="G753" s="3">
        <v>8620000000</v>
      </c>
      <c r="H753" s="3">
        <v>9640000000</v>
      </c>
      <c r="I753" s="2">
        <v>9.3119999999999994E-2</v>
      </c>
      <c r="J753" s="3">
        <v>7.7700000000000002E-13</v>
      </c>
    </row>
    <row r="754" spans="1:10" x14ac:dyDescent="0.2">
      <c r="A754" s="3">
        <v>750</v>
      </c>
      <c r="B754" s="3">
        <v>5.7000000000000005E-7</v>
      </c>
      <c r="C754" s="2">
        <v>3.9149999999999997E-2</v>
      </c>
      <c r="D754" s="3">
        <v>232000</v>
      </c>
      <c r="E754" s="3">
        <v>105000000000</v>
      </c>
      <c r="F754" s="3">
        <v>95200000000</v>
      </c>
      <c r="G754" s="3">
        <v>8640000000</v>
      </c>
      <c r="H754" s="3">
        <v>9540000000</v>
      </c>
      <c r="I754" s="2">
        <v>9.0700000000000003E-2</v>
      </c>
      <c r="J754" s="3">
        <v>7.2700000000000003E-13</v>
      </c>
    </row>
    <row r="755" spans="1:10" x14ac:dyDescent="0.2">
      <c r="A755" s="3">
        <v>750</v>
      </c>
      <c r="B755" s="3">
        <v>5.7100000000000002E-7</v>
      </c>
      <c r="C755" s="2">
        <v>3.9199999999999999E-2</v>
      </c>
      <c r="D755" s="3">
        <v>212000</v>
      </c>
      <c r="E755" s="3">
        <v>96100000000</v>
      </c>
      <c r="F755" s="3">
        <v>88200000000</v>
      </c>
      <c r="G755" s="3">
        <v>2220000000</v>
      </c>
      <c r="H755" s="3">
        <v>9810000000</v>
      </c>
      <c r="I755" s="2">
        <v>2.521E-2</v>
      </c>
      <c r="J755" s="3">
        <v>8.7000000000000003E-13</v>
      </c>
    </row>
    <row r="756" spans="1:10" x14ac:dyDescent="0.2">
      <c r="A756" s="3">
        <v>750</v>
      </c>
      <c r="B756" s="3">
        <v>5.7199999999999999E-7</v>
      </c>
      <c r="C756" s="2">
        <v>3.925E-2</v>
      </c>
      <c r="D756" s="3">
        <v>236000</v>
      </c>
      <c r="E756" s="3">
        <v>106000000000</v>
      </c>
      <c r="F756" s="3">
        <v>96600000000</v>
      </c>
      <c r="G756" s="2">
        <v>0</v>
      </c>
      <c r="H756" s="3">
        <v>9500000000</v>
      </c>
      <c r="I756" s="2">
        <v>-2.1160000000000002E-2</v>
      </c>
      <c r="J756" s="3">
        <v>7.0300000000000003E-13</v>
      </c>
    </row>
    <row r="757" spans="1:10" x14ac:dyDescent="0.2">
      <c r="A757" s="3">
        <v>760</v>
      </c>
      <c r="B757" s="3">
        <v>5.7199999999999999E-7</v>
      </c>
      <c r="C757" s="2">
        <v>3.9309999999999998E-2</v>
      </c>
      <c r="D757" s="3">
        <v>241000</v>
      </c>
      <c r="E757" s="3">
        <v>108000000000</v>
      </c>
      <c r="F757" s="3">
        <v>98200000000</v>
      </c>
      <c r="G757" s="3">
        <v>11200000000</v>
      </c>
      <c r="H757" s="3">
        <v>9460000000</v>
      </c>
      <c r="I757" s="2">
        <v>0.1144</v>
      </c>
      <c r="J757" s="3">
        <v>6.7600000000000005E-13</v>
      </c>
    </row>
    <row r="758" spans="1:10" x14ac:dyDescent="0.2">
      <c r="A758" s="3">
        <v>760</v>
      </c>
      <c r="B758" s="3">
        <v>5.7299999999999996E-7</v>
      </c>
      <c r="C758" s="2">
        <v>3.9359999999999999E-2</v>
      </c>
      <c r="D758" s="3">
        <v>218000</v>
      </c>
      <c r="E758" s="3">
        <v>98100000000</v>
      </c>
      <c r="F758" s="3">
        <v>89900000000</v>
      </c>
      <c r="G758" s="2">
        <v>0</v>
      </c>
      <c r="H758" s="3">
        <v>9740000000</v>
      </c>
      <c r="I758" s="2">
        <v>-1.6979999999999999E-2</v>
      </c>
      <c r="J758" s="3">
        <v>8.3199999999999999E-13</v>
      </c>
    </row>
    <row r="759" spans="1:10" x14ac:dyDescent="0.2">
      <c r="A759" s="3">
        <v>760</v>
      </c>
      <c r="B759" s="3">
        <v>5.7400000000000003E-7</v>
      </c>
      <c r="C759" s="2">
        <v>3.9410000000000001E-2</v>
      </c>
      <c r="D759" s="3">
        <v>233000</v>
      </c>
      <c r="E759" s="3">
        <v>104000000000</v>
      </c>
      <c r="F759" s="3">
        <v>95200000000</v>
      </c>
      <c r="G759" s="2">
        <v>0</v>
      </c>
      <c r="H759" s="3">
        <v>9550000000</v>
      </c>
      <c r="I759" s="2">
        <v>-5.0380000000000001E-2</v>
      </c>
      <c r="J759" s="3">
        <v>7.2800000000000003E-13</v>
      </c>
    </row>
    <row r="760" spans="1:10" x14ac:dyDescent="0.2">
      <c r="A760" s="3">
        <v>760</v>
      </c>
      <c r="B760" s="3">
        <v>5.75E-7</v>
      </c>
      <c r="C760" s="2">
        <v>3.9460000000000002E-2</v>
      </c>
      <c r="D760" s="3">
        <v>214000</v>
      </c>
      <c r="E760" s="3">
        <v>96500000000</v>
      </c>
      <c r="F760" s="3">
        <v>88500000000</v>
      </c>
      <c r="G760" s="3">
        <v>5760000000</v>
      </c>
      <c r="H760" s="3">
        <v>9780000000</v>
      </c>
      <c r="I760" s="2">
        <v>6.5040000000000001E-2</v>
      </c>
      <c r="J760" s="3">
        <v>8.6099999999999997E-13</v>
      </c>
    </row>
    <row r="761" spans="1:10" x14ac:dyDescent="0.2">
      <c r="A761" s="3">
        <v>760</v>
      </c>
      <c r="B761" s="3">
        <v>5.75E-7</v>
      </c>
      <c r="C761" s="2">
        <v>3.9510000000000003E-2</v>
      </c>
      <c r="D761" s="3">
        <v>234000</v>
      </c>
      <c r="E761" s="3">
        <v>105000000000</v>
      </c>
      <c r="F761" s="3">
        <v>95300000000</v>
      </c>
      <c r="G761" s="3">
        <v>7260000000</v>
      </c>
      <c r="H761" s="3">
        <v>9540000000</v>
      </c>
      <c r="I761" s="2">
        <v>7.6179999999999998E-2</v>
      </c>
      <c r="J761" s="3">
        <v>7.2500000000000004E-13</v>
      </c>
    </row>
    <row r="762" spans="1:10" x14ac:dyDescent="0.2">
      <c r="A762" s="3">
        <v>760</v>
      </c>
      <c r="B762" s="3">
        <v>5.7599999999999997E-7</v>
      </c>
      <c r="C762" s="2">
        <v>3.9570000000000001E-2</v>
      </c>
      <c r="D762" s="3">
        <v>222000</v>
      </c>
      <c r="E762" s="3">
        <v>99700000000</v>
      </c>
      <c r="F762" s="3">
        <v>91300000000</v>
      </c>
      <c r="G762" s="3">
        <v>2670000000</v>
      </c>
      <c r="H762" s="3">
        <v>9690000000</v>
      </c>
      <c r="I762" s="2">
        <v>2.9270000000000001E-2</v>
      </c>
      <c r="J762" s="3">
        <v>8.0300000000000001E-13</v>
      </c>
    </row>
    <row r="763" spans="1:10" x14ac:dyDescent="0.2">
      <c r="A763" s="3">
        <v>760</v>
      </c>
      <c r="B763" s="3">
        <v>5.7599999999999997E-7</v>
      </c>
      <c r="C763" s="2">
        <v>3.9620000000000002E-2</v>
      </c>
      <c r="D763" s="3">
        <v>235000</v>
      </c>
      <c r="E763" s="3">
        <v>105000000000</v>
      </c>
      <c r="F763" s="3">
        <v>95900000000</v>
      </c>
      <c r="G763" s="2">
        <v>0</v>
      </c>
      <c r="H763" s="3">
        <v>9530000000</v>
      </c>
      <c r="I763" s="2">
        <v>-3.6760000000000001E-2</v>
      </c>
      <c r="J763" s="3">
        <v>7.1499999999999998E-13</v>
      </c>
    </row>
    <row r="764" spans="1:10" x14ac:dyDescent="0.2">
      <c r="A764" s="3">
        <v>760</v>
      </c>
      <c r="B764" s="3">
        <v>5.7700000000000004E-7</v>
      </c>
      <c r="C764" s="2">
        <v>3.9669999999999997E-2</v>
      </c>
      <c r="D764" s="3">
        <v>236000</v>
      </c>
      <c r="E764" s="3">
        <v>105000000000</v>
      </c>
      <c r="F764" s="3">
        <v>95900000000</v>
      </c>
      <c r="G764" s="3">
        <v>4570000000</v>
      </c>
      <c r="H764" s="3">
        <v>9540000000</v>
      </c>
      <c r="I764" s="2">
        <v>4.7629999999999999E-2</v>
      </c>
      <c r="J764" s="3">
        <v>7.1499999999999998E-13</v>
      </c>
    </row>
    <row r="765" spans="1:10" x14ac:dyDescent="0.2">
      <c r="A765" s="3">
        <v>760</v>
      </c>
      <c r="B765" s="3">
        <v>5.7800000000000001E-7</v>
      </c>
      <c r="C765" s="2">
        <v>3.9719999999999998E-2</v>
      </c>
      <c r="D765" s="3">
        <v>239000</v>
      </c>
      <c r="E765" s="3">
        <v>107000000000</v>
      </c>
      <c r="F765" s="3">
        <v>97000000000</v>
      </c>
      <c r="G765" s="3">
        <v>7190000000</v>
      </c>
      <c r="H765" s="3">
        <v>9500000000</v>
      </c>
      <c r="I765" s="2">
        <v>7.4120000000000005E-2</v>
      </c>
      <c r="J765" s="3">
        <v>6.9699999999999996E-13</v>
      </c>
    </row>
    <row r="766" spans="1:10" x14ac:dyDescent="0.2">
      <c r="A766" s="3">
        <v>760</v>
      </c>
      <c r="B766" s="3">
        <v>5.7800000000000001E-7</v>
      </c>
      <c r="C766" s="2">
        <v>3.9780000000000003E-2</v>
      </c>
      <c r="D766" s="3">
        <v>208000</v>
      </c>
      <c r="E766" s="3">
        <v>93700000000</v>
      </c>
      <c r="F766" s="3">
        <v>86200000000</v>
      </c>
      <c r="G766" s="2">
        <v>0</v>
      </c>
      <c r="H766" s="3">
        <v>9910000000</v>
      </c>
      <c r="I766" s="2">
        <v>-7.2129999999999998E-3</v>
      </c>
      <c r="J766" s="3">
        <v>9.2199999999999991E-13</v>
      </c>
    </row>
    <row r="767" spans="1:10" x14ac:dyDescent="0.2">
      <c r="A767" s="3">
        <v>770</v>
      </c>
      <c r="B767" s="3">
        <v>5.7899999999999998E-7</v>
      </c>
      <c r="C767" s="2">
        <v>3.9829999999999997E-2</v>
      </c>
      <c r="D767" s="3">
        <v>232000</v>
      </c>
      <c r="E767" s="3">
        <v>104000000000</v>
      </c>
      <c r="F767" s="3">
        <v>94400000000</v>
      </c>
      <c r="G767" s="3">
        <v>8920000000</v>
      </c>
      <c r="H767" s="3">
        <v>9590000000</v>
      </c>
      <c r="I767" s="2">
        <v>9.4509999999999997E-2</v>
      </c>
      <c r="J767" s="3">
        <v>7.4199999999999997E-13</v>
      </c>
    </row>
    <row r="768" spans="1:10" x14ac:dyDescent="0.2">
      <c r="A768" s="3">
        <v>770</v>
      </c>
      <c r="B768" s="3">
        <v>5.7899999999999998E-7</v>
      </c>
      <c r="C768" s="2">
        <v>3.9879999999999999E-2</v>
      </c>
      <c r="D768" s="3">
        <v>230000</v>
      </c>
      <c r="E768" s="3">
        <v>103000000000</v>
      </c>
      <c r="F768" s="3">
        <v>93700000000</v>
      </c>
      <c r="G768" s="3">
        <v>1200000000</v>
      </c>
      <c r="H768" s="3">
        <v>9610000000</v>
      </c>
      <c r="I768" s="2">
        <v>1.277E-2</v>
      </c>
      <c r="J768" s="3">
        <v>7.5700000000000001E-13</v>
      </c>
    </row>
    <row r="769" spans="1:10" x14ac:dyDescent="0.2">
      <c r="A769" s="3">
        <v>770</v>
      </c>
      <c r="B769" s="3">
        <v>5.7999999999999995E-7</v>
      </c>
      <c r="C769" s="2">
        <v>3.993E-2</v>
      </c>
      <c r="D769" s="3">
        <v>257000</v>
      </c>
      <c r="E769" s="3">
        <v>114000000000</v>
      </c>
      <c r="F769" s="3">
        <v>103000000000</v>
      </c>
      <c r="G769" s="3">
        <v>3220000000</v>
      </c>
      <c r="H769" s="3">
        <v>9330000000</v>
      </c>
      <c r="I769" s="2">
        <v>3.1210000000000002E-2</v>
      </c>
      <c r="J769" s="3">
        <v>6.0600000000000004E-13</v>
      </c>
    </row>
    <row r="770" spans="1:10" x14ac:dyDescent="0.2">
      <c r="A770" s="3">
        <v>770</v>
      </c>
      <c r="B770" s="3">
        <v>5.7999999999999995E-7</v>
      </c>
      <c r="C770" s="2">
        <v>3.9980000000000002E-2</v>
      </c>
      <c r="D770" s="3">
        <v>259000</v>
      </c>
      <c r="E770" s="3">
        <v>115000000000</v>
      </c>
      <c r="F770" s="3">
        <v>104000000000</v>
      </c>
      <c r="G770" s="3">
        <v>4920000000</v>
      </c>
      <c r="H770" s="3">
        <v>9320000000</v>
      </c>
      <c r="I770" s="2">
        <v>4.7379999999999999E-2</v>
      </c>
      <c r="J770" s="3">
        <v>5.9599999999999998E-13</v>
      </c>
    </row>
    <row r="771" spans="1:10" x14ac:dyDescent="0.2">
      <c r="A771" s="3">
        <v>770</v>
      </c>
      <c r="B771" s="3">
        <v>5.8100000000000003E-7</v>
      </c>
      <c r="C771" s="2">
        <v>4.0039999999999999E-2</v>
      </c>
      <c r="D771" s="3">
        <v>218000</v>
      </c>
      <c r="E771" s="3">
        <v>97400000000</v>
      </c>
      <c r="F771" s="3">
        <v>89300000000</v>
      </c>
      <c r="G771" s="3">
        <v>2900000000</v>
      </c>
      <c r="H771" s="3">
        <v>9770000000</v>
      </c>
      <c r="I771" s="2">
        <v>3.245E-2</v>
      </c>
      <c r="J771" s="3">
        <v>8.4600000000000003E-13</v>
      </c>
    </row>
    <row r="772" spans="1:10" x14ac:dyDescent="0.2">
      <c r="A772" s="3">
        <v>770</v>
      </c>
      <c r="B772" s="3">
        <v>5.82E-7</v>
      </c>
      <c r="C772" s="2">
        <v>4.0090000000000001E-2</v>
      </c>
      <c r="D772" s="3">
        <v>245000</v>
      </c>
      <c r="E772" s="3">
        <v>109000000000</v>
      </c>
      <c r="F772" s="3">
        <v>98900000000</v>
      </c>
      <c r="G772" s="3">
        <v>9220000000</v>
      </c>
      <c r="H772" s="3">
        <v>9450000000</v>
      </c>
      <c r="I772" s="2">
        <v>9.3170000000000003E-2</v>
      </c>
      <c r="J772" s="3">
        <v>6.6699999999999999E-13</v>
      </c>
    </row>
    <row r="773" spans="1:10" x14ac:dyDescent="0.2">
      <c r="A773" s="3">
        <v>770</v>
      </c>
      <c r="B773" s="3">
        <v>5.8299999999999997E-7</v>
      </c>
      <c r="C773" s="2">
        <v>4.0140000000000002E-2</v>
      </c>
      <c r="D773" s="3">
        <v>235000</v>
      </c>
      <c r="E773" s="3">
        <v>105000000000</v>
      </c>
      <c r="F773" s="3">
        <v>95300000000</v>
      </c>
      <c r="G773" s="3">
        <v>4600000000</v>
      </c>
      <c r="H773" s="3">
        <v>9550000000</v>
      </c>
      <c r="I773" s="2">
        <v>4.8280000000000003E-2</v>
      </c>
      <c r="J773" s="3">
        <v>7.2600000000000004E-13</v>
      </c>
    </row>
    <row r="774" spans="1:10" x14ac:dyDescent="0.2">
      <c r="A774" s="3">
        <v>770</v>
      </c>
      <c r="B774" s="3">
        <v>5.8299999999999997E-7</v>
      </c>
      <c r="C774" s="2">
        <v>4.0189999999999997E-2</v>
      </c>
      <c r="D774" s="3">
        <v>238000</v>
      </c>
      <c r="E774" s="3">
        <v>106000000000</v>
      </c>
      <c r="F774" s="3">
        <v>96400000000</v>
      </c>
      <c r="G774" s="3">
        <v>8140000000</v>
      </c>
      <c r="H774" s="3">
        <v>9530000000</v>
      </c>
      <c r="I774" s="2">
        <v>8.4449999999999997E-2</v>
      </c>
      <c r="J774" s="3">
        <v>7.0800000000000001E-13</v>
      </c>
    </row>
    <row r="775" spans="1:10" x14ac:dyDescent="0.2">
      <c r="A775" s="3">
        <v>770</v>
      </c>
      <c r="B775" s="3">
        <v>5.8400000000000004E-7</v>
      </c>
      <c r="C775" s="2">
        <v>4.0239999999999998E-2</v>
      </c>
      <c r="D775" s="3">
        <v>231000</v>
      </c>
      <c r="E775" s="3">
        <v>103000000000</v>
      </c>
      <c r="F775" s="3">
        <v>93900000000</v>
      </c>
      <c r="G775" s="3">
        <v>6270000000</v>
      </c>
      <c r="H775" s="3">
        <v>9610000000</v>
      </c>
      <c r="I775" s="2">
        <v>6.6830000000000001E-2</v>
      </c>
      <c r="J775" s="3">
        <v>7.5300000000000002E-13</v>
      </c>
    </row>
    <row r="776" spans="1:10" x14ac:dyDescent="0.2">
      <c r="A776" s="3">
        <v>770</v>
      </c>
      <c r="B776" s="3">
        <v>5.8500000000000001E-7</v>
      </c>
      <c r="C776" s="2">
        <v>4.0300000000000002E-2</v>
      </c>
      <c r="D776" s="3">
        <v>202000</v>
      </c>
      <c r="E776" s="3">
        <v>90900000000</v>
      </c>
      <c r="F776" s="3">
        <v>83800000000</v>
      </c>
      <c r="G776" s="3">
        <v>12100000000</v>
      </c>
      <c r="H776" s="3">
        <v>10000000000</v>
      </c>
      <c r="I776" s="2">
        <v>0.14380000000000001</v>
      </c>
      <c r="J776" s="3">
        <v>9.8499999999999994E-13</v>
      </c>
    </row>
    <row r="777" spans="1:10" x14ac:dyDescent="0.2">
      <c r="A777" s="3">
        <v>780</v>
      </c>
      <c r="B777" s="3">
        <v>5.8500000000000001E-7</v>
      </c>
      <c r="C777" s="2">
        <v>4.0349999999999997E-2</v>
      </c>
      <c r="D777" s="3">
        <v>247000</v>
      </c>
      <c r="E777" s="3">
        <v>110000000000</v>
      </c>
      <c r="F777" s="3">
        <v>99400000000</v>
      </c>
      <c r="G777" s="3">
        <v>9930000000</v>
      </c>
      <c r="H777" s="3">
        <v>9440000000</v>
      </c>
      <c r="I777" s="2">
        <v>9.9930000000000005E-2</v>
      </c>
      <c r="J777" s="3">
        <v>6.6000000000000001E-13</v>
      </c>
    </row>
    <row r="778" spans="1:10" x14ac:dyDescent="0.2">
      <c r="A778" s="3">
        <v>780</v>
      </c>
      <c r="B778" s="3">
        <v>5.8500000000000001E-7</v>
      </c>
      <c r="C778" s="2">
        <v>4.0399999999999998E-2</v>
      </c>
      <c r="D778" s="3">
        <v>222000</v>
      </c>
      <c r="E778" s="3">
        <v>98800000000</v>
      </c>
      <c r="F778" s="3">
        <v>90500000000</v>
      </c>
      <c r="G778" s="3">
        <v>8490000000</v>
      </c>
      <c r="H778" s="3">
        <v>9740000000</v>
      </c>
      <c r="I778" s="2">
        <v>9.3880000000000005E-2</v>
      </c>
      <c r="J778" s="3">
        <v>8.2200000000000003E-13</v>
      </c>
    </row>
    <row r="779" spans="1:10" x14ac:dyDescent="0.2">
      <c r="A779" s="3">
        <v>780</v>
      </c>
      <c r="B779" s="3">
        <v>5.8599999999999998E-7</v>
      </c>
      <c r="C779" s="2">
        <v>4.045E-2</v>
      </c>
      <c r="D779" s="3">
        <v>256000</v>
      </c>
      <c r="E779" s="3">
        <v>113000000000</v>
      </c>
      <c r="F779" s="3">
        <v>103000000000</v>
      </c>
      <c r="G779" s="3">
        <v>6940000000</v>
      </c>
      <c r="H779" s="3">
        <v>9360000000</v>
      </c>
      <c r="I779" s="2">
        <v>6.7699999999999996E-2</v>
      </c>
      <c r="J779" s="3">
        <v>6.15E-13</v>
      </c>
    </row>
    <row r="780" spans="1:10" x14ac:dyDescent="0.2">
      <c r="A780" s="3">
        <v>780</v>
      </c>
      <c r="B780" s="3">
        <v>5.8699999999999995E-7</v>
      </c>
      <c r="C780" s="2">
        <v>4.0500000000000001E-2</v>
      </c>
      <c r="D780" s="3">
        <v>232000</v>
      </c>
      <c r="E780" s="3">
        <v>103000000000</v>
      </c>
      <c r="F780" s="3">
        <v>93900000000</v>
      </c>
      <c r="G780" s="2">
        <v>0</v>
      </c>
      <c r="H780" s="3">
        <v>9620000000</v>
      </c>
      <c r="I780" s="2">
        <v>-1.6109999999999999E-2</v>
      </c>
      <c r="J780" s="3">
        <v>7.5300000000000002E-13</v>
      </c>
    </row>
    <row r="781" spans="1:10" x14ac:dyDescent="0.2">
      <c r="A781" s="3">
        <v>780</v>
      </c>
      <c r="B781" s="3">
        <v>5.8800000000000002E-7</v>
      </c>
      <c r="C781" s="2">
        <v>4.0559999999999999E-2</v>
      </c>
      <c r="D781" s="3">
        <v>254000</v>
      </c>
      <c r="E781" s="3">
        <v>112000000000</v>
      </c>
      <c r="F781" s="3">
        <v>101000000000</v>
      </c>
      <c r="G781" s="3">
        <v>8920000000</v>
      </c>
      <c r="H781" s="3">
        <v>9390000000</v>
      </c>
      <c r="I781" s="2">
        <v>8.795E-2</v>
      </c>
      <c r="J781" s="3">
        <v>6.3100000000000004E-13</v>
      </c>
    </row>
    <row r="782" spans="1:10" x14ac:dyDescent="0.2">
      <c r="A782" s="3">
        <v>780</v>
      </c>
      <c r="B782" s="3">
        <v>5.8800000000000002E-7</v>
      </c>
      <c r="C782" s="2">
        <v>4.061E-2</v>
      </c>
      <c r="D782" s="3">
        <v>221000</v>
      </c>
      <c r="E782" s="3">
        <v>98200000000</v>
      </c>
      <c r="F782" s="3">
        <v>90000000000</v>
      </c>
      <c r="G782" s="3">
        <v>9450000000</v>
      </c>
      <c r="H782" s="3">
        <v>9770000000</v>
      </c>
      <c r="I782" s="2">
        <v>0.105</v>
      </c>
      <c r="J782" s="3">
        <v>8.3299999999999998E-13</v>
      </c>
    </row>
    <row r="783" spans="1:10" x14ac:dyDescent="0.2">
      <c r="A783" s="3">
        <v>780</v>
      </c>
      <c r="B783" s="3">
        <v>5.8899999999999999E-7</v>
      </c>
      <c r="C783" s="2">
        <v>4.0660000000000002E-2</v>
      </c>
      <c r="D783" s="3">
        <v>248000</v>
      </c>
      <c r="E783" s="3">
        <v>110000000000</v>
      </c>
      <c r="F783" s="3">
        <v>99500000000</v>
      </c>
      <c r="G783" s="3">
        <v>1110000000</v>
      </c>
      <c r="H783" s="3">
        <v>9450000000</v>
      </c>
      <c r="I783" s="2">
        <v>1.112E-2</v>
      </c>
      <c r="J783" s="3">
        <v>6.5900000000000002E-13</v>
      </c>
    </row>
    <row r="784" spans="1:10" x14ac:dyDescent="0.2">
      <c r="A784" s="3">
        <v>780</v>
      </c>
      <c r="B784" s="3">
        <v>5.8899999999999999E-7</v>
      </c>
      <c r="C784" s="2">
        <v>4.0710000000000003E-2</v>
      </c>
      <c r="D784" s="3">
        <v>214000</v>
      </c>
      <c r="E784" s="3">
        <v>95200000000</v>
      </c>
      <c r="F784" s="3">
        <v>87500000000</v>
      </c>
      <c r="G784" s="3">
        <v>3190000000</v>
      </c>
      <c r="H784" s="3">
        <v>9860000000</v>
      </c>
      <c r="I784" s="2">
        <v>3.644E-2</v>
      </c>
      <c r="J784" s="3">
        <v>8.9000000000000004E-13</v>
      </c>
    </row>
    <row r="785" spans="1:10" x14ac:dyDescent="0.2">
      <c r="A785" s="3">
        <v>780</v>
      </c>
      <c r="B785" s="3">
        <v>5.8999999999999996E-7</v>
      </c>
      <c r="C785" s="2">
        <v>4.0759999999999998E-2</v>
      </c>
      <c r="D785" s="3">
        <v>230000</v>
      </c>
      <c r="E785" s="3">
        <v>102000000000</v>
      </c>
      <c r="F785" s="3">
        <v>92900000000</v>
      </c>
      <c r="G785" s="2">
        <v>0</v>
      </c>
      <c r="H785" s="3">
        <v>9660000000</v>
      </c>
      <c r="I785" s="2">
        <v>-2.0459999999999999E-2</v>
      </c>
      <c r="J785" s="3">
        <v>7.7200000000000004E-13</v>
      </c>
    </row>
    <row r="786" spans="1:10" x14ac:dyDescent="0.2">
      <c r="A786" s="3">
        <v>780</v>
      </c>
      <c r="B786" s="3">
        <v>5.9100000000000004E-7</v>
      </c>
      <c r="C786" s="2">
        <v>4.0820000000000002E-2</v>
      </c>
      <c r="D786" s="3">
        <v>213000</v>
      </c>
      <c r="E786" s="3">
        <v>94600000000</v>
      </c>
      <c r="F786" s="3">
        <v>87000000000</v>
      </c>
      <c r="G786" s="3">
        <v>7120000000</v>
      </c>
      <c r="H786" s="3">
        <v>9890000000</v>
      </c>
      <c r="I786" s="2">
        <v>8.1839999999999996E-2</v>
      </c>
      <c r="J786" s="3">
        <v>9.0299999999999999E-13</v>
      </c>
    </row>
    <row r="787" spans="1:10" x14ac:dyDescent="0.2">
      <c r="A787" s="3">
        <v>790</v>
      </c>
      <c r="B787" s="3">
        <v>5.9100000000000004E-7</v>
      </c>
      <c r="C787" s="2">
        <v>4.0869999999999997E-2</v>
      </c>
      <c r="D787" s="3">
        <v>208000</v>
      </c>
      <c r="E787" s="3">
        <v>92700000000</v>
      </c>
      <c r="F787" s="3">
        <v>85400000000</v>
      </c>
      <c r="G787" s="2">
        <v>0</v>
      </c>
      <c r="H787" s="3">
        <v>9970000000</v>
      </c>
      <c r="I787" s="2">
        <v>-3.2000000000000002E-3</v>
      </c>
      <c r="J787" s="3">
        <v>9.4400000000000002E-13</v>
      </c>
    </row>
    <row r="788" spans="1:10" x14ac:dyDescent="0.2">
      <c r="A788" s="3">
        <v>790</v>
      </c>
      <c r="B788" s="3">
        <v>5.9100000000000004E-7</v>
      </c>
      <c r="C788" s="2">
        <v>4.0919999999999998E-2</v>
      </c>
      <c r="D788" s="3">
        <v>203000</v>
      </c>
      <c r="E788" s="3">
        <v>90500000000</v>
      </c>
      <c r="F788" s="3">
        <v>83500000000</v>
      </c>
      <c r="G788" s="3">
        <v>1310000000</v>
      </c>
      <c r="H788" s="3">
        <v>10100000000</v>
      </c>
      <c r="I788" s="2">
        <v>1.5740000000000001E-2</v>
      </c>
      <c r="J788" s="3">
        <v>9.9799999999999999E-13</v>
      </c>
    </row>
    <row r="789" spans="1:10" x14ac:dyDescent="0.2">
      <c r="A789" s="3">
        <v>790</v>
      </c>
      <c r="B789" s="3">
        <v>5.9200000000000001E-7</v>
      </c>
      <c r="C789" s="2">
        <v>4.0969999999999999E-2</v>
      </c>
      <c r="D789" s="3">
        <v>216000</v>
      </c>
      <c r="E789" s="3">
        <v>95900000000</v>
      </c>
      <c r="F789" s="3">
        <v>88000000000</v>
      </c>
      <c r="G789" s="2">
        <v>0</v>
      </c>
      <c r="H789" s="3">
        <v>9860000000</v>
      </c>
      <c r="I789" s="2">
        <v>-1.1839999999999999E-3</v>
      </c>
      <c r="J789" s="3">
        <v>8.7799999999999999E-13</v>
      </c>
    </row>
    <row r="790" spans="1:10" x14ac:dyDescent="0.2">
      <c r="A790" s="3">
        <v>790</v>
      </c>
      <c r="B790" s="3">
        <v>5.9299999999999998E-7</v>
      </c>
      <c r="C790" s="2">
        <v>4.1020000000000001E-2</v>
      </c>
      <c r="D790" s="3">
        <v>235000</v>
      </c>
      <c r="E790" s="3">
        <v>104000000000</v>
      </c>
      <c r="F790" s="3">
        <v>94400000000</v>
      </c>
      <c r="G790" s="3">
        <v>4060000000</v>
      </c>
      <c r="H790" s="3">
        <v>9610000000</v>
      </c>
      <c r="I790" s="2">
        <v>4.301E-2</v>
      </c>
      <c r="J790" s="3">
        <v>7.4399999999999996E-13</v>
      </c>
    </row>
    <row r="791" spans="1:10" x14ac:dyDescent="0.2">
      <c r="A791" s="3">
        <v>790</v>
      </c>
      <c r="B791" s="3">
        <v>5.9400000000000005E-7</v>
      </c>
      <c r="C791" s="2">
        <v>4.1079999999999998E-2</v>
      </c>
      <c r="D791" s="3">
        <v>245000</v>
      </c>
      <c r="E791" s="3">
        <v>108000000000</v>
      </c>
      <c r="F791" s="3">
        <v>97900000000</v>
      </c>
      <c r="G791" s="3">
        <v>169000000</v>
      </c>
      <c r="H791" s="3">
        <v>9500000000</v>
      </c>
      <c r="I791" s="2">
        <v>1.7229999999999999E-3</v>
      </c>
      <c r="J791" s="3">
        <v>6.8500000000000001E-13</v>
      </c>
    </row>
    <row r="792" spans="1:10" x14ac:dyDescent="0.2">
      <c r="A792" s="3">
        <v>790</v>
      </c>
      <c r="B792" s="3">
        <v>5.9500000000000002E-7</v>
      </c>
      <c r="C792" s="2">
        <v>4.113E-2</v>
      </c>
      <c r="D792" s="3">
        <v>217000</v>
      </c>
      <c r="E792" s="3">
        <v>95900000000</v>
      </c>
      <c r="F792" s="3">
        <v>88100000000</v>
      </c>
      <c r="G792" s="3">
        <v>6710000000</v>
      </c>
      <c r="H792" s="3">
        <v>9850000000</v>
      </c>
      <c r="I792" s="2">
        <v>7.6160000000000005E-2</v>
      </c>
      <c r="J792" s="3">
        <v>8.76E-13</v>
      </c>
    </row>
    <row r="793" spans="1:10" x14ac:dyDescent="0.2">
      <c r="A793" s="3">
        <v>790</v>
      </c>
      <c r="B793" s="3">
        <v>5.9500000000000002E-7</v>
      </c>
      <c r="C793" s="2">
        <v>4.1180000000000001E-2</v>
      </c>
      <c r="D793" s="3">
        <v>238000</v>
      </c>
      <c r="E793" s="3">
        <v>105000000000</v>
      </c>
      <c r="F793" s="3">
        <v>95300000000</v>
      </c>
      <c r="G793" s="3">
        <v>1630000000</v>
      </c>
      <c r="H793" s="3">
        <v>9600000000</v>
      </c>
      <c r="I793" s="2">
        <v>1.7139999999999999E-2</v>
      </c>
      <c r="J793" s="3">
        <v>7.2900000000000002E-13</v>
      </c>
    </row>
    <row r="794" spans="1:10" x14ac:dyDescent="0.2">
      <c r="A794" s="3">
        <v>790</v>
      </c>
      <c r="B794" s="3">
        <v>5.9599999999999999E-7</v>
      </c>
      <c r="C794" s="2">
        <v>4.1230000000000003E-2</v>
      </c>
      <c r="D794" s="3">
        <v>226000</v>
      </c>
      <c r="E794" s="3">
        <v>99700000000</v>
      </c>
      <c r="F794" s="3">
        <v>91200000000</v>
      </c>
      <c r="G794" s="3">
        <v>13800000000</v>
      </c>
      <c r="H794" s="3">
        <v>9730000000</v>
      </c>
      <c r="I794" s="2">
        <v>0.1515</v>
      </c>
      <c r="J794" s="3">
        <v>8.0699999999999999E-13</v>
      </c>
    </row>
    <row r="795" spans="1:10" x14ac:dyDescent="0.2">
      <c r="A795" s="3">
        <v>790</v>
      </c>
      <c r="B795" s="3">
        <v>5.9599999999999999E-7</v>
      </c>
      <c r="C795" s="2">
        <v>4.129E-2</v>
      </c>
      <c r="D795" s="3">
        <v>242000</v>
      </c>
      <c r="E795" s="3">
        <v>106000000000</v>
      </c>
      <c r="F795" s="3">
        <v>96700000000</v>
      </c>
      <c r="G795" s="3">
        <v>2300000000</v>
      </c>
      <c r="H795" s="3">
        <v>9560000000</v>
      </c>
      <c r="I795" s="2">
        <v>2.3730000000000001E-2</v>
      </c>
      <c r="J795" s="3">
        <v>7.0500000000000003E-13</v>
      </c>
    </row>
    <row r="796" spans="1:10" x14ac:dyDescent="0.2">
      <c r="A796" s="3">
        <v>790</v>
      </c>
      <c r="B796" s="3">
        <v>5.9699999999999996E-7</v>
      </c>
      <c r="C796" s="2">
        <v>4.1340000000000002E-2</v>
      </c>
      <c r="D796" s="3">
        <v>235000</v>
      </c>
      <c r="E796" s="3">
        <v>103000000000</v>
      </c>
      <c r="F796" s="3">
        <v>94300000000</v>
      </c>
      <c r="G796" s="3">
        <v>1030000000</v>
      </c>
      <c r="H796" s="3">
        <v>9630000000</v>
      </c>
      <c r="I796" s="2">
        <v>1.09E-2</v>
      </c>
      <c r="J796" s="3">
        <v>7.4800000000000004E-13</v>
      </c>
    </row>
    <row r="797" spans="1:10" x14ac:dyDescent="0.2">
      <c r="A797" s="3">
        <v>800</v>
      </c>
      <c r="B797" s="3">
        <v>5.9699999999999996E-7</v>
      </c>
      <c r="C797" s="2">
        <v>4.1390000000000003E-2</v>
      </c>
      <c r="D797" s="3">
        <v>236000</v>
      </c>
      <c r="E797" s="3">
        <v>104000000000</v>
      </c>
      <c r="F797" s="3">
        <v>94500000000</v>
      </c>
      <c r="G797" s="3">
        <v>3940000000</v>
      </c>
      <c r="H797" s="3">
        <v>9630000000</v>
      </c>
      <c r="I797" s="2">
        <v>4.172E-2</v>
      </c>
      <c r="J797" s="3">
        <v>7.4399999999999996E-13</v>
      </c>
    </row>
    <row r="798" spans="1:10" x14ac:dyDescent="0.2">
      <c r="A798" s="3">
        <v>800</v>
      </c>
      <c r="B798" s="3">
        <v>5.9800000000000003E-7</v>
      </c>
      <c r="C798" s="2">
        <v>4.1439999999999998E-2</v>
      </c>
      <c r="D798" s="3">
        <v>232000</v>
      </c>
      <c r="E798" s="3">
        <v>102000000000</v>
      </c>
      <c r="F798" s="3">
        <v>93100000000</v>
      </c>
      <c r="G798" s="2">
        <v>0</v>
      </c>
      <c r="H798" s="3">
        <v>9680000000</v>
      </c>
      <c r="I798" s="2">
        <v>-1.2200000000000001E-2</v>
      </c>
      <c r="J798" s="3">
        <v>7.7100000000000005E-13</v>
      </c>
    </row>
    <row r="799" spans="1:10" x14ac:dyDescent="0.2">
      <c r="A799" s="3">
        <v>800</v>
      </c>
      <c r="B799" s="3">
        <v>5.9800000000000003E-7</v>
      </c>
      <c r="C799" s="2">
        <v>4.1489999999999999E-2</v>
      </c>
      <c r="D799" s="3">
        <v>213000</v>
      </c>
      <c r="E799" s="3">
        <v>94200000000</v>
      </c>
      <c r="F799" s="3">
        <v>86600000000</v>
      </c>
      <c r="G799" s="3">
        <v>2770000000</v>
      </c>
      <c r="H799" s="3">
        <v>9930000000</v>
      </c>
      <c r="I799" s="2">
        <v>3.1960000000000002E-2</v>
      </c>
      <c r="J799" s="3">
        <v>9.1500000000000004E-13</v>
      </c>
    </row>
    <row r="800" spans="1:10" x14ac:dyDescent="0.2">
      <c r="A800" s="3">
        <v>800</v>
      </c>
      <c r="B800" s="3">
        <v>5.99E-7</v>
      </c>
      <c r="C800" s="2">
        <v>4.1549999999999997E-2</v>
      </c>
      <c r="D800" s="3">
        <v>232000</v>
      </c>
      <c r="E800" s="3">
        <v>102000000000</v>
      </c>
      <c r="F800" s="3">
        <v>93000000000</v>
      </c>
      <c r="G800" s="3">
        <v>10500000000</v>
      </c>
      <c r="H800" s="3">
        <v>9680000000</v>
      </c>
      <c r="I800" s="2">
        <v>0.11269999999999999</v>
      </c>
      <c r="J800" s="3">
        <v>7.7200000000000004E-13</v>
      </c>
    </row>
    <row r="801" spans="1:10" x14ac:dyDescent="0.2">
      <c r="A801" s="3">
        <v>800</v>
      </c>
      <c r="B801" s="3">
        <v>5.9999999999999997E-7</v>
      </c>
      <c r="C801" s="2">
        <v>4.1599999999999998E-2</v>
      </c>
      <c r="D801" s="3">
        <v>229000</v>
      </c>
      <c r="E801" s="3">
        <v>101000000000</v>
      </c>
      <c r="F801" s="3">
        <v>91900000000</v>
      </c>
      <c r="G801" s="3">
        <v>2960000000</v>
      </c>
      <c r="H801" s="3">
        <v>9720000000</v>
      </c>
      <c r="I801" s="2">
        <v>3.2190000000000003E-2</v>
      </c>
      <c r="J801" s="3">
        <v>7.9500000000000005E-13</v>
      </c>
    </row>
    <row r="802" spans="1:10" x14ac:dyDescent="0.2">
      <c r="A802" s="3">
        <v>800</v>
      </c>
      <c r="B802" s="3">
        <v>5.9999999999999997E-7</v>
      </c>
      <c r="C802" s="2">
        <v>4.165E-2</v>
      </c>
      <c r="D802" s="3">
        <v>236000</v>
      </c>
      <c r="E802" s="3">
        <v>103000000000</v>
      </c>
      <c r="F802" s="3">
        <v>94300000000</v>
      </c>
      <c r="G802" s="2">
        <v>0</v>
      </c>
      <c r="H802" s="3">
        <v>9640000000</v>
      </c>
      <c r="I802" s="2">
        <v>-3.0859999999999999E-2</v>
      </c>
      <c r="J802" s="3">
        <v>7.4900000000000004E-13</v>
      </c>
    </row>
    <row r="803" spans="1:10" x14ac:dyDescent="0.2">
      <c r="A803" s="3">
        <v>800</v>
      </c>
      <c r="B803" s="3">
        <v>6.0100000000000005E-7</v>
      </c>
      <c r="C803" s="2">
        <v>4.1700000000000001E-2</v>
      </c>
      <c r="D803" s="3">
        <v>227000</v>
      </c>
      <c r="E803" s="3">
        <v>99500000000</v>
      </c>
      <c r="F803" s="3">
        <v>91100000000</v>
      </c>
      <c r="G803" s="3">
        <v>6600000000</v>
      </c>
      <c r="H803" s="3">
        <v>9760000000</v>
      </c>
      <c r="I803" s="2">
        <v>7.2440000000000004E-2</v>
      </c>
      <c r="J803" s="3">
        <v>8.1199999999999997E-13</v>
      </c>
    </row>
    <row r="804" spans="1:10" x14ac:dyDescent="0.2">
      <c r="A804" s="3">
        <v>800</v>
      </c>
      <c r="B804" s="3">
        <v>6.0100000000000005E-7</v>
      </c>
      <c r="C804" s="2">
        <v>4.1750000000000002E-2</v>
      </c>
      <c r="D804" s="3">
        <v>249000</v>
      </c>
      <c r="E804" s="3">
        <v>109000000000</v>
      </c>
      <c r="F804" s="3">
        <v>98800000000</v>
      </c>
      <c r="G804" s="2">
        <v>0</v>
      </c>
      <c r="H804" s="3">
        <v>9510000000</v>
      </c>
      <c r="I804" s="2">
        <v>-4.5629999999999997E-2</v>
      </c>
      <c r="J804" s="3">
        <v>6.7299999999999996E-13</v>
      </c>
    </row>
    <row r="805" spans="1:10" x14ac:dyDescent="0.2">
      <c r="A805" s="3">
        <v>800</v>
      </c>
      <c r="B805" s="3">
        <v>6.0200000000000002E-7</v>
      </c>
      <c r="C805" s="2">
        <v>4.1799999999999997E-2</v>
      </c>
      <c r="D805" s="3">
        <v>233000</v>
      </c>
      <c r="E805" s="3">
        <v>102000000000</v>
      </c>
      <c r="F805" s="3">
        <v>93200000000</v>
      </c>
      <c r="G805" s="3">
        <v>11500000000</v>
      </c>
      <c r="H805" s="3">
        <v>9680000000</v>
      </c>
      <c r="I805" s="2">
        <v>0.1237</v>
      </c>
      <c r="J805" s="3">
        <v>7.6899999999999995E-13</v>
      </c>
    </row>
    <row r="806" spans="1:10" x14ac:dyDescent="0.2">
      <c r="A806" s="3">
        <v>800</v>
      </c>
      <c r="B806" s="3">
        <v>6.0299999999999999E-7</v>
      </c>
      <c r="C806" s="2">
        <v>4.1860000000000001E-2</v>
      </c>
      <c r="D806" s="3">
        <v>223000</v>
      </c>
      <c r="E806" s="3">
        <v>98000000000</v>
      </c>
      <c r="F806" s="3">
        <v>89800000000</v>
      </c>
      <c r="G806" s="3">
        <v>2870000000</v>
      </c>
      <c r="H806" s="3">
        <v>9810000000</v>
      </c>
      <c r="I806" s="2">
        <v>3.1940000000000003E-2</v>
      </c>
      <c r="J806" s="3">
        <v>8.3899999999999996E-13</v>
      </c>
    </row>
    <row r="807" spans="1:10" x14ac:dyDescent="0.2">
      <c r="A807" s="3">
        <v>810</v>
      </c>
      <c r="B807" s="3">
        <v>6.0399999999999996E-7</v>
      </c>
      <c r="C807" s="2">
        <v>4.1910000000000003E-2</v>
      </c>
      <c r="D807" s="3">
        <v>226000</v>
      </c>
      <c r="E807" s="3">
        <v>98900000000</v>
      </c>
      <c r="F807" s="3">
        <v>90600000000</v>
      </c>
      <c r="G807" s="3">
        <v>8070000000</v>
      </c>
      <c r="H807" s="3">
        <v>9770000000</v>
      </c>
      <c r="I807" s="2">
        <v>8.9069999999999996E-2</v>
      </c>
      <c r="J807" s="3">
        <v>8.2200000000000003E-13</v>
      </c>
    </row>
    <row r="808" spans="1:10" x14ac:dyDescent="0.2">
      <c r="A808" s="3">
        <v>810</v>
      </c>
      <c r="B808" s="3">
        <v>6.0399999999999996E-7</v>
      </c>
      <c r="C808" s="2">
        <v>4.1959999999999997E-2</v>
      </c>
      <c r="D808" s="3">
        <v>231000</v>
      </c>
      <c r="E808" s="3">
        <v>101000000000</v>
      </c>
      <c r="F808" s="3">
        <v>92500000000</v>
      </c>
      <c r="G808" s="3">
        <v>1540000000</v>
      </c>
      <c r="H808" s="3">
        <v>9710000000</v>
      </c>
      <c r="I808" s="2">
        <v>1.6660000000000001E-2</v>
      </c>
      <c r="J808" s="3">
        <v>7.83E-13</v>
      </c>
    </row>
    <row r="809" spans="1:10" x14ac:dyDescent="0.2">
      <c r="A809" s="3">
        <v>810</v>
      </c>
      <c r="B809" s="3">
        <v>6.0399999999999996E-7</v>
      </c>
      <c r="C809" s="2">
        <v>4.2020000000000002E-2</v>
      </c>
      <c r="D809" s="3">
        <v>257000</v>
      </c>
      <c r="E809" s="3">
        <v>112000000000</v>
      </c>
      <c r="F809" s="3">
        <v>101000000000</v>
      </c>
      <c r="G809" s="3">
        <v>2040000000</v>
      </c>
      <c r="H809" s="3">
        <v>9450000000</v>
      </c>
      <c r="I809" s="2">
        <v>2.019E-2</v>
      </c>
      <c r="J809" s="3">
        <v>6.39E-13</v>
      </c>
    </row>
    <row r="810" spans="1:10" x14ac:dyDescent="0.2">
      <c r="A810" s="3">
        <v>810</v>
      </c>
      <c r="B810" s="3">
        <v>6.0500000000000003E-7</v>
      </c>
      <c r="C810" s="2">
        <v>4.2070000000000003E-2</v>
      </c>
      <c r="D810" s="3">
        <v>229000</v>
      </c>
      <c r="E810" s="3">
        <v>99900000000</v>
      </c>
      <c r="F810" s="3">
        <v>91400000000</v>
      </c>
      <c r="G810" s="2">
        <v>0</v>
      </c>
      <c r="H810" s="3">
        <v>9750000000</v>
      </c>
      <c r="I810" s="2">
        <v>-3.023E-2</v>
      </c>
      <c r="J810" s="3">
        <v>8.06E-13</v>
      </c>
    </row>
    <row r="811" spans="1:10" x14ac:dyDescent="0.2">
      <c r="A811" s="3">
        <v>810</v>
      </c>
      <c r="B811" s="3">
        <v>6.06E-7</v>
      </c>
      <c r="C811" s="2">
        <v>4.2119999999999998E-2</v>
      </c>
      <c r="D811" s="3">
        <v>228000</v>
      </c>
      <c r="E811" s="3">
        <v>99500000000</v>
      </c>
      <c r="F811" s="3">
        <v>91100000000</v>
      </c>
      <c r="G811" s="3">
        <v>827000000</v>
      </c>
      <c r="H811" s="3">
        <v>9760000000</v>
      </c>
      <c r="I811" s="2">
        <v>9.0779999999999993E-3</v>
      </c>
      <c r="J811" s="3">
        <v>8.1199999999999997E-13</v>
      </c>
    </row>
    <row r="812" spans="1:10" x14ac:dyDescent="0.2">
      <c r="A812" s="3">
        <v>810</v>
      </c>
      <c r="B812" s="3">
        <v>6.0699999999999997E-7</v>
      </c>
      <c r="C812" s="2">
        <v>4.2169999999999999E-2</v>
      </c>
      <c r="D812" s="3">
        <v>251000</v>
      </c>
      <c r="E812" s="3">
        <v>109000000000</v>
      </c>
      <c r="F812" s="3">
        <v>98900000000</v>
      </c>
      <c r="G812" s="3">
        <v>1740000000</v>
      </c>
      <c r="H812" s="3">
        <v>9510000000</v>
      </c>
      <c r="I812" s="2">
        <v>1.7600000000000001E-2</v>
      </c>
      <c r="J812" s="3">
        <v>6.7099999999999997E-13</v>
      </c>
    </row>
    <row r="813" spans="1:10" x14ac:dyDescent="0.2">
      <c r="A813" s="3">
        <v>810</v>
      </c>
      <c r="B813" s="3">
        <v>6.0699999999999997E-7</v>
      </c>
      <c r="C813" s="2">
        <v>4.2220000000000001E-2</v>
      </c>
      <c r="D813" s="3">
        <v>230000</v>
      </c>
      <c r="E813" s="3">
        <v>100000000000</v>
      </c>
      <c r="F813" s="3">
        <v>91800000000</v>
      </c>
      <c r="G813" s="3">
        <v>1520000000</v>
      </c>
      <c r="H813" s="3">
        <v>9730000000</v>
      </c>
      <c r="I813" s="2">
        <v>1.66E-2</v>
      </c>
      <c r="J813" s="3">
        <v>7.9800000000000003E-13</v>
      </c>
    </row>
    <row r="814" spans="1:10" x14ac:dyDescent="0.2">
      <c r="A814" s="3">
        <v>810</v>
      </c>
      <c r="B814" s="3">
        <v>6.0800000000000004E-7</v>
      </c>
      <c r="C814" s="2">
        <v>4.2270000000000002E-2</v>
      </c>
      <c r="D814" s="3">
        <v>217000</v>
      </c>
      <c r="E814" s="3">
        <v>95100000000</v>
      </c>
      <c r="F814" s="3">
        <v>87400000000</v>
      </c>
      <c r="G814" s="3">
        <v>5230000000</v>
      </c>
      <c r="H814" s="3">
        <v>9900000000</v>
      </c>
      <c r="I814" s="2">
        <v>5.9880000000000003E-2</v>
      </c>
      <c r="J814" s="3">
        <v>8.9600000000000002E-13</v>
      </c>
    </row>
    <row r="815" spans="1:10" x14ac:dyDescent="0.2">
      <c r="A815" s="3">
        <v>810</v>
      </c>
      <c r="B815" s="3">
        <v>6.0900000000000001E-7</v>
      </c>
      <c r="C815" s="2">
        <v>4.233E-2</v>
      </c>
      <c r="D815" s="3">
        <v>216000</v>
      </c>
      <c r="E815" s="3">
        <v>94400000000</v>
      </c>
      <c r="F815" s="3">
        <v>86800000000</v>
      </c>
      <c r="G815" s="3">
        <v>4580000000</v>
      </c>
      <c r="H815" s="3">
        <v>9920000000</v>
      </c>
      <c r="I815" s="2">
        <v>5.2780000000000001E-2</v>
      </c>
      <c r="J815" s="3">
        <v>9.0899999999999996E-13</v>
      </c>
    </row>
    <row r="816" spans="1:10" x14ac:dyDescent="0.2">
      <c r="A816" s="3">
        <v>810</v>
      </c>
      <c r="B816" s="3">
        <v>6.0999999999999998E-7</v>
      </c>
      <c r="C816" s="2">
        <v>4.2380000000000001E-2</v>
      </c>
      <c r="D816" s="3">
        <v>218000</v>
      </c>
      <c r="E816" s="3">
        <v>95200000000</v>
      </c>
      <c r="F816" s="3">
        <v>87500000000</v>
      </c>
      <c r="G816" s="3">
        <v>2580000000</v>
      </c>
      <c r="H816" s="3">
        <v>9890000000</v>
      </c>
      <c r="I816" s="2">
        <v>2.945E-2</v>
      </c>
      <c r="J816" s="3">
        <v>8.9300000000000003E-13</v>
      </c>
    </row>
    <row r="817" spans="1:10" x14ac:dyDescent="0.2">
      <c r="A817" s="3">
        <v>820</v>
      </c>
      <c r="B817" s="3">
        <v>6.1099999999999995E-7</v>
      </c>
      <c r="C817" s="2">
        <v>4.2430000000000002E-2</v>
      </c>
      <c r="D817" s="3">
        <v>267000</v>
      </c>
      <c r="E817" s="3">
        <v>115000000000</v>
      </c>
      <c r="F817" s="3">
        <v>104000000000</v>
      </c>
      <c r="G817" s="3">
        <v>13600000000</v>
      </c>
      <c r="H817" s="3">
        <v>9350000000</v>
      </c>
      <c r="I817" s="2">
        <v>0.13039999999999999</v>
      </c>
      <c r="J817" s="3">
        <v>5.9399999999999999E-13</v>
      </c>
    </row>
    <row r="818" spans="1:10" x14ac:dyDescent="0.2">
      <c r="A818" s="3">
        <v>820</v>
      </c>
      <c r="B818" s="3">
        <v>6.1200000000000003E-7</v>
      </c>
      <c r="C818" s="2">
        <v>4.2479999999999997E-2</v>
      </c>
      <c r="D818" s="3">
        <v>208000</v>
      </c>
      <c r="E818" s="3">
        <v>91100000000</v>
      </c>
      <c r="F818" s="3">
        <v>84000000000</v>
      </c>
      <c r="G818" s="3">
        <v>7110000000</v>
      </c>
      <c r="H818" s="3">
        <v>10000000000</v>
      </c>
      <c r="I818" s="2">
        <v>8.4659999999999999E-2</v>
      </c>
      <c r="J818" s="3">
        <v>9.8200000000000006E-13</v>
      </c>
    </row>
    <row r="819" spans="1:10" x14ac:dyDescent="0.2">
      <c r="A819" s="3">
        <v>820</v>
      </c>
      <c r="B819" s="3">
        <v>6.1200000000000003E-7</v>
      </c>
      <c r="C819" s="2">
        <v>4.2540000000000001E-2</v>
      </c>
      <c r="D819" s="3">
        <v>234000</v>
      </c>
      <c r="E819" s="3">
        <v>101000000000</v>
      </c>
      <c r="F819" s="3">
        <v>92600000000</v>
      </c>
      <c r="G819" s="3">
        <v>1490000000</v>
      </c>
      <c r="H819" s="3">
        <v>9690000000</v>
      </c>
      <c r="I819" s="2">
        <v>1.609E-2</v>
      </c>
      <c r="J819" s="3">
        <v>7.8000000000000001E-13</v>
      </c>
    </row>
    <row r="820" spans="1:10" x14ac:dyDescent="0.2">
      <c r="A820" s="3">
        <v>820</v>
      </c>
      <c r="B820" s="3">
        <v>6.13E-7</v>
      </c>
      <c r="C820" s="2">
        <v>4.2590000000000003E-2</v>
      </c>
      <c r="D820" s="3">
        <v>209000</v>
      </c>
      <c r="E820" s="3">
        <v>91200000000</v>
      </c>
      <c r="F820" s="3">
        <v>84100000000</v>
      </c>
      <c r="G820" s="3">
        <v>6290000000</v>
      </c>
      <c r="H820" s="3">
        <v>10000000000</v>
      </c>
      <c r="I820" s="2">
        <v>7.4810000000000001E-2</v>
      </c>
      <c r="J820" s="3">
        <v>9.7899999999999997E-13</v>
      </c>
    </row>
    <row r="821" spans="1:10" x14ac:dyDescent="0.2">
      <c r="A821" s="3">
        <v>820</v>
      </c>
      <c r="B821" s="3">
        <v>6.13E-7</v>
      </c>
      <c r="C821" s="2">
        <v>4.2639999999999997E-2</v>
      </c>
      <c r="D821" s="3">
        <v>213000</v>
      </c>
      <c r="E821" s="3">
        <v>92900000000</v>
      </c>
      <c r="F821" s="3">
        <v>85500000000</v>
      </c>
      <c r="G821" s="3">
        <v>8630000000</v>
      </c>
      <c r="H821" s="3">
        <v>9980000000</v>
      </c>
      <c r="I821" s="2">
        <v>0.1009</v>
      </c>
      <c r="J821" s="3">
        <v>9.4200000000000003E-13</v>
      </c>
    </row>
    <row r="822" spans="1:10" x14ac:dyDescent="0.2">
      <c r="A822" s="3">
        <v>820</v>
      </c>
      <c r="B822" s="3">
        <v>6.1399999999999997E-7</v>
      </c>
      <c r="C822" s="2">
        <v>4.2689999999999999E-2</v>
      </c>
      <c r="D822" s="3">
        <v>209000</v>
      </c>
      <c r="E822" s="3">
        <v>91300000000</v>
      </c>
      <c r="F822" s="3">
        <v>84200000000</v>
      </c>
      <c r="G822" s="2">
        <v>0</v>
      </c>
      <c r="H822" s="3">
        <v>10000000000</v>
      </c>
      <c r="I822" s="2">
        <v>-3.4270000000000002E-2</v>
      </c>
      <c r="J822" s="3">
        <v>9.7699999999999998E-13</v>
      </c>
    </row>
    <row r="823" spans="1:10" x14ac:dyDescent="0.2">
      <c r="A823" s="3">
        <v>820</v>
      </c>
      <c r="B823" s="3">
        <v>6.1500000000000004E-7</v>
      </c>
      <c r="C823" s="2">
        <v>4.274E-2</v>
      </c>
      <c r="D823" s="3">
        <v>243000</v>
      </c>
      <c r="E823" s="3">
        <v>105000000000</v>
      </c>
      <c r="F823" s="3">
        <v>95600000000</v>
      </c>
      <c r="G823" s="3">
        <v>779000000</v>
      </c>
      <c r="H823" s="3">
        <v>9580000000</v>
      </c>
      <c r="I823" s="2">
        <v>8.1469999999999997E-3</v>
      </c>
      <c r="J823" s="3">
        <v>7.2300000000000005E-13</v>
      </c>
    </row>
    <row r="824" spans="1:10" x14ac:dyDescent="0.2">
      <c r="A824" s="3">
        <v>820</v>
      </c>
      <c r="B824" s="3">
        <v>6.1500000000000004E-7</v>
      </c>
      <c r="C824" s="2">
        <v>4.2799999999999998E-2</v>
      </c>
      <c r="D824" s="3">
        <v>244000</v>
      </c>
      <c r="E824" s="3">
        <v>105000000000</v>
      </c>
      <c r="F824" s="3">
        <v>95900000000</v>
      </c>
      <c r="G824" s="2">
        <v>0</v>
      </c>
      <c r="H824" s="3">
        <v>9580000000</v>
      </c>
      <c r="I824" s="2">
        <v>-1.2189999999999999E-2</v>
      </c>
      <c r="J824" s="3">
        <v>7.1999999999999996E-13</v>
      </c>
    </row>
    <row r="825" spans="1:10" x14ac:dyDescent="0.2">
      <c r="A825" s="3">
        <v>820</v>
      </c>
      <c r="B825" s="3">
        <v>6.1600000000000001E-7</v>
      </c>
      <c r="C825" s="2">
        <v>4.2849999999999999E-2</v>
      </c>
      <c r="D825" s="3">
        <v>249000</v>
      </c>
      <c r="E825" s="3">
        <v>107000000000</v>
      </c>
      <c r="F825" s="3">
        <v>97600000000</v>
      </c>
      <c r="G825" s="3">
        <v>1290000000</v>
      </c>
      <c r="H825" s="3">
        <v>9530000000</v>
      </c>
      <c r="I825" s="2">
        <v>1.324E-2</v>
      </c>
      <c r="J825" s="3">
        <v>6.8999999999999999E-13</v>
      </c>
    </row>
    <row r="826" spans="1:10" x14ac:dyDescent="0.2">
      <c r="A826" s="3">
        <v>820</v>
      </c>
      <c r="B826" s="3">
        <v>6.1699999999999998E-7</v>
      </c>
      <c r="C826" s="2">
        <v>4.2900000000000001E-2</v>
      </c>
      <c r="D826" s="3">
        <v>237000</v>
      </c>
      <c r="E826" s="3">
        <v>102000000000</v>
      </c>
      <c r="F826" s="3">
        <v>93300000000</v>
      </c>
      <c r="G826" s="3">
        <v>10500000000</v>
      </c>
      <c r="H826" s="3">
        <v>9660000000</v>
      </c>
      <c r="I826" s="2">
        <v>0.11219999999999999</v>
      </c>
      <c r="J826" s="3">
        <v>7.6599999999999997E-13</v>
      </c>
    </row>
    <row r="827" spans="1:10" x14ac:dyDescent="0.2">
      <c r="A827" s="3">
        <v>830</v>
      </c>
      <c r="B827" s="3">
        <v>6.1699999999999998E-7</v>
      </c>
      <c r="C827" s="2">
        <v>4.2950000000000002E-2</v>
      </c>
      <c r="D827" s="3">
        <v>222000</v>
      </c>
      <c r="E827" s="3">
        <v>96300000000</v>
      </c>
      <c r="F827" s="3">
        <v>88400000000</v>
      </c>
      <c r="G827" s="2">
        <v>0</v>
      </c>
      <c r="H827" s="3">
        <v>9850000000</v>
      </c>
      <c r="I827" s="2">
        <v>-8.0280000000000004E-2</v>
      </c>
      <c r="J827" s="3">
        <v>8.7100000000000002E-13</v>
      </c>
    </row>
    <row r="828" spans="1:10" x14ac:dyDescent="0.2">
      <c r="A828" s="3">
        <v>830</v>
      </c>
      <c r="B828" s="3">
        <v>6.1799999999999995E-7</v>
      </c>
      <c r="C828" s="2">
        <v>4.2999999999999997E-2</v>
      </c>
      <c r="D828" s="3">
        <v>236000</v>
      </c>
      <c r="E828" s="3">
        <v>102000000000</v>
      </c>
      <c r="F828" s="3">
        <v>92900000000</v>
      </c>
      <c r="G828" s="2">
        <v>0</v>
      </c>
      <c r="H828" s="3">
        <v>9680000000</v>
      </c>
      <c r="I828" s="2">
        <v>-7.5249999999999996E-3</v>
      </c>
      <c r="J828" s="3">
        <v>7.7400000000000003E-13</v>
      </c>
    </row>
    <row r="829" spans="1:10" x14ac:dyDescent="0.2">
      <c r="A829" s="3">
        <v>830</v>
      </c>
      <c r="B829" s="3">
        <v>6.1900000000000002E-7</v>
      </c>
      <c r="C829" s="2">
        <v>4.3049999999999998E-2</v>
      </c>
      <c r="D829" s="3">
        <v>233000</v>
      </c>
      <c r="E829" s="3">
        <v>101000000000</v>
      </c>
      <c r="F829" s="3">
        <v>92000000000</v>
      </c>
      <c r="G829" s="3">
        <v>6540000000</v>
      </c>
      <c r="H829" s="3">
        <v>9710000000</v>
      </c>
      <c r="I829" s="2">
        <v>7.0989999999999998E-2</v>
      </c>
      <c r="J829" s="3">
        <v>7.9099999999999996E-13</v>
      </c>
    </row>
    <row r="830" spans="1:10" x14ac:dyDescent="0.2">
      <c r="A830" s="3">
        <v>830</v>
      </c>
      <c r="B830" s="3">
        <v>6.1999999999999999E-7</v>
      </c>
      <c r="C830" s="2">
        <v>4.3110000000000002E-2</v>
      </c>
      <c r="D830" s="3">
        <v>223000</v>
      </c>
      <c r="E830" s="3">
        <v>96500000000</v>
      </c>
      <c r="F830" s="3">
        <v>88500000000</v>
      </c>
      <c r="G830" s="3">
        <v>6250000000</v>
      </c>
      <c r="H830" s="3">
        <v>9840000000</v>
      </c>
      <c r="I830" s="2">
        <v>7.0559999999999998E-2</v>
      </c>
      <c r="J830" s="3">
        <v>8.6600000000000005E-13</v>
      </c>
    </row>
    <row r="831" spans="1:10" x14ac:dyDescent="0.2">
      <c r="A831" s="3">
        <v>830</v>
      </c>
      <c r="B831" s="3">
        <v>6.1999999999999999E-7</v>
      </c>
      <c r="C831" s="2">
        <v>4.3159999999999997E-2</v>
      </c>
      <c r="D831" s="3">
        <v>235000</v>
      </c>
      <c r="E831" s="3">
        <v>101000000000</v>
      </c>
      <c r="F831" s="3">
        <v>92400000000</v>
      </c>
      <c r="G831" s="3">
        <v>2310000000</v>
      </c>
      <c r="H831" s="3">
        <v>9690000000</v>
      </c>
      <c r="I831" s="2">
        <v>2.504E-2</v>
      </c>
      <c r="J831" s="3">
        <v>7.8399999999999999E-13</v>
      </c>
    </row>
    <row r="832" spans="1:10" x14ac:dyDescent="0.2">
      <c r="A832" s="3">
        <v>830</v>
      </c>
      <c r="B832" s="3">
        <v>6.2099999999999996E-7</v>
      </c>
      <c r="C832" s="2">
        <v>4.3209999999999998E-2</v>
      </c>
      <c r="D832" s="3">
        <v>236000</v>
      </c>
      <c r="E832" s="3">
        <v>102000000000</v>
      </c>
      <c r="F832" s="3">
        <v>92800000000</v>
      </c>
      <c r="G832" s="2">
        <v>0</v>
      </c>
      <c r="H832" s="3">
        <v>9670000000</v>
      </c>
      <c r="I832" s="2">
        <v>-0.1014</v>
      </c>
      <c r="J832" s="3">
        <v>7.7500000000000003E-13</v>
      </c>
    </row>
    <row r="833" spans="1:10" x14ac:dyDescent="0.2">
      <c r="A833" s="3">
        <v>830</v>
      </c>
      <c r="B833" s="3">
        <v>6.2200000000000004E-7</v>
      </c>
      <c r="C833" s="2">
        <v>4.326E-2</v>
      </c>
      <c r="D833" s="3">
        <v>232000</v>
      </c>
      <c r="E833" s="3">
        <v>99900000000</v>
      </c>
      <c r="F833" s="3">
        <v>91400000000</v>
      </c>
      <c r="G833" s="3">
        <v>4210000000</v>
      </c>
      <c r="H833" s="3">
        <v>9710000000</v>
      </c>
      <c r="I833" s="2">
        <v>4.6109999999999998E-2</v>
      </c>
      <c r="J833" s="3">
        <v>8.0300000000000001E-13</v>
      </c>
    </row>
    <row r="834" spans="1:10" x14ac:dyDescent="0.2">
      <c r="A834" s="3">
        <v>830</v>
      </c>
      <c r="B834" s="3">
        <v>6.2300000000000001E-7</v>
      </c>
      <c r="C834" s="2">
        <v>4.3319999999999997E-2</v>
      </c>
      <c r="D834" s="3">
        <v>229000</v>
      </c>
      <c r="E834" s="3">
        <v>98500000000</v>
      </c>
      <c r="F834" s="3">
        <v>90300000000</v>
      </c>
      <c r="G834" s="2">
        <v>0</v>
      </c>
      <c r="H834" s="3">
        <v>9750000000</v>
      </c>
      <c r="I834" s="2">
        <v>-3.0249999999999999E-2</v>
      </c>
      <c r="J834" s="3">
        <v>8.2600000000000001E-13</v>
      </c>
    </row>
    <row r="835" spans="1:10" x14ac:dyDescent="0.2">
      <c r="A835" s="3">
        <v>830</v>
      </c>
      <c r="B835" s="3">
        <v>6.2399999999999998E-7</v>
      </c>
      <c r="C835" s="2">
        <v>4.3369999999999999E-2</v>
      </c>
      <c r="D835" s="3">
        <v>240000</v>
      </c>
      <c r="E835" s="3">
        <v>103000000000</v>
      </c>
      <c r="F835" s="3">
        <v>94000000000</v>
      </c>
      <c r="G835" s="2">
        <v>0</v>
      </c>
      <c r="H835" s="3">
        <v>9610000000</v>
      </c>
      <c r="I835" s="2">
        <v>-2.8660000000000001E-2</v>
      </c>
      <c r="J835" s="3">
        <v>7.5100000000000003E-13</v>
      </c>
    </row>
    <row r="836" spans="1:10" x14ac:dyDescent="0.2">
      <c r="A836" s="3">
        <v>830</v>
      </c>
      <c r="B836" s="3">
        <v>6.2500000000000005E-7</v>
      </c>
      <c r="C836" s="2">
        <v>4.342E-2</v>
      </c>
      <c r="D836" s="3">
        <v>230000</v>
      </c>
      <c r="E836" s="3">
        <v>98900000000</v>
      </c>
      <c r="F836" s="3">
        <v>90500000000</v>
      </c>
      <c r="G836" s="3">
        <v>3060000000</v>
      </c>
      <c r="H836" s="3">
        <v>9720000000</v>
      </c>
      <c r="I836" s="2">
        <v>3.3829999999999999E-2</v>
      </c>
      <c r="J836" s="3">
        <v>8.1900000000000004E-13</v>
      </c>
    </row>
    <row r="837" spans="1:10" x14ac:dyDescent="0.2">
      <c r="A837" s="3">
        <v>840</v>
      </c>
      <c r="B837" s="3">
        <v>6.2600000000000002E-7</v>
      </c>
      <c r="C837" s="2">
        <v>4.3470000000000002E-2</v>
      </c>
      <c r="D837" s="3">
        <v>236000</v>
      </c>
      <c r="E837" s="3">
        <v>101000000000</v>
      </c>
      <c r="F837" s="3">
        <v>92300000000</v>
      </c>
      <c r="G837" s="3">
        <v>4490000000</v>
      </c>
      <c r="H837" s="3">
        <v>9660000000</v>
      </c>
      <c r="I837" s="2">
        <v>4.8660000000000002E-2</v>
      </c>
      <c r="J837" s="3">
        <v>7.8399999999999999E-13</v>
      </c>
    </row>
    <row r="838" spans="1:10" x14ac:dyDescent="0.2">
      <c r="A838" s="3">
        <v>840</v>
      </c>
      <c r="B838" s="3">
        <v>6.2600000000000002E-7</v>
      </c>
      <c r="C838" s="2">
        <v>4.3520000000000003E-2</v>
      </c>
      <c r="D838" s="3">
        <v>248000</v>
      </c>
      <c r="E838" s="3">
        <v>106000000000</v>
      </c>
      <c r="F838" s="3">
        <v>96400000000</v>
      </c>
      <c r="G838" s="3">
        <v>4610000000</v>
      </c>
      <c r="H838" s="3">
        <v>9530000000</v>
      </c>
      <c r="I838" s="2">
        <v>4.786E-2</v>
      </c>
      <c r="J838" s="3">
        <v>7.0800000000000001E-13</v>
      </c>
    </row>
    <row r="839" spans="1:10" x14ac:dyDescent="0.2">
      <c r="A839" s="3">
        <v>840</v>
      </c>
      <c r="B839" s="3">
        <v>6.2699999999999999E-7</v>
      </c>
      <c r="C839" s="2">
        <v>4.3569999999999998E-2</v>
      </c>
      <c r="D839" s="3">
        <v>226000</v>
      </c>
      <c r="E839" s="3">
        <v>96900000000</v>
      </c>
      <c r="F839" s="3">
        <v>88900000000</v>
      </c>
      <c r="G839" s="2">
        <v>0</v>
      </c>
      <c r="H839" s="3">
        <v>9780000000</v>
      </c>
      <c r="I839" s="2">
        <v>-9.5399999999999999E-3</v>
      </c>
      <c r="J839" s="3">
        <v>8.54E-13</v>
      </c>
    </row>
    <row r="840" spans="1:10" x14ac:dyDescent="0.2">
      <c r="A840" s="3">
        <v>840</v>
      </c>
      <c r="B840" s="3">
        <v>6.2799999999999996E-7</v>
      </c>
      <c r="C840" s="2">
        <v>4.3630000000000002E-2</v>
      </c>
      <c r="D840" s="3">
        <v>260000</v>
      </c>
      <c r="E840" s="3">
        <v>111000000000</v>
      </c>
      <c r="F840" s="3">
        <v>100000000000</v>
      </c>
      <c r="G840" s="3">
        <v>12600000000</v>
      </c>
      <c r="H840" s="3">
        <v>9410000000</v>
      </c>
      <c r="I840" s="2">
        <v>0.12540000000000001</v>
      </c>
      <c r="J840" s="3">
        <v>6.4699999999999997E-13</v>
      </c>
    </row>
    <row r="841" spans="1:10" x14ac:dyDescent="0.2">
      <c r="A841" s="3">
        <v>840</v>
      </c>
      <c r="B841" s="3">
        <v>6.2900000000000003E-7</v>
      </c>
      <c r="C841" s="2">
        <v>4.3679999999999997E-2</v>
      </c>
      <c r="D841" s="3">
        <v>255000</v>
      </c>
      <c r="E841" s="3">
        <v>109000000000</v>
      </c>
      <c r="F841" s="3">
        <v>98700000000</v>
      </c>
      <c r="G841" s="3">
        <v>9900000000</v>
      </c>
      <c r="H841" s="3">
        <v>9470000000</v>
      </c>
      <c r="I841" s="2">
        <v>0.1003</v>
      </c>
      <c r="J841" s="3">
        <v>6.7099999999999997E-13</v>
      </c>
    </row>
    <row r="842" spans="1:10" x14ac:dyDescent="0.2">
      <c r="A842" s="3">
        <v>840</v>
      </c>
      <c r="B842" s="3">
        <v>6.2900000000000003E-7</v>
      </c>
      <c r="C842" s="2">
        <v>4.3740000000000001E-2</v>
      </c>
      <c r="D842" s="3">
        <v>226000</v>
      </c>
      <c r="E842" s="3">
        <v>96900000000</v>
      </c>
      <c r="F842" s="3">
        <v>88900000000</v>
      </c>
      <c r="G842" s="3">
        <v>3200000000</v>
      </c>
      <c r="H842" s="3">
        <v>9780000000</v>
      </c>
      <c r="I842" s="2">
        <v>3.6040000000000003E-2</v>
      </c>
      <c r="J842" s="3">
        <v>8.54E-13</v>
      </c>
    </row>
    <row r="843" spans="1:10" x14ac:dyDescent="0.2">
      <c r="A843" s="3">
        <v>840</v>
      </c>
      <c r="B843" s="3">
        <v>6.3099999999999997E-7</v>
      </c>
      <c r="C843" s="2">
        <v>4.3790000000000003E-2</v>
      </c>
      <c r="D843" s="3">
        <v>260000</v>
      </c>
      <c r="E843" s="3">
        <v>110000000000</v>
      </c>
      <c r="F843" s="3">
        <v>100000000000</v>
      </c>
      <c r="G843" s="3">
        <v>5840000000</v>
      </c>
      <c r="H843" s="3">
        <v>9420000000</v>
      </c>
      <c r="I843" s="2">
        <v>5.8400000000000001E-2</v>
      </c>
      <c r="J843" s="3">
        <v>6.4899999999999996E-13</v>
      </c>
    </row>
    <row r="844" spans="1:10" x14ac:dyDescent="0.2">
      <c r="A844" s="3">
        <v>840</v>
      </c>
      <c r="B844" s="3">
        <v>6.3099999999999997E-7</v>
      </c>
      <c r="C844" s="2">
        <v>4.3839999999999997E-2</v>
      </c>
      <c r="D844" s="3">
        <v>254000</v>
      </c>
      <c r="E844" s="3">
        <v>108000000000</v>
      </c>
      <c r="F844" s="3">
        <v>98200000000</v>
      </c>
      <c r="G844" s="3">
        <v>11500000000</v>
      </c>
      <c r="H844" s="3">
        <v>9470000000</v>
      </c>
      <c r="I844" s="2">
        <v>0.1176</v>
      </c>
      <c r="J844" s="3">
        <v>6.7800000000000004E-13</v>
      </c>
    </row>
    <row r="845" spans="1:10" x14ac:dyDescent="0.2">
      <c r="A845" s="3">
        <v>840</v>
      </c>
      <c r="B845" s="3">
        <v>6.3200000000000005E-7</v>
      </c>
      <c r="C845" s="2">
        <v>4.3889999999999998E-2</v>
      </c>
      <c r="D845" s="3">
        <v>226000</v>
      </c>
      <c r="E845" s="3">
        <v>96400000000</v>
      </c>
      <c r="F845" s="3">
        <v>88500000000</v>
      </c>
      <c r="G845" s="2">
        <v>0</v>
      </c>
      <c r="H845" s="3">
        <v>9780000000</v>
      </c>
      <c r="I845" s="2">
        <v>-1.5650000000000001E-2</v>
      </c>
      <c r="J845" s="3">
        <v>8.6199999999999996E-13</v>
      </c>
    </row>
    <row r="846" spans="1:10" x14ac:dyDescent="0.2">
      <c r="A846" s="3">
        <v>840</v>
      </c>
      <c r="B846" s="3">
        <v>6.3300000000000002E-7</v>
      </c>
      <c r="C846" s="2">
        <v>4.394E-2</v>
      </c>
      <c r="D846" s="3">
        <v>210000</v>
      </c>
      <c r="E846" s="3">
        <v>90200000000</v>
      </c>
      <c r="F846" s="3">
        <v>83200000000</v>
      </c>
      <c r="G846" s="3">
        <v>4250000000</v>
      </c>
      <c r="H846" s="3">
        <v>10000000000</v>
      </c>
      <c r="I846" s="2">
        <v>5.11E-2</v>
      </c>
      <c r="J846" s="3">
        <v>9.96E-13</v>
      </c>
    </row>
    <row r="847" spans="1:10" x14ac:dyDescent="0.2">
      <c r="A847" s="3">
        <v>850</v>
      </c>
      <c r="B847" s="3">
        <v>6.3399999999999999E-7</v>
      </c>
      <c r="C847" s="2">
        <v>4.3990000000000001E-2</v>
      </c>
      <c r="D847" s="3">
        <v>228000</v>
      </c>
      <c r="E847" s="3">
        <v>97200000000</v>
      </c>
      <c r="F847" s="3">
        <v>89200000000</v>
      </c>
      <c r="G847" s="3">
        <v>684000000</v>
      </c>
      <c r="H847" s="3">
        <v>9750000000</v>
      </c>
      <c r="I847" s="2">
        <v>7.6740000000000003E-3</v>
      </c>
      <c r="J847" s="3">
        <v>8.4600000000000003E-13</v>
      </c>
    </row>
    <row r="848" spans="1:10" x14ac:dyDescent="0.2">
      <c r="A848" s="3">
        <v>850</v>
      </c>
      <c r="B848" s="3">
        <v>6.3399999999999999E-7</v>
      </c>
      <c r="C848" s="2">
        <v>4.4040000000000003E-2</v>
      </c>
      <c r="D848" s="3">
        <v>216000</v>
      </c>
      <c r="E848" s="3">
        <v>92500000000</v>
      </c>
      <c r="F848" s="3">
        <v>85200000000</v>
      </c>
      <c r="G848" s="3">
        <v>5870000000</v>
      </c>
      <c r="H848" s="3">
        <v>9910000000</v>
      </c>
      <c r="I848" s="2">
        <v>6.8930000000000005E-2</v>
      </c>
      <c r="J848" s="3">
        <v>9.4200000000000003E-13</v>
      </c>
    </row>
    <row r="849" spans="1:10" x14ac:dyDescent="0.2">
      <c r="A849" s="3">
        <v>850</v>
      </c>
      <c r="B849" s="3">
        <v>6.3499999999999996E-7</v>
      </c>
      <c r="C849" s="2">
        <v>4.41E-2</v>
      </c>
      <c r="D849" s="3">
        <v>222000</v>
      </c>
      <c r="E849" s="3">
        <v>94900000000</v>
      </c>
      <c r="F849" s="3">
        <v>87200000000</v>
      </c>
      <c r="G849" s="3">
        <v>2850000000</v>
      </c>
      <c r="H849" s="3">
        <v>9820000000</v>
      </c>
      <c r="I849" s="2">
        <v>3.27E-2</v>
      </c>
      <c r="J849" s="3">
        <v>8.9100000000000004E-13</v>
      </c>
    </row>
    <row r="850" spans="1:10" x14ac:dyDescent="0.2">
      <c r="A850" s="3">
        <v>850</v>
      </c>
      <c r="B850" s="3">
        <v>6.3600000000000003E-7</v>
      </c>
      <c r="C850" s="2">
        <v>4.4150000000000002E-2</v>
      </c>
      <c r="D850" s="3">
        <v>237000</v>
      </c>
      <c r="E850" s="3">
        <v>101000000000</v>
      </c>
      <c r="F850" s="3">
        <v>92000000000</v>
      </c>
      <c r="G850" s="3">
        <v>7270000000</v>
      </c>
      <c r="H850" s="3">
        <v>9650000000</v>
      </c>
      <c r="I850" s="2">
        <v>7.9030000000000003E-2</v>
      </c>
      <c r="J850" s="3">
        <v>7.8699999999999998E-13</v>
      </c>
    </row>
    <row r="851" spans="1:10" x14ac:dyDescent="0.2">
      <c r="A851" s="3">
        <v>850</v>
      </c>
      <c r="B851" s="3">
        <v>6.3600000000000003E-7</v>
      </c>
      <c r="C851" s="2">
        <v>4.4200000000000003E-2</v>
      </c>
      <c r="D851" s="3">
        <v>242000</v>
      </c>
      <c r="E851" s="3">
        <v>103000000000</v>
      </c>
      <c r="F851" s="3">
        <v>93800000000</v>
      </c>
      <c r="G851" s="3">
        <v>9240000000</v>
      </c>
      <c r="H851" s="3">
        <v>9590000000</v>
      </c>
      <c r="I851" s="2">
        <v>9.8479999999999998E-2</v>
      </c>
      <c r="J851" s="3">
        <v>7.5300000000000002E-13</v>
      </c>
    </row>
    <row r="852" spans="1:10" x14ac:dyDescent="0.2">
      <c r="A852" s="3">
        <v>850</v>
      </c>
      <c r="B852" s="3">
        <v>6.37E-7</v>
      </c>
      <c r="C852" s="2">
        <v>4.4249999999999998E-2</v>
      </c>
      <c r="D852" s="3">
        <v>250000</v>
      </c>
      <c r="E852" s="3">
        <v>106000000000</v>
      </c>
      <c r="F852" s="3">
        <v>96200000000</v>
      </c>
      <c r="G852" s="2">
        <v>0</v>
      </c>
      <c r="H852" s="3">
        <v>9520000000</v>
      </c>
      <c r="I852" s="2">
        <v>-4.4659999999999998E-2</v>
      </c>
      <c r="J852" s="3">
        <v>7.0900000000000001E-13</v>
      </c>
    </row>
    <row r="853" spans="1:10" x14ac:dyDescent="0.2">
      <c r="A853" s="3">
        <v>850</v>
      </c>
      <c r="B853" s="3">
        <v>6.3799999999999997E-7</v>
      </c>
      <c r="C853" s="2">
        <v>4.4299999999999999E-2</v>
      </c>
      <c r="D853" s="3">
        <v>215000</v>
      </c>
      <c r="E853" s="3">
        <v>91800000000</v>
      </c>
      <c r="F853" s="3">
        <v>84600000000</v>
      </c>
      <c r="G853" s="3">
        <v>1920000000</v>
      </c>
      <c r="H853" s="3">
        <v>9920000000</v>
      </c>
      <c r="I853" s="2">
        <v>2.273E-2</v>
      </c>
      <c r="J853" s="3">
        <v>9.5799999999999996E-13</v>
      </c>
    </row>
    <row r="854" spans="1:10" x14ac:dyDescent="0.2">
      <c r="A854" s="3">
        <v>850</v>
      </c>
      <c r="B854" s="3">
        <v>6.3900000000000004E-7</v>
      </c>
      <c r="C854" s="2">
        <v>4.4359999999999997E-2</v>
      </c>
      <c r="D854" s="3">
        <v>256000</v>
      </c>
      <c r="E854" s="3">
        <v>108000000000</v>
      </c>
      <c r="F854" s="3">
        <v>98200000000</v>
      </c>
      <c r="G854" s="3">
        <v>514000000</v>
      </c>
      <c r="H854" s="3">
        <v>9450000000</v>
      </c>
      <c r="I854" s="2">
        <v>5.2310000000000004E-3</v>
      </c>
      <c r="J854" s="3">
        <v>6.7600000000000005E-13</v>
      </c>
    </row>
    <row r="855" spans="1:10" x14ac:dyDescent="0.2">
      <c r="A855" s="3">
        <v>850</v>
      </c>
      <c r="B855" s="3">
        <v>6.4000000000000001E-7</v>
      </c>
      <c r="C855" s="2">
        <v>4.4409999999999998E-2</v>
      </c>
      <c r="D855" s="3">
        <v>234000</v>
      </c>
      <c r="E855" s="3">
        <v>99200000000</v>
      </c>
      <c r="F855" s="3">
        <v>90800000000</v>
      </c>
      <c r="G855" s="3">
        <v>6730000000</v>
      </c>
      <c r="H855" s="3">
        <v>9680000000</v>
      </c>
      <c r="I855" s="2">
        <v>7.4120000000000005E-2</v>
      </c>
      <c r="J855" s="3">
        <v>8.0999999999999998E-13</v>
      </c>
    </row>
    <row r="856" spans="1:10" x14ac:dyDescent="0.2">
      <c r="A856" s="3">
        <v>850</v>
      </c>
      <c r="B856" s="3">
        <v>6.4000000000000001E-7</v>
      </c>
      <c r="C856" s="2">
        <v>4.446E-2</v>
      </c>
      <c r="D856" s="3">
        <v>254000</v>
      </c>
      <c r="E856" s="3">
        <v>107000000000</v>
      </c>
      <c r="F856" s="3">
        <v>97300000000</v>
      </c>
      <c r="G856" s="3">
        <v>2040000000</v>
      </c>
      <c r="H856" s="3">
        <v>9480000000</v>
      </c>
      <c r="I856" s="2">
        <v>2.0930000000000001E-2</v>
      </c>
      <c r="J856" s="3">
        <v>6.9199999999999998E-13</v>
      </c>
    </row>
    <row r="857" spans="1:10" x14ac:dyDescent="0.2">
      <c r="A857" s="3">
        <v>860</v>
      </c>
      <c r="B857" s="3">
        <v>6.4099999999999998E-7</v>
      </c>
      <c r="C857" s="2">
        <v>4.4510000000000001E-2</v>
      </c>
      <c r="D857" s="3">
        <v>220000</v>
      </c>
      <c r="E857" s="3">
        <v>93500000000</v>
      </c>
      <c r="F857" s="3">
        <v>86000000000</v>
      </c>
      <c r="G857" s="3">
        <v>3560000000</v>
      </c>
      <c r="H857" s="3">
        <v>9870000000</v>
      </c>
      <c r="I857" s="2">
        <v>4.1369999999999997E-2</v>
      </c>
      <c r="J857" s="3">
        <v>9.2100000000000001E-13</v>
      </c>
    </row>
    <row r="858" spans="1:10" x14ac:dyDescent="0.2">
      <c r="A858" s="3">
        <v>860</v>
      </c>
      <c r="B858" s="3">
        <v>6.4199999999999995E-7</v>
      </c>
      <c r="C858" s="2">
        <v>4.4560000000000002E-2</v>
      </c>
      <c r="D858" s="3">
        <v>222000</v>
      </c>
      <c r="E858" s="3">
        <v>94300000000</v>
      </c>
      <c r="F858" s="3">
        <v>86700000000</v>
      </c>
      <c r="G858" s="2">
        <v>0</v>
      </c>
      <c r="H858" s="3">
        <v>9830000000</v>
      </c>
      <c r="I858" s="2">
        <v>-1.789E-2</v>
      </c>
      <c r="J858" s="3">
        <v>9.0199999999999999E-13</v>
      </c>
    </row>
    <row r="859" spans="1:10" x14ac:dyDescent="0.2">
      <c r="A859" s="3">
        <v>860</v>
      </c>
      <c r="B859" s="3">
        <v>6.4199999999999995E-7</v>
      </c>
      <c r="C859" s="2">
        <v>4.462E-2</v>
      </c>
      <c r="D859" s="3">
        <v>221000</v>
      </c>
      <c r="E859" s="3">
        <v>93700000000</v>
      </c>
      <c r="F859" s="3">
        <v>86200000000</v>
      </c>
      <c r="G859" s="3">
        <v>1590000000</v>
      </c>
      <c r="H859" s="3">
        <v>9860000000</v>
      </c>
      <c r="I859" s="2">
        <v>1.8429999999999998E-2</v>
      </c>
      <c r="J859" s="3">
        <v>9.1599999999999993E-13</v>
      </c>
    </row>
    <row r="860" spans="1:10" x14ac:dyDescent="0.2">
      <c r="A860" s="3">
        <v>860</v>
      </c>
      <c r="B860" s="3">
        <v>6.4300000000000003E-7</v>
      </c>
      <c r="C860" s="2">
        <v>4.4670000000000001E-2</v>
      </c>
      <c r="D860" s="3">
        <v>235000</v>
      </c>
      <c r="E860" s="3">
        <v>99200000000</v>
      </c>
      <c r="F860" s="3">
        <v>90800000000</v>
      </c>
      <c r="G860" s="3">
        <v>6570000000</v>
      </c>
      <c r="H860" s="3">
        <v>9680000000</v>
      </c>
      <c r="I860" s="2">
        <v>7.2370000000000004E-2</v>
      </c>
      <c r="J860" s="3">
        <v>8.0999999999999998E-13</v>
      </c>
    </row>
    <row r="861" spans="1:10" x14ac:dyDescent="0.2">
      <c r="A861" s="3">
        <v>860</v>
      </c>
      <c r="B861" s="3">
        <v>6.4300000000000003E-7</v>
      </c>
      <c r="C861" s="2">
        <v>4.4720000000000003E-2</v>
      </c>
      <c r="D861" s="3">
        <v>225000</v>
      </c>
      <c r="E861" s="3">
        <v>95200000000</v>
      </c>
      <c r="F861" s="3">
        <v>87400000000</v>
      </c>
      <c r="G861" s="3">
        <v>4140000000</v>
      </c>
      <c r="H861" s="3">
        <v>9810000000</v>
      </c>
      <c r="I861" s="2">
        <v>4.7300000000000002E-2</v>
      </c>
      <c r="J861" s="3">
        <v>8.8499999999999997E-13</v>
      </c>
    </row>
    <row r="862" spans="1:10" x14ac:dyDescent="0.2">
      <c r="A862" s="3">
        <v>860</v>
      </c>
      <c r="B862" s="3">
        <v>6.44E-7</v>
      </c>
      <c r="C862" s="2">
        <v>4.4769999999999997E-2</v>
      </c>
      <c r="D862" s="3">
        <v>245000</v>
      </c>
      <c r="E862" s="3">
        <v>103000000000</v>
      </c>
      <c r="F862" s="3">
        <v>94000000000</v>
      </c>
      <c r="G862" s="3">
        <v>4860000000</v>
      </c>
      <c r="H862" s="3">
        <v>9570000000</v>
      </c>
      <c r="I862" s="2">
        <v>5.1749999999999997E-2</v>
      </c>
      <c r="J862" s="3">
        <v>7.4900000000000004E-13</v>
      </c>
    </row>
    <row r="863" spans="1:10" x14ac:dyDescent="0.2">
      <c r="A863" s="3">
        <v>860</v>
      </c>
      <c r="B863" s="3">
        <v>6.4499999999999997E-7</v>
      </c>
      <c r="C863" s="2">
        <v>4.4819999999999999E-2</v>
      </c>
      <c r="D863" s="3">
        <v>232000</v>
      </c>
      <c r="E863" s="3">
        <v>97900000000</v>
      </c>
      <c r="F863" s="3">
        <v>89700000000</v>
      </c>
      <c r="G863" s="3">
        <v>8860000000</v>
      </c>
      <c r="H863" s="3">
        <v>9720000000</v>
      </c>
      <c r="I863" s="2">
        <v>9.8820000000000005E-2</v>
      </c>
      <c r="J863" s="3">
        <v>8.3399999999999998E-13</v>
      </c>
    </row>
    <row r="864" spans="1:10" x14ac:dyDescent="0.2">
      <c r="A864" s="3">
        <v>860</v>
      </c>
      <c r="B864" s="3">
        <v>6.4499999999999997E-7</v>
      </c>
      <c r="C864" s="2">
        <v>4.4880000000000003E-2</v>
      </c>
      <c r="D864" s="3">
        <v>249000</v>
      </c>
      <c r="E864" s="3">
        <v>105000000000</v>
      </c>
      <c r="F864" s="3">
        <v>95300000000</v>
      </c>
      <c r="G864" s="3">
        <v>6790000000</v>
      </c>
      <c r="H864" s="3">
        <v>9540000000</v>
      </c>
      <c r="I864" s="2">
        <v>7.1260000000000004E-2</v>
      </c>
      <c r="J864" s="3">
        <v>7.2600000000000004E-13</v>
      </c>
    </row>
    <row r="865" spans="1:10" x14ac:dyDescent="0.2">
      <c r="A865" s="3">
        <v>860</v>
      </c>
      <c r="B865" s="3">
        <v>6.4600000000000004E-7</v>
      </c>
      <c r="C865" s="2">
        <v>4.4929999999999998E-2</v>
      </c>
      <c r="D865" s="3">
        <v>247000</v>
      </c>
      <c r="E865" s="3">
        <v>104000000000</v>
      </c>
      <c r="F865" s="3">
        <v>94700000000</v>
      </c>
      <c r="G865" s="3">
        <v>11300000000</v>
      </c>
      <c r="H865" s="3">
        <v>9560000000</v>
      </c>
      <c r="I865" s="2">
        <v>0.11890000000000001</v>
      </c>
      <c r="J865" s="3">
        <v>7.3599999999999999E-13</v>
      </c>
    </row>
    <row r="866" spans="1:10" x14ac:dyDescent="0.2">
      <c r="A866" s="3">
        <v>860</v>
      </c>
      <c r="B866" s="3">
        <v>6.4700000000000001E-7</v>
      </c>
      <c r="C866" s="2">
        <v>4.4979999999999999E-2</v>
      </c>
      <c r="D866" s="3">
        <v>266000</v>
      </c>
      <c r="E866" s="3">
        <v>111000000000</v>
      </c>
      <c r="F866" s="3">
        <v>101000000000</v>
      </c>
      <c r="G866" s="3">
        <v>4810000000</v>
      </c>
      <c r="H866" s="3">
        <v>9390000000</v>
      </c>
      <c r="I866" s="2">
        <v>4.7730000000000002E-2</v>
      </c>
      <c r="J866" s="3">
        <v>6.3700000000000001E-13</v>
      </c>
    </row>
    <row r="867" spans="1:10" x14ac:dyDescent="0.2">
      <c r="A867" s="3">
        <v>870</v>
      </c>
      <c r="B867" s="3">
        <v>6.4799999999999998E-7</v>
      </c>
      <c r="C867" s="2">
        <v>4.5030000000000001E-2</v>
      </c>
      <c r="D867" s="3">
        <v>237000</v>
      </c>
      <c r="E867" s="3">
        <v>99700000000</v>
      </c>
      <c r="F867" s="3">
        <v>91200000000</v>
      </c>
      <c r="G867" s="3">
        <v>18100000000</v>
      </c>
      <c r="H867" s="3">
        <v>9670000000</v>
      </c>
      <c r="I867" s="2">
        <v>0.1986</v>
      </c>
      <c r="J867" s="3">
        <v>8.0200000000000002E-13</v>
      </c>
    </row>
    <row r="868" spans="1:10" x14ac:dyDescent="0.2">
      <c r="A868" s="3">
        <v>870</v>
      </c>
      <c r="B868" s="3">
        <v>6.4799999999999998E-7</v>
      </c>
      <c r="C868" s="2">
        <v>4.5089999999999998E-2</v>
      </c>
      <c r="D868" s="3">
        <v>229000</v>
      </c>
      <c r="E868" s="3">
        <v>96500000000</v>
      </c>
      <c r="F868" s="3">
        <v>88500000000</v>
      </c>
      <c r="G868" s="3">
        <v>6430000000</v>
      </c>
      <c r="H868" s="3">
        <v>9770000000</v>
      </c>
      <c r="I868" s="2">
        <v>7.2620000000000004E-2</v>
      </c>
      <c r="J868" s="3">
        <v>8.6099999999999997E-13</v>
      </c>
    </row>
    <row r="869" spans="1:10" x14ac:dyDescent="0.2">
      <c r="A869" s="3">
        <v>870</v>
      </c>
      <c r="B869" s="3">
        <v>6.4799999999999998E-7</v>
      </c>
      <c r="C869" s="2">
        <v>4.514E-2</v>
      </c>
      <c r="D869" s="3">
        <v>246000</v>
      </c>
      <c r="E869" s="3">
        <v>103000000000</v>
      </c>
      <c r="F869" s="3">
        <v>94100000000</v>
      </c>
      <c r="G869" s="3">
        <v>18000000000</v>
      </c>
      <c r="H869" s="3">
        <v>9580000000</v>
      </c>
      <c r="I869" s="2">
        <v>0.1915</v>
      </c>
      <c r="J869" s="3">
        <v>7.4700000000000005E-13</v>
      </c>
    </row>
    <row r="870" spans="1:10" x14ac:dyDescent="0.2">
      <c r="A870" s="3">
        <v>870</v>
      </c>
      <c r="B870" s="3">
        <v>6.4899999999999995E-7</v>
      </c>
      <c r="C870" s="2">
        <v>4.5190000000000001E-2</v>
      </c>
      <c r="D870" s="3">
        <v>223000</v>
      </c>
      <c r="E870" s="3">
        <v>93900000000</v>
      </c>
      <c r="F870" s="3">
        <v>86400000000</v>
      </c>
      <c r="G870" s="3">
        <v>9920000000</v>
      </c>
      <c r="H870" s="3">
        <v>9860000000</v>
      </c>
      <c r="I870" s="2">
        <v>0.1149</v>
      </c>
      <c r="J870" s="3">
        <v>9.1300000000000005E-13</v>
      </c>
    </row>
    <row r="871" spans="1:10" x14ac:dyDescent="0.2">
      <c r="A871" s="3">
        <v>870</v>
      </c>
      <c r="B871" s="3">
        <v>6.5000000000000002E-7</v>
      </c>
      <c r="C871" s="2">
        <v>4.5240000000000002E-2</v>
      </c>
      <c r="D871" s="3">
        <v>229000</v>
      </c>
      <c r="E871" s="3">
        <v>96400000000</v>
      </c>
      <c r="F871" s="3">
        <v>88500000000</v>
      </c>
      <c r="G871" s="2">
        <v>0</v>
      </c>
      <c r="H871" s="3">
        <v>9770000000</v>
      </c>
      <c r="I871" s="2">
        <v>-4.2999999999999997E-2</v>
      </c>
      <c r="J871" s="3">
        <v>8.6099999999999997E-13</v>
      </c>
    </row>
    <row r="872" spans="1:10" x14ac:dyDescent="0.2">
      <c r="A872" s="3">
        <v>870</v>
      </c>
      <c r="B872" s="3">
        <v>6.5000000000000002E-7</v>
      </c>
      <c r="C872" s="2">
        <v>4.53E-2</v>
      </c>
      <c r="D872" s="3">
        <v>239000</v>
      </c>
      <c r="E872" s="3">
        <v>100000000000</v>
      </c>
      <c r="F872" s="3">
        <v>91600000000</v>
      </c>
      <c r="G872" s="2">
        <v>0</v>
      </c>
      <c r="H872" s="3">
        <v>9670000000</v>
      </c>
      <c r="I872" s="2">
        <v>-3.2530000000000003E-2</v>
      </c>
      <c r="J872" s="3">
        <v>7.9600000000000004E-13</v>
      </c>
    </row>
    <row r="873" spans="1:10" x14ac:dyDescent="0.2">
      <c r="A873" s="3">
        <v>870</v>
      </c>
      <c r="B873" s="3">
        <v>6.5099999999999999E-7</v>
      </c>
      <c r="C873" s="2">
        <v>4.5350000000000001E-2</v>
      </c>
      <c r="D873" s="3">
        <v>218000</v>
      </c>
      <c r="E873" s="3">
        <v>91800000000</v>
      </c>
      <c r="F873" s="3">
        <v>84600000000</v>
      </c>
      <c r="G873" s="2">
        <v>0</v>
      </c>
      <c r="H873" s="3">
        <v>9940000000</v>
      </c>
      <c r="I873" s="2">
        <v>-1.2659999999999999E-4</v>
      </c>
      <c r="J873" s="3">
        <v>9.5799999999999996E-13</v>
      </c>
    </row>
    <row r="874" spans="1:10" x14ac:dyDescent="0.2">
      <c r="A874" s="3">
        <v>870</v>
      </c>
      <c r="B874" s="3">
        <v>6.5099999999999999E-7</v>
      </c>
      <c r="C874" s="2">
        <v>4.5400000000000003E-2</v>
      </c>
      <c r="D874" s="3">
        <v>252000</v>
      </c>
      <c r="E874" s="3">
        <v>105000000000</v>
      </c>
      <c r="F874" s="3">
        <v>95900000000</v>
      </c>
      <c r="G874" s="2">
        <v>0</v>
      </c>
      <c r="H874" s="3">
        <v>9540000000</v>
      </c>
      <c r="I874" s="2">
        <v>-1.857E-2</v>
      </c>
      <c r="J874" s="3">
        <v>7.1599999999999998E-13</v>
      </c>
    </row>
    <row r="875" spans="1:10" x14ac:dyDescent="0.2">
      <c r="A875" s="3">
        <v>870</v>
      </c>
      <c r="B875" s="3">
        <v>6.5199999999999996E-7</v>
      </c>
      <c r="C875" s="2">
        <v>4.5449999999999997E-2</v>
      </c>
      <c r="D875" s="3">
        <v>235000</v>
      </c>
      <c r="E875" s="3">
        <v>98700000000</v>
      </c>
      <c r="F875" s="3">
        <v>90400000000</v>
      </c>
      <c r="G875" s="3">
        <v>9820000000</v>
      </c>
      <c r="H875" s="3">
        <v>9720000000</v>
      </c>
      <c r="I875" s="2">
        <v>0.1087</v>
      </c>
      <c r="J875" s="3">
        <v>8.2100000000000004E-13</v>
      </c>
    </row>
    <row r="876" spans="1:10" x14ac:dyDescent="0.2">
      <c r="A876" s="3">
        <v>870</v>
      </c>
      <c r="B876" s="3">
        <v>6.5199999999999996E-7</v>
      </c>
      <c r="C876" s="2">
        <v>4.5499999999999999E-2</v>
      </c>
      <c r="D876" s="3">
        <v>245000</v>
      </c>
      <c r="E876" s="3">
        <v>103000000000</v>
      </c>
      <c r="F876" s="3">
        <v>93700000000</v>
      </c>
      <c r="G876" s="3">
        <v>4440000000</v>
      </c>
      <c r="H876" s="3">
        <v>9610000000</v>
      </c>
      <c r="I876" s="2">
        <v>4.7390000000000002E-2</v>
      </c>
      <c r="J876" s="3">
        <v>7.5600000000000001E-13</v>
      </c>
    </row>
    <row r="877" spans="1:10" x14ac:dyDescent="0.2">
      <c r="A877" s="3">
        <v>880</v>
      </c>
      <c r="B877" s="3">
        <v>6.5300000000000004E-7</v>
      </c>
      <c r="C877" s="2">
        <v>4.555E-2</v>
      </c>
      <c r="D877" s="3">
        <v>232000</v>
      </c>
      <c r="E877" s="3">
        <v>97300000000</v>
      </c>
      <c r="F877" s="3">
        <v>89200000000</v>
      </c>
      <c r="G877" s="3">
        <v>919000000</v>
      </c>
      <c r="H877" s="3">
        <v>9760000000</v>
      </c>
      <c r="I877" s="2">
        <v>1.0290000000000001E-2</v>
      </c>
      <c r="J877" s="3">
        <v>8.4600000000000003E-13</v>
      </c>
    </row>
    <row r="878" spans="1:10" x14ac:dyDescent="0.2">
      <c r="A878" s="3">
        <v>880</v>
      </c>
      <c r="B878" s="3">
        <v>6.5400000000000001E-7</v>
      </c>
      <c r="C878" s="2">
        <v>4.5609999999999998E-2</v>
      </c>
      <c r="D878" s="3">
        <v>267000</v>
      </c>
      <c r="E878" s="3">
        <v>111000000000</v>
      </c>
      <c r="F878" s="3">
        <v>101000000000</v>
      </c>
      <c r="G878" s="3">
        <v>4390000000</v>
      </c>
      <c r="H878" s="3">
        <v>9420000000</v>
      </c>
      <c r="I878" s="2">
        <v>4.3639999999999998E-2</v>
      </c>
      <c r="J878" s="3">
        <v>6.4099999999999999E-13</v>
      </c>
    </row>
    <row r="879" spans="1:10" x14ac:dyDescent="0.2">
      <c r="A879" s="3">
        <v>880</v>
      </c>
      <c r="B879" s="3">
        <v>6.5400000000000001E-7</v>
      </c>
      <c r="C879" s="2">
        <v>4.5659999999999999E-2</v>
      </c>
      <c r="D879" s="3">
        <v>242000</v>
      </c>
      <c r="E879" s="3">
        <v>101000000000</v>
      </c>
      <c r="F879" s="3">
        <v>92600000000</v>
      </c>
      <c r="G879" s="3">
        <v>9980000000</v>
      </c>
      <c r="H879" s="3">
        <v>9660000000</v>
      </c>
      <c r="I879" s="2">
        <v>0.10780000000000001</v>
      </c>
      <c r="J879" s="3">
        <v>7.7800000000000002E-13</v>
      </c>
    </row>
    <row r="880" spans="1:10" x14ac:dyDescent="0.2">
      <c r="A880" s="3">
        <v>880</v>
      </c>
      <c r="B880" s="3">
        <v>6.5499999999999998E-7</v>
      </c>
      <c r="C880" s="2">
        <v>4.5710000000000001E-2</v>
      </c>
      <c r="D880" s="3">
        <v>260000</v>
      </c>
      <c r="E880" s="3">
        <v>108000000000</v>
      </c>
      <c r="F880" s="3">
        <v>98300000000</v>
      </c>
      <c r="G880" s="3">
        <v>1970000000</v>
      </c>
      <c r="H880" s="3">
        <v>9480000000</v>
      </c>
      <c r="I880" s="2">
        <v>2.0049999999999998E-2</v>
      </c>
      <c r="J880" s="3">
        <v>6.7700000000000004E-13</v>
      </c>
    </row>
    <row r="881" spans="1:10" x14ac:dyDescent="0.2">
      <c r="A881" s="3">
        <v>880</v>
      </c>
      <c r="B881" s="3">
        <v>6.5499999999999998E-7</v>
      </c>
      <c r="C881" s="2">
        <v>4.5760000000000002E-2</v>
      </c>
      <c r="D881" s="3">
        <v>241000</v>
      </c>
      <c r="E881" s="3">
        <v>101000000000</v>
      </c>
      <c r="F881" s="3">
        <v>92100000000</v>
      </c>
      <c r="G881" s="2">
        <v>0</v>
      </c>
      <c r="H881" s="3">
        <v>9680000000</v>
      </c>
      <c r="I881" s="2">
        <v>-6.9950000000000003E-3</v>
      </c>
      <c r="J881" s="3">
        <v>7.8799999999999997E-13</v>
      </c>
    </row>
    <row r="882" spans="1:10" x14ac:dyDescent="0.2">
      <c r="A882" s="3">
        <v>880</v>
      </c>
      <c r="B882" s="3">
        <v>6.5600000000000005E-7</v>
      </c>
      <c r="C882" s="2">
        <v>4.582E-2</v>
      </c>
      <c r="D882" s="3">
        <v>248000</v>
      </c>
      <c r="E882" s="3">
        <v>103000000000</v>
      </c>
      <c r="F882" s="3">
        <v>94200000000</v>
      </c>
      <c r="G882" s="2">
        <v>0</v>
      </c>
      <c r="H882" s="3">
        <v>9610000000</v>
      </c>
      <c r="I882" s="2">
        <v>-8.9970000000000002E-4</v>
      </c>
      <c r="J882" s="3">
        <v>7.4700000000000005E-13</v>
      </c>
    </row>
    <row r="883" spans="1:10" x14ac:dyDescent="0.2">
      <c r="A883" s="3">
        <v>880</v>
      </c>
      <c r="B883" s="3">
        <v>6.5600000000000005E-7</v>
      </c>
      <c r="C883" s="2">
        <v>4.5870000000000001E-2</v>
      </c>
      <c r="D883" s="3">
        <v>243000</v>
      </c>
      <c r="E883" s="3">
        <v>101000000000</v>
      </c>
      <c r="F883" s="3">
        <v>92500000000</v>
      </c>
      <c r="G883" s="2">
        <v>0</v>
      </c>
      <c r="H883" s="3">
        <v>9670000000</v>
      </c>
      <c r="I883" s="2">
        <v>-5.7270000000000001E-2</v>
      </c>
      <c r="J883" s="3">
        <v>7.8000000000000001E-13</v>
      </c>
    </row>
    <row r="884" spans="1:10" x14ac:dyDescent="0.2">
      <c r="A884" s="3">
        <v>880</v>
      </c>
      <c r="B884" s="3">
        <v>6.5700000000000002E-7</v>
      </c>
      <c r="C884" s="2">
        <v>4.5920000000000002E-2</v>
      </c>
      <c r="D884" s="3">
        <v>248000</v>
      </c>
      <c r="E884" s="3">
        <v>103000000000</v>
      </c>
      <c r="F884" s="3">
        <v>94100000000</v>
      </c>
      <c r="G884" s="3">
        <v>11000000000</v>
      </c>
      <c r="H884" s="3">
        <v>9620000000</v>
      </c>
      <c r="I884" s="2">
        <v>0.1172</v>
      </c>
      <c r="J884" s="3">
        <v>7.5000000000000004E-13</v>
      </c>
    </row>
    <row r="885" spans="1:10" x14ac:dyDescent="0.2">
      <c r="A885" s="3">
        <v>880</v>
      </c>
      <c r="B885" s="3">
        <v>6.5799999999999999E-7</v>
      </c>
      <c r="C885" s="2">
        <v>4.5969999999999997E-2</v>
      </c>
      <c r="D885" s="3">
        <v>232000</v>
      </c>
      <c r="E885" s="3">
        <v>97100000000</v>
      </c>
      <c r="F885" s="3">
        <v>89100000000</v>
      </c>
      <c r="G885" s="3">
        <v>5100000000</v>
      </c>
      <c r="H885" s="3">
        <v>9790000000</v>
      </c>
      <c r="I885" s="2">
        <v>5.7299999999999997E-2</v>
      </c>
      <c r="J885" s="3">
        <v>8.52E-13</v>
      </c>
    </row>
    <row r="886" spans="1:10" x14ac:dyDescent="0.2">
      <c r="A886" s="3">
        <v>880</v>
      </c>
      <c r="B886" s="3">
        <v>6.5799999999999999E-7</v>
      </c>
      <c r="C886" s="2">
        <v>4.6019999999999998E-2</v>
      </c>
      <c r="D886" s="3">
        <v>263000</v>
      </c>
      <c r="E886" s="3">
        <v>109000000000</v>
      </c>
      <c r="F886" s="3">
        <v>99300000000</v>
      </c>
      <c r="G886" s="3">
        <v>347000000</v>
      </c>
      <c r="H886" s="3">
        <v>9480000000</v>
      </c>
      <c r="I886" s="2">
        <v>3.496E-3</v>
      </c>
      <c r="J886" s="3">
        <v>6.63E-13</v>
      </c>
    </row>
    <row r="887" spans="1:10" x14ac:dyDescent="0.2">
      <c r="A887" s="3">
        <v>890</v>
      </c>
      <c r="B887" s="3">
        <v>6.5799999999999999E-7</v>
      </c>
      <c r="C887" s="2">
        <v>4.6080000000000003E-2</v>
      </c>
      <c r="D887" s="3">
        <v>214000</v>
      </c>
      <c r="E887" s="3">
        <v>90200000000</v>
      </c>
      <c r="F887" s="3">
        <v>83200000000</v>
      </c>
      <c r="G887" s="3">
        <v>3710000000</v>
      </c>
      <c r="H887" s="3">
        <v>10100000000</v>
      </c>
      <c r="I887" s="2">
        <v>4.4569999999999999E-2</v>
      </c>
      <c r="J887" s="3">
        <v>9.9999999999999998E-13</v>
      </c>
    </row>
    <row r="888" spans="1:10" x14ac:dyDescent="0.2">
      <c r="A888" s="3">
        <v>890</v>
      </c>
      <c r="B888" s="3">
        <v>6.5899999999999996E-7</v>
      </c>
      <c r="C888" s="2">
        <v>4.6129999999999997E-2</v>
      </c>
      <c r="D888" s="3">
        <v>233000</v>
      </c>
      <c r="E888" s="3">
        <v>97100000000</v>
      </c>
      <c r="F888" s="3">
        <v>89100000000</v>
      </c>
      <c r="G888" s="3">
        <v>5650000000</v>
      </c>
      <c r="H888" s="3">
        <v>9810000000</v>
      </c>
      <c r="I888" s="2">
        <v>6.3420000000000004E-2</v>
      </c>
      <c r="J888" s="3">
        <v>8.54E-13</v>
      </c>
    </row>
    <row r="889" spans="1:10" x14ac:dyDescent="0.2">
      <c r="A889" s="3">
        <v>890</v>
      </c>
      <c r="B889" s="3">
        <v>6.6000000000000003E-7</v>
      </c>
      <c r="C889" s="2">
        <v>4.6179999999999999E-2</v>
      </c>
      <c r="D889" s="3">
        <v>248000</v>
      </c>
      <c r="E889" s="3">
        <v>103000000000</v>
      </c>
      <c r="F889" s="3">
        <v>94000000000</v>
      </c>
      <c r="G889" s="3">
        <v>5280000000</v>
      </c>
      <c r="H889" s="3">
        <v>9630000000</v>
      </c>
      <c r="I889" s="2">
        <v>5.6169999999999998E-2</v>
      </c>
      <c r="J889" s="3">
        <v>7.5200000000000003E-13</v>
      </c>
    </row>
    <row r="890" spans="1:10" x14ac:dyDescent="0.2">
      <c r="A890" s="3">
        <v>890</v>
      </c>
      <c r="B890" s="3">
        <v>6.6000000000000003E-7</v>
      </c>
      <c r="C890" s="2">
        <v>4.623E-2</v>
      </c>
      <c r="D890" s="3">
        <v>227000</v>
      </c>
      <c r="E890" s="3">
        <v>95000000000</v>
      </c>
      <c r="F890" s="3">
        <v>87300000000</v>
      </c>
      <c r="G890" s="3">
        <v>6170000000</v>
      </c>
      <c r="H890" s="3">
        <v>9870000000</v>
      </c>
      <c r="I890" s="2">
        <v>7.0690000000000003E-2</v>
      </c>
      <c r="J890" s="3">
        <v>8.9400000000000003E-13</v>
      </c>
    </row>
    <row r="891" spans="1:10" x14ac:dyDescent="0.2">
      <c r="A891" s="3">
        <v>890</v>
      </c>
      <c r="B891" s="3">
        <v>6.6000000000000003E-7</v>
      </c>
      <c r="C891" s="2">
        <v>4.6289999999999998E-2</v>
      </c>
      <c r="D891" s="3">
        <v>259000</v>
      </c>
      <c r="E891" s="3">
        <v>107000000000</v>
      </c>
      <c r="F891" s="3">
        <v>97600000000</v>
      </c>
      <c r="G891" s="3">
        <v>2280000000</v>
      </c>
      <c r="H891" s="3">
        <v>9540000000</v>
      </c>
      <c r="I891" s="2">
        <v>2.3400000000000001E-2</v>
      </c>
      <c r="J891" s="3">
        <v>6.9099999999999998E-13</v>
      </c>
    </row>
    <row r="892" spans="1:10" x14ac:dyDescent="0.2">
      <c r="A892" s="3">
        <v>890</v>
      </c>
      <c r="B892" s="3">
        <v>6.61E-7</v>
      </c>
      <c r="C892" s="2">
        <v>4.6339999999999999E-2</v>
      </c>
      <c r="D892" s="3">
        <v>249000</v>
      </c>
      <c r="E892" s="3">
        <v>103000000000</v>
      </c>
      <c r="F892" s="3">
        <v>94300000000</v>
      </c>
      <c r="G892" s="3">
        <v>3070000000</v>
      </c>
      <c r="H892" s="3">
        <v>9630000000</v>
      </c>
      <c r="I892" s="2">
        <v>3.261E-2</v>
      </c>
      <c r="J892" s="3">
        <v>7.4800000000000004E-13</v>
      </c>
    </row>
    <row r="893" spans="1:10" x14ac:dyDescent="0.2">
      <c r="A893" s="3">
        <v>890</v>
      </c>
      <c r="B893" s="3">
        <v>6.6199999999999997E-7</v>
      </c>
      <c r="C893" s="2">
        <v>4.6390000000000001E-2</v>
      </c>
      <c r="D893" s="3">
        <v>255000</v>
      </c>
      <c r="E893" s="3">
        <v>106000000000</v>
      </c>
      <c r="F893" s="3">
        <v>96100000000</v>
      </c>
      <c r="G893" s="2">
        <v>0</v>
      </c>
      <c r="H893" s="3">
        <v>9570000000</v>
      </c>
      <c r="I893" s="2">
        <v>-2.7609999999999999E-2</v>
      </c>
      <c r="J893" s="3">
        <v>7.1499999999999998E-13</v>
      </c>
    </row>
    <row r="894" spans="1:10" x14ac:dyDescent="0.2">
      <c r="A894" s="3">
        <v>890</v>
      </c>
      <c r="B894" s="3">
        <v>6.6300000000000005E-7</v>
      </c>
      <c r="C894" s="2">
        <v>4.6440000000000002E-2</v>
      </c>
      <c r="D894" s="3">
        <v>231000</v>
      </c>
      <c r="E894" s="3">
        <v>96100000000</v>
      </c>
      <c r="F894" s="3">
        <v>88200000000</v>
      </c>
      <c r="G894" s="3">
        <v>1310000000</v>
      </c>
      <c r="H894" s="3">
        <v>9830000000</v>
      </c>
      <c r="I894" s="2">
        <v>1.487E-2</v>
      </c>
      <c r="J894" s="3">
        <v>8.7200000000000002E-13</v>
      </c>
    </row>
    <row r="895" spans="1:10" x14ac:dyDescent="0.2">
      <c r="A895" s="3">
        <v>890</v>
      </c>
      <c r="B895" s="3">
        <v>6.6400000000000002E-7</v>
      </c>
      <c r="C895" s="2">
        <v>4.6489999999999997E-2</v>
      </c>
      <c r="D895" s="3">
        <v>219000</v>
      </c>
      <c r="E895" s="3">
        <v>91400000000</v>
      </c>
      <c r="F895" s="3">
        <v>84200000000</v>
      </c>
      <c r="G895" s="3">
        <v>14900000000</v>
      </c>
      <c r="H895" s="3">
        <v>9980000000</v>
      </c>
      <c r="I895" s="2">
        <v>0.17710000000000001</v>
      </c>
      <c r="J895" s="3">
        <v>9.71E-13</v>
      </c>
    </row>
    <row r="896" spans="1:10" x14ac:dyDescent="0.2">
      <c r="A896" s="3">
        <v>890</v>
      </c>
      <c r="B896" s="3">
        <v>6.6499999999999999E-7</v>
      </c>
      <c r="C896" s="2">
        <v>4.6539999999999998E-2</v>
      </c>
      <c r="D896" s="3">
        <v>230000</v>
      </c>
      <c r="E896" s="3">
        <v>95600000000</v>
      </c>
      <c r="F896" s="3">
        <v>87800000000</v>
      </c>
      <c r="G896" s="2">
        <v>0</v>
      </c>
      <c r="H896" s="3">
        <v>9830000000</v>
      </c>
      <c r="I896" s="2">
        <v>-2.631E-2</v>
      </c>
      <c r="J896" s="3">
        <v>8.8099999999999998E-13</v>
      </c>
    </row>
    <row r="897" spans="1:10" x14ac:dyDescent="0.2">
      <c r="A897" s="3">
        <v>900</v>
      </c>
      <c r="B897" s="3">
        <v>6.6599999999999996E-7</v>
      </c>
      <c r="C897" s="2">
        <v>4.6600000000000003E-2</v>
      </c>
      <c r="D897" s="3">
        <v>223000</v>
      </c>
      <c r="E897" s="3">
        <v>92800000000</v>
      </c>
      <c r="F897" s="3">
        <v>85400000000</v>
      </c>
      <c r="G897" s="3">
        <v>9600000000</v>
      </c>
      <c r="H897" s="3">
        <v>9920000000</v>
      </c>
      <c r="I897" s="2">
        <v>0.1124</v>
      </c>
      <c r="J897" s="3">
        <v>9.3800000000000004E-13</v>
      </c>
    </row>
    <row r="898" spans="1:10" x14ac:dyDescent="0.2">
      <c r="A898" s="3">
        <v>900</v>
      </c>
      <c r="B898" s="3">
        <v>6.6599999999999996E-7</v>
      </c>
      <c r="C898" s="2">
        <v>4.6649999999999997E-2</v>
      </c>
      <c r="D898" s="3">
        <v>250000</v>
      </c>
      <c r="E898" s="3">
        <v>104000000000</v>
      </c>
      <c r="F898" s="3">
        <v>94400000000</v>
      </c>
      <c r="G898" s="2">
        <v>0</v>
      </c>
      <c r="H898" s="3">
        <v>9610000000</v>
      </c>
      <c r="I898" s="2">
        <v>-5.62E-3</v>
      </c>
      <c r="J898" s="3">
        <v>7.4399999999999996E-13</v>
      </c>
    </row>
    <row r="899" spans="1:10" x14ac:dyDescent="0.2">
      <c r="A899" s="3">
        <v>900</v>
      </c>
      <c r="B899" s="3">
        <v>6.6700000000000003E-7</v>
      </c>
      <c r="C899" s="2">
        <v>4.6699999999999998E-2</v>
      </c>
      <c r="D899" s="3">
        <v>245000</v>
      </c>
      <c r="E899" s="3">
        <v>102000000000</v>
      </c>
      <c r="F899" s="3">
        <v>92700000000</v>
      </c>
      <c r="G899" s="3">
        <v>2820000000</v>
      </c>
      <c r="H899" s="3">
        <v>9660000000</v>
      </c>
      <c r="I899" s="2">
        <v>3.0380000000000001E-2</v>
      </c>
      <c r="J899" s="3">
        <v>7.7500000000000003E-13</v>
      </c>
    </row>
    <row r="900" spans="1:10" x14ac:dyDescent="0.2">
      <c r="A900" s="3">
        <v>900</v>
      </c>
      <c r="B900" s="3">
        <v>6.68E-7</v>
      </c>
      <c r="C900" s="2">
        <v>4.675E-2</v>
      </c>
      <c r="D900" s="3">
        <v>219000</v>
      </c>
      <c r="E900" s="3">
        <v>91200000000</v>
      </c>
      <c r="F900" s="3">
        <v>84000000000</v>
      </c>
      <c r="G900" s="3">
        <v>10100000000</v>
      </c>
      <c r="H900" s="3">
        <v>9980000000</v>
      </c>
      <c r="I900" s="2">
        <v>0.1206</v>
      </c>
      <c r="J900" s="3">
        <v>9.7600000000000008E-13</v>
      </c>
    </row>
    <row r="901" spans="1:10" x14ac:dyDescent="0.2">
      <c r="A901" s="3">
        <v>900</v>
      </c>
      <c r="B901" s="3">
        <v>6.68E-7</v>
      </c>
      <c r="C901" s="2">
        <v>4.6800000000000001E-2</v>
      </c>
      <c r="D901" s="3">
        <v>249000</v>
      </c>
      <c r="E901" s="3">
        <v>103000000000</v>
      </c>
      <c r="F901" s="3">
        <v>93900000000</v>
      </c>
      <c r="G901" s="3">
        <v>11200000000</v>
      </c>
      <c r="H901" s="3">
        <v>9630000000</v>
      </c>
      <c r="I901" s="2">
        <v>0.1187</v>
      </c>
      <c r="J901" s="3">
        <v>7.5400000000000002E-13</v>
      </c>
    </row>
    <row r="902" spans="1:10" x14ac:dyDescent="0.2">
      <c r="A902" s="3">
        <v>900</v>
      </c>
      <c r="B902" s="3">
        <v>6.6899999999999997E-7</v>
      </c>
      <c r="C902" s="2">
        <v>4.6859999999999999E-2</v>
      </c>
      <c r="D902" s="3">
        <v>247000</v>
      </c>
      <c r="E902" s="3">
        <v>102000000000</v>
      </c>
      <c r="F902" s="3">
        <v>93200000000</v>
      </c>
      <c r="G902" s="3">
        <v>3790000000</v>
      </c>
      <c r="H902" s="3">
        <v>9650000000</v>
      </c>
      <c r="I902" s="2">
        <v>4.0660000000000002E-2</v>
      </c>
      <c r="J902" s="3">
        <v>7.6699999999999996E-13</v>
      </c>
    </row>
    <row r="903" spans="1:10" x14ac:dyDescent="0.2">
      <c r="A903" s="3">
        <v>900</v>
      </c>
      <c r="B903" s="3">
        <v>6.7000000000000004E-7</v>
      </c>
      <c r="C903" s="2">
        <v>4.691E-2</v>
      </c>
      <c r="D903" s="3">
        <v>258000</v>
      </c>
      <c r="E903" s="3">
        <v>106000000000</v>
      </c>
      <c r="F903" s="3">
        <v>96700000000</v>
      </c>
      <c r="G903" s="3">
        <v>7550000000</v>
      </c>
      <c r="H903" s="3">
        <v>9540000000</v>
      </c>
      <c r="I903" s="2">
        <v>7.8049999999999994E-2</v>
      </c>
      <c r="J903" s="3">
        <v>7.0500000000000003E-13</v>
      </c>
    </row>
    <row r="904" spans="1:10" x14ac:dyDescent="0.2">
      <c r="A904" s="3">
        <v>900</v>
      </c>
      <c r="B904" s="3">
        <v>6.7000000000000004E-7</v>
      </c>
      <c r="C904" s="2">
        <v>4.6960000000000002E-2</v>
      </c>
      <c r="D904" s="3">
        <v>222000</v>
      </c>
      <c r="E904" s="3">
        <v>92200000000</v>
      </c>
      <c r="F904" s="3">
        <v>84900000000</v>
      </c>
      <c r="G904" s="3">
        <v>1870000000</v>
      </c>
      <c r="H904" s="3">
        <v>9950000000</v>
      </c>
      <c r="I904" s="2">
        <v>2.2069999999999999E-2</v>
      </c>
      <c r="J904" s="3">
        <v>9.5199999999999998E-13</v>
      </c>
    </row>
    <row r="905" spans="1:10" x14ac:dyDescent="0.2">
      <c r="A905" s="3">
        <v>900</v>
      </c>
      <c r="B905" s="3">
        <v>6.7100000000000001E-7</v>
      </c>
      <c r="C905" s="2">
        <v>4.7010000000000003E-2</v>
      </c>
      <c r="D905" s="3">
        <v>232000</v>
      </c>
      <c r="E905" s="3">
        <v>96000000000</v>
      </c>
      <c r="F905" s="3">
        <v>88100000000</v>
      </c>
      <c r="G905" s="3">
        <v>8130000000</v>
      </c>
      <c r="H905" s="3">
        <v>9820000000</v>
      </c>
      <c r="I905" s="2">
        <v>9.2179999999999998E-2</v>
      </c>
      <c r="J905" s="3">
        <v>8.7200000000000002E-13</v>
      </c>
    </row>
    <row r="906" spans="1:10" x14ac:dyDescent="0.2">
      <c r="A906" s="3">
        <v>900</v>
      </c>
      <c r="B906" s="3">
        <v>6.7199999999999998E-7</v>
      </c>
      <c r="C906" s="2">
        <v>4.7059999999999998E-2</v>
      </c>
      <c r="D906" s="3">
        <v>235000</v>
      </c>
      <c r="E906" s="3">
        <v>97100000000</v>
      </c>
      <c r="F906" s="3">
        <v>89100000000</v>
      </c>
      <c r="G906" s="2">
        <v>0</v>
      </c>
      <c r="H906" s="3">
        <v>9790000000</v>
      </c>
      <c r="I906" s="2">
        <v>-4.9230000000000003E-2</v>
      </c>
      <c r="J906" s="3">
        <v>8.52E-13</v>
      </c>
    </row>
    <row r="907" spans="1:10" x14ac:dyDescent="0.2">
      <c r="A907" s="3">
        <v>910</v>
      </c>
      <c r="B907" s="3">
        <v>6.7199999999999998E-7</v>
      </c>
      <c r="C907" s="2">
        <v>4.7120000000000002E-2</v>
      </c>
      <c r="D907" s="3">
        <v>224000</v>
      </c>
      <c r="E907" s="3">
        <v>92800000000</v>
      </c>
      <c r="F907" s="3">
        <v>85500000000</v>
      </c>
      <c r="G907" s="3">
        <v>3000000000</v>
      </c>
      <c r="H907" s="3">
        <v>9930000000</v>
      </c>
      <c r="I907" s="2">
        <v>3.5049999999999998E-2</v>
      </c>
      <c r="J907" s="3">
        <v>9.3899999999999994E-13</v>
      </c>
    </row>
    <row r="908" spans="1:10" x14ac:dyDescent="0.2">
      <c r="A908" s="3">
        <v>910</v>
      </c>
      <c r="B908" s="3">
        <v>6.7299999999999995E-7</v>
      </c>
      <c r="C908" s="2">
        <v>4.7169999999999997E-2</v>
      </c>
      <c r="D908" s="3">
        <v>235000</v>
      </c>
      <c r="E908" s="3">
        <v>96900000000</v>
      </c>
      <c r="F908" s="3">
        <v>88900000000</v>
      </c>
      <c r="G908" s="2">
        <v>0</v>
      </c>
      <c r="H908" s="3">
        <v>9790000000</v>
      </c>
      <c r="I908" s="2">
        <v>-2.3349999999999998E-3</v>
      </c>
      <c r="J908" s="3">
        <v>8.5499999999999999E-13</v>
      </c>
    </row>
    <row r="909" spans="1:10" x14ac:dyDescent="0.2">
      <c r="A909" s="3">
        <v>910</v>
      </c>
      <c r="B909" s="3">
        <v>6.7400000000000003E-7</v>
      </c>
      <c r="C909" s="2">
        <v>4.7219999999999998E-2</v>
      </c>
      <c r="D909" s="3">
        <v>253000</v>
      </c>
      <c r="E909" s="3">
        <v>104000000000</v>
      </c>
      <c r="F909" s="3">
        <v>94700000000</v>
      </c>
      <c r="G909" s="3">
        <v>4420000000</v>
      </c>
      <c r="H909" s="3">
        <v>9600000000</v>
      </c>
      <c r="I909" s="2">
        <v>4.6649999999999997E-2</v>
      </c>
      <c r="J909" s="3">
        <v>7.3899999999999998E-13</v>
      </c>
    </row>
    <row r="910" spans="1:10" x14ac:dyDescent="0.2">
      <c r="A910" s="3">
        <v>910</v>
      </c>
      <c r="B910" s="3">
        <v>6.75E-7</v>
      </c>
      <c r="C910" s="2">
        <v>4.727E-2</v>
      </c>
      <c r="D910" s="3">
        <v>231000</v>
      </c>
      <c r="E910" s="3">
        <v>95300000000</v>
      </c>
      <c r="F910" s="3">
        <v>87600000000</v>
      </c>
      <c r="G910" s="3">
        <v>6060000000</v>
      </c>
      <c r="H910" s="3">
        <v>9840000000</v>
      </c>
      <c r="I910" s="2">
        <v>6.9199999999999998E-2</v>
      </c>
      <c r="J910" s="3">
        <v>8.8599999999999996E-13</v>
      </c>
    </row>
    <row r="911" spans="1:10" x14ac:dyDescent="0.2">
      <c r="A911" s="3">
        <v>910</v>
      </c>
      <c r="B911" s="3">
        <v>6.75E-7</v>
      </c>
      <c r="C911" s="2">
        <v>4.7320000000000001E-2</v>
      </c>
      <c r="D911" s="3">
        <v>258000</v>
      </c>
      <c r="E911" s="3">
        <v>106000000000</v>
      </c>
      <c r="F911" s="3">
        <v>96300000000</v>
      </c>
      <c r="G911" s="3">
        <v>5720000000</v>
      </c>
      <c r="H911" s="3">
        <v>9550000000</v>
      </c>
      <c r="I911" s="2">
        <v>5.9380000000000002E-2</v>
      </c>
      <c r="J911" s="3">
        <v>7.1E-13</v>
      </c>
    </row>
    <row r="912" spans="1:10" x14ac:dyDescent="0.2">
      <c r="A912" s="3">
        <v>910</v>
      </c>
      <c r="B912" s="3">
        <v>6.7599999999999997E-7</v>
      </c>
      <c r="C912" s="2">
        <v>4.7379999999999999E-2</v>
      </c>
      <c r="D912" s="3">
        <v>251000</v>
      </c>
      <c r="E912" s="3">
        <v>103000000000</v>
      </c>
      <c r="F912" s="3">
        <v>93800000000</v>
      </c>
      <c r="G912" s="3">
        <v>1270000000</v>
      </c>
      <c r="H912" s="3">
        <v>9610000000</v>
      </c>
      <c r="I912" s="2">
        <v>1.3480000000000001E-2</v>
      </c>
      <c r="J912" s="3">
        <v>7.5400000000000002E-13</v>
      </c>
    </row>
    <row r="913" spans="1:10" x14ac:dyDescent="0.2">
      <c r="A913" s="3">
        <v>910</v>
      </c>
      <c r="B913" s="3">
        <v>6.7700000000000004E-7</v>
      </c>
      <c r="C913" s="2">
        <v>4.743E-2</v>
      </c>
      <c r="D913" s="3">
        <v>240000</v>
      </c>
      <c r="E913" s="3">
        <v>98700000000</v>
      </c>
      <c r="F913" s="3">
        <v>90400000000</v>
      </c>
      <c r="G913" s="3">
        <v>2420000000</v>
      </c>
      <c r="H913" s="3">
        <v>9720000000</v>
      </c>
      <c r="I913" s="2">
        <v>2.681E-2</v>
      </c>
      <c r="J913" s="3">
        <v>8.2100000000000004E-13</v>
      </c>
    </row>
    <row r="914" spans="1:10" x14ac:dyDescent="0.2">
      <c r="A914" s="3">
        <v>910</v>
      </c>
      <c r="B914" s="3">
        <v>6.7700000000000004E-7</v>
      </c>
      <c r="C914" s="2">
        <v>4.7480000000000001E-2</v>
      </c>
      <c r="D914" s="3">
        <v>236000</v>
      </c>
      <c r="E914" s="3">
        <v>97200000000</v>
      </c>
      <c r="F914" s="3">
        <v>89100000000</v>
      </c>
      <c r="G914" s="2">
        <v>0</v>
      </c>
      <c r="H914" s="3">
        <v>9770000000</v>
      </c>
      <c r="I914" s="2">
        <v>-2.8670000000000001E-2</v>
      </c>
      <c r="J914" s="3">
        <v>8.5000000000000001E-13</v>
      </c>
    </row>
    <row r="915" spans="1:10" x14ac:dyDescent="0.2">
      <c r="A915" s="3">
        <v>910</v>
      </c>
      <c r="B915" s="3">
        <v>6.7800000000000001E-7</v>
      </c>
      <c r="C915" s="2">
        <v>4.7530000000000003E-2</v>
      </c>
      <c r="D915" s="3">
        <v>246000</v>
      </c>
      <c r="E915" s="3">
        <v>101000000000</v>
      </c>
      <c r="F915" s="3">
        <v>92300000000</v>
      </c>
      <c r="G915" s="3">
        <v>15400000000</v>
      </c>
      <c r="H915" s="3">
        <v>9670000000</v>
      </c>
      <c r="I915" s="2">
        <v>0.16639999999999999</v>
      </c>
      <c r="J915" s="3">
        <v>7.83E-13</v>
      </c>
    </row>
    <row r="916" spans="1:10" x14ac:dyDescent="0.2">
      <c r="A916" s="3">
        <v>910</v>
      </c>
      <c r="B916" s="3">
        <v>6.7899999999999998E-7</v>
      </c>
      <c r="C916" s="2">
        <v>4.759E-2</v>
      </c>
      <c r="D916" s="3">
        <v>220000</v>
      </c>
      <c r="E916" s="3">
        <v>90700000000</v>
      </c>
      <c r="F916" s="3">
        <v>83600000000</v>
      </c>
      <c r="G916" s="3">
        <v>1310000000</v>
      </c>
      <c r="H916" s="3">
        <v>9990000000</v>
      </c>
      <c r="I916" s="2">
        <v>1.5709999999999998E-2</v>
      </c>
      <c r="J916" s="3">
        <v>9.8699999999999993E-13</v>
      </c>
    </row>
    <row r="917" spans="1:10" x14ac:dyDescent="0.2">
      <c r="A917" s="3">
        <v>920</v>
      </c>
      <c r="B917" s="3">
        <v>6.7899999999999998E-7</v>
      </c>
      <c r="C917" s="2">
        <v>4.7640000000000002E-2</v>
      </c>
      <c r="D917" s="3">
        <v>215000</v>
      </c>
      <c r="E917" s="3">
        <v>89000000000</v>
      </c>
      <c r="F917" s="3">
        <v>82200000000</v>
      </c>
      <c r="G917" s="3">
        <v>5500000000</v>
      </c>
      <c r="H917" s="3">
        <v>10100000000</v>
      </c>
      <c r="I917" s="2">
        <v>6.6860000000000003E-2</v>
      </c>
      <c r="J917" s="3">
        <v>1.0300000000000001E-12</v>
      </c>
    </row>
    <row r="918" spans="1:10" x14ac:dyDescent="0.2">
      <c r="A918" s="3">
        <v>920</v>
      </c>
      <c r="B918" s="3">
        <v>6.7999999999999995E-7</v>
      </c>
      <c r="C918" s="2">
        <v>4.7690000000000003E-2</v>
      </c>
      <c r="D918" s="3">
        <v>245000</v>
      </c>
      <c r="E918" s="3">
        <v>100000000000</v>
      </c>
      <c r="F918" s="3">
        <v>91900000000</v>
      </c>
      <c r="G918" s="2">
        <v>0</v>
      </c>
      <c r="H918" s="3">
        <v>9680000000</v>
      </c>
      <c r="I918" s="2">
        <v>-2.0879999999999999E-2</v>
      </c>
      <c r="J918" s="3">
        <v>7.9199999999999996E-13</v>
      </c>
    </row>
    <row r="919" spans="1:10" x14ac:dyDescent="0.2">
      <c r="A919" s="3">
        <v>920</v>
      </c>
      <c r="B919" s="3">
        <v>6.8100000000000002E-7</v>
      </c>
      <c r="C919" s="2">
        <v>4.7739999999999998E-2</v>
      </c>
      <c r="D919" s="3">
        <v>235000</v>
      </c>
      <c r="E919" s="3">
        <v>96200000000</v>
      </c>
      <c r="F919" s="3">
        <v>88300000000</v>
      </c>
      <c r="G919" s="3">
        <v>1060000000</v>
      </c>
      <c r="H919" s="3">
        <v>9800000000</v>
      </c>
      <c r="I919" s="2">
        <v>1.205E-2</v>
      </c>
      <c r="J919" s="3">
        <v>8.6800000000000004E-13</v>
      </c>
    </row>
    <row r="920" spans="1:10" x14ac:dyDescent="0.2">
      <c r="A920" s="3">
        <v>920</v>
      </c>
      <c r="B920" s="3">
        <v>6.8199999999999999E-7</v>
      </c>
      <c r="C920" s="2">
        <v>4.7789999999999999E-2</v>
      </c>
      <c r="D920" s="3">
        <v>241000</v>
      </c>
      <c r="E920" s="3">
        <v>98600000000</v>
      </c>
      <c r="F920" s="3">
        <v>90300000000</v>
      </c>
      <c r="G920" s="3">
        <v>6800000000</v>
      </c>
      <c r="H920" s="3">
        <v>9720000000</v>
      </c>
      <c r="I920" s="2">
        <v>7.5259999999999994E-2</v>
      </c>
      <c r="J920" s="3">
        <v>8.2300000000000003E-13</v>
      </c>
    </row>
    <row r="921" spans="1:10" x14ac:dyDescent="0.2">
      <c r="A921" s="3">
        <v>920</v>
      </c>
      <c r="B921" s="3">
        <v>6.8199999999999999E-7</v>
      </c>
      <c r="C921" s="2">
        <v>4.7849999999999997E-2</v>
      </c>
      <c r="D921" s="3">
        <v>267000</v>
      </c>
      <c r="E921" s="3">
        <v>109000000000</v>
      </c>
      <c r="F921" s="3">
        <v>98700000000</v>
      </c>
      <c r="G921" s="3">
        <v>3960000000</v>
      </c>
      <c r="H921" s="3">
        <v>9480000000</v>
      </c>
      <c r="I921" s="2">
        <v>4.0059999999999998E-2</v>
      </c>
      <c r="J921" s="3">
        <v>6.7099999999999997E-13</v>
      </c>
    </row>
    <row r="922" spans="1:10" x14ac:dyDescent="0.2">
      <c r="A922" s="3">
        <v>920</v>
      </c>
      <c r="B922" s="3">
        <v>6.8299999999999996E-7</v>
      </c>
      <c r="C922" s="2">
        <v>4.7899999999999998E-2</v>
      </c>
      <c r="D922" s="3">
        <v>254000</v>
      </c>
      <c r="E922" s="3">
        <v>103000000000</v>
      </c>
      <c r="F922" s="3">
        <v>94300000000</v>
      </c>
      <c r="G922" s="2">
        <v>0</v>
      </c>
      <c r="H922" s="3">
        <v>9600000000</v>
      </c>
      <c r="I922" s="2">
        <v>-6.2509999999999996E-2</v>
      </c>
      <c r="J922" s="3">
        <v>7.4499999999999996E-13</v>
      </c>
    </row>
    <row r="923" spans="1:10" x14ac:dyDescent="0.2">
      <c r="A923" s="3">
        <v>920</v>
      </c>
      <c r="B923" s="3">
        <v>6.8299999999999996E-7</v>
      </c>
      <c r="C923" s="2">
        <v>4.795E-2</v>
      </c>
      <c r="D923" s="3">
        <v>247000</v>
      </c>
      <c r="E923" s="3">
        <v>101000000000</v>
      </c>
      <c r="F923" s="3">
        <v>92200000000</v>
      </c>
      <c r="G923" s="3">
        <v>8850000000</v>
      </c>
      <c r="H923" s="3">
        <v>9680000000</v>
      </c>
      <c r="I923" s="2">
        <v>9.6060000000000006E-2</v>
      </c>
      <c r="J923" s="3">
        <v>7.8599999999999998E-13</v>
      </c>
    </row>
    <row r="924" spans="1:10" x14ac:dyDescent="0.2">
      <c r="A924" s="3">
        <v>920</v>
      </c>
      <c r="B924" s="3">
        <v>6.8400000000000004E-7</v>
      </c>
      <c r="C924" s="2">
        <v>4.8000000000000001E-2</v>
      </c>
      <c r="D924" s="3">
        <v>248000</v>
      </c>
      <c r="E924" s="3">
        <v>101000000000</v>
      </c>
      <c r="F924" s="3">
        <v>92400000000</v>
      </c>
      <c r="G924" s="2">
        <v>0</v>
      </c>
      <c r="H924" s="3">
        <v>9670000000</v>
      </c>
      <c r="I924" s="2">
        <v>-5.561E-3</v>
      </c>
      <c r="J924" s="3">
        <v>7.81E-13</v>
      </c>
    </row>
    <row r="925" spans="1:10" x14ac:dyDescent="0.2">
      <c r="A925" s="3">
        <v>920</v>
      </c>
      <c r="B925" s="3">
        <v>6.8500000000000001E-7</v>
      </c>
      <c r="C925" s="2">
        <v>4.8050000000000002E-2</v>
      </c>
      <c r="D925" s="3">
        <v>281000</v>
      </c>
      <c r="E925" s="3">
        <v>114000000000</v>
      </c>
      <c r="F925" s="3">
        <v>103000000000</v>
      </c>
      <c r="G925" s="3">
        <v>14300000000</v>
      </c>
      <c r="H925" s="3">
        <v>9380000000</v>
      </c>
      <c r="I925" s="2">
        <v>0.13919999999999999</v>
      </c>
      <c r="J925" s="3">
        <v>6.1000000000000003E-13</v>
      </c>
    </row>
    <row r="926" spans="1:10" x14ac:dyDescent="0.2">
      <c r="A926" s="3">
        <v>920</v>
      </c>
      <c r="B926" s="3">
        <v>6.8599999999999998E-7</v>
      </c>
      <c r="C926" s="2">
        <v>4.811E-2</v>
      </c>
      <c r="D926" s="3">
        <v>267000</v>
      </c>
      <c r="E926" s="3">
        <v>109000000000</v>
      </c>
      <c r="F926" s="3">
        <v>98600000000</v>
      </c>
      <c r="G926" s="3">
        <v>10000000000</v>
      </c>
      <c r="H926" s="3">
        <v>9480000000</v>
      </c>
      <c r="I926" s="2">
        <v>0.1016</v>
      </c>
      <c r="J926" s="3">
        <v>6.7399999999999996E-13</v>
      </c>
    </row>
    <row r="927" spans="1:10" x14ac:dyDescent="0.2">
      <c r="A927" s="3">
        <v>930</v>
      </c>
      <c r="B927" s="3">
        <v>6.8599999999999998E-7</v>
      </c>
      <c r="C927" s="2">
        <v>4.8160000000000001E-2</v>
      </c>
      <c r="D927" s="3">
        <v>249000</v>
      </c>
      <c r="E927" s="3">
        <v>101000000000</v>
      </c>
      <c r="F927" s="3">
        <v>92600000000</v>
      </c>
      <c r="G927" s="3">
        <v>7320000000</v>
      </c>
      <c r="H927" s="3">
        <v>9660000000</v>
      </c>
      <c r="I927" s="2">
        <v>7.9039999999999999E-2</v>
      </c>
      <c r="J927" s="3">
        <v>7.7700000000000002E-13</v>
      </c>
    </row>
    <row r="928" spans="1:10" x14ac:dyDescent="0.2">
      <c r="A928" s="3">
        <v>930</v>
      </c>
      <c r="B928" s="3">
        <v>6.8700000000000005E-7</v>
      </c>
      <c r="C928" s="2">
        <v>4.8210000000000003E-2</v>
      </c>
      <c r="D928" s="3">
        <v>209000</v>
      </c>
      <c r="E928" s="3">
        <v>86100000000</v>
      </c>
      <c r="F928" s="3">
        <v>79800000000</v>
      </c>
      <c r="G928" s="3">
        <v>3420000000</v>
      </c>
      <c r="H928" s="3">
        <v>10200000000</v>
      </c>
      <c r="I928" s="2">
        <v>4.2869999999999998E-2</v>
      </c>
      <c r="J928" s="3">
        <v>1.1E-12</v>
      </c>
    </row>
    <row r="929" spans="1:10" x14ac:dyDescent="0.2">
      <c r="A929" s="3">
        <v>930</v>
      </c>
      <c r="B929" s="3">
        <v>6.8800000000000002E-7</v>
      </c>
      <c r="C929" s="2">
        <v>4.8259999999999997E-2</v>
      </c>
      <c r="D929" s="3">
        <v>246000</v>
      </c>
      <c r="E929" s="3">
        <v>100000000000</v>
      </c>
      <c r="F929" s="3">
        <v>91600000000</v>
      </c>
      <c r="G929" s="3">
        <v>41300000</v>
      </c>
      <c r="H929" s="3">
        <v>9690000000</v>
      </c>
      <c r="I929" s="2">
        <v>4.5100000000000001E-4</v>
      </c>
      <c r="J929" s="3">
        <v>7.9800000000000003E-13</v>
      </c>
    </row>
    <row r="930" spans="1:10" x14ac:dyDescent="0.2">
      <c r="A930" s="3">
        <v>930</v>
      </c>
      <c r="B930" s="3">
        <v>6.8899999999999999E-7</v>
      </c>
      <c r="C930" s="2">
        <v>4.8309999999999999E-2</v>
      </c>
      <c r="D930" s="3">
        <v>254000</v>
      </c>
      <c r="E930" s="3">
        <v>103000000000</v>
      </c>
      <c r="F930" s="3">
        <v>94100000000</v>
      </c>
      <c r="G930" s="2">
        <v>0</v>
      </c>
      <c r="H930" s="3">
        <v>9590000000</v>
      </c>
      <c r="I930" s="2">
        <v>-0.126</v>
      </c>
      <c r="J930" s="3">
        <v>7.4800000000000004E-13</v>
      </c>
    </row>
    <row r="931" spans="1:10" x14ac:dyDescent="0.2">
      <c r="A931" s="3">
        <v>930</v>
      </c>
      <c r="B931" s="3">
        <v>6.8899999999999999E-7</v>
      </c>
      <c r="C931" s="2">
        <v>4.8370000000000003E-2</v>
      </c>
      <c r="D931" s="3">
        <v>252000</v>
      </c>
      <c r="E931" s="3">
        <v>102000000000</v>
      </c>
      <c r="F931" s="3">
        <v>93500000000</v>
      </c>
      <c r="G931" s="2">
        <v>0</v>
      </c>
      <c r="H931" s="3">
        <v>9620000000</v>
      </c>
      <c r="I931" s="2">
        <v>-8.7419999999999998E-3</v>
      </c>
      <c r="J931" s="3">
        <v>7.59E-13</v>
      </c>
    </row>
    <row r="932" spans="1:10" x14ac:dyDescent="0.2">
      <c r="A932" s="3">
        <v>930</v>
      </c>
      <c r="B932" s="3">
        <v>6.8999999999999996E-7</v>
      </c>
      <c r="C932" s="2">
        <v>4.8419999999999998E-2</v>
      </c>
      <c r="D932" s="3">
        <v>264000</v>
      </c>
      <c r="E932" s="3">
        <v>107000000000</v>
      </c>
      <c r="F932" s="3">
        <v>97300000000</v>
      </c>
      <c r="G932" s="2">
        <v>0</v>
      </c>
      <c r="H932" s="3">
        <v>9510000000</v>
      </c>
      <c r="I932" s="2">
        <v>-1.8710000000000001E-2</v>
      </c>
      <c r="J932" s="3">
        <v>6.9399999999999997E-13</v>
      </c>
    </row>
    <row r="933" spans="1:10" x14ac:dyDescent="0.2">
      <c r="A933" s="3">
        <v>930</v>
      </c>
      <c r="B933" s="3">
        <v>6.9100000000000003E-7</v>
      </c>
      <c r="C933" s="2">
        <v>4.8469999999999999E-2</v>
      </c>
      <c r="D933" s="3">
        <v>243000</v>
      </c>
      <c r="E933" s="3">
        <v>98600000000</v>
      </c>
      <c r="F933" s="3">
        <v>90300000000</v>
      </c>
      <c r="G933" s="3">
        <v>7320000000</v>
      </c>
      <c r="H933" s="3">
        <v>9720000000</v>
      </c>
      <c r="I933" s="2">
        <v>8.1030000000000005E-2</v>
      </c>
      <c r="J933" s="3">
        <v>8.2200000000000003E-13</v>
      </c>
    </row>
    <row r="934" spans="1:10" x14ac:dyDescent="0.2">
      <c r="A934" s="3">
        <v>930</v>
      </c>
      <c r="B934" s="3">
        <v>6.9100000000000003E-7</v>
      </c>
      <c r="C934" s="2">
        <v>4.8520000000000001E-2</v>
      </c>
      <c r="D934" s="3">
        <v>255000</v>
      </c>
      <c r="E934" s="3">
        <v>103000000000</v>
      </c>
      <c r="F934" s="3">
        <v>94200000000</v>
      </c>
      <c r="G934" s="2">
        <v>0</v>
      </c>
      <c r="H934" s="3">
        <v>9600000000</v>
      </c>
      <c r="I934" s="2">
        <v>-7.6480000000000006E-2</v>
      </c>
      <c r="J934" s="3">
        <v>7.4599999999999995E-13</v>
      </c>
    </row>
    <row r="935" spans="1:10" x14ac:dyDescent="0.2">
      <c r="A935" s="3">
        <v>930</v>
      </c>
      <c r="B935" s="3">
        <v>6.92E-7</v>
      </c>
      <c r="C935" s="2">
        <v>4.8570000000000002E-2</v>
      </c>
      <c r="D935" s="3">
        <v>235000</v>
      </c>
      <c r="E935" s="3">
        <v>95400000000</v>
      </c>
      <c r="F935" s="3">
        <v>87600000000</v>
      </c>
      <c r="G935" s="3">
        <v>1740000000</v>
      </c>
      <c r="H935" s="3">
        <v>9810000000</v>
      </c>
      <c r="I935" s="2">
        <v>1.9900000000000001E-2</v>
      </c>
      <c r="J935" s="3">
        <v>8.8199999999999998E-13</v>
      </c>
    </row>
    <row r="936" spans="1:10" x14ac:dyDescent="0.2">
      <c r="A936" s="3">
        <v>930</v>
      </c>
      <c r="B936" s="3">
        <v>6.9299999999999997E-7</v>
      </c>
      <c r="C936" s="2">
        <v>4.8619999999999997E-2</v>
      </c>
      <c r="D936" s="3">
        <v>226000</v>
      </c>
      <c r="E936" s="3">
        <v>92000000000</v>
      </c>
      <c r="F936" s="3">
        <v>84700000000</v>
      </c>
      <c r="G936" s="2">
        <v>0</v>
      </c>
      <c r="H936" s="3">
        <v>9930000000</v>
      </c>
      <c r="I936" s="2">
        <v>-5.8250000000000003E-2</v>
      </c>
      <c r="J936" s="3">
        <v>9.5500000000000007E-13</v>
      </c>
    </row>
    <row r="937" spans="1:10" x14ac:dyDescent="0.2">
      <c r="A937" s="3">
        <v>940</v>
      </c>
      <c r="B937" s="3">
        <v>6.9299999999999997E-7</v>
      </c>
      <c r="C937" s="2">
        <v>4.8680000000000001E-2</v>
      </c>
      <c r="D937" s="3">
        <v>250000</v>
      </c>
      <c r="E937" s="3">
        <v>101000000000</v>
      </c>
      <c r="F937" s="3">
        <v>92400000000</v>
      </c>
      <c r="G937" s="3">
        <v>7410000000</v>
      </c>
      <c r="H937" s="3">
        <v>9650000000</v>
      </c>
      <c r="I937" s="2">
        <v>8.0229999999999996E-2</v>
      </c>
      <c r="J937" s="3">
        <v>7.81E-13</v>
      </c>
    </row>
    <row r="938" spans="1:10" x14ac:dyDescent="0.2">
      <c r="A938" s="3">
        <v>940</v>
      </c>
      <c r="B938" s="3">
        <v>6.9400000000000005E-7</v>
      </c>
      <c r="C938" s="2">
        <v>4.8730000000000002E-2</v>
      </c>
      <c r="D938" s="3">
        <v>261000</v>
      </c>
      <c r="E938" s="3">
        <v>105000000000</v>
      </c>
      <c r="F938" s="3">
        <v>96000000000</v>
      </c>
      <c r="G938" s="3">
        <v>6150000000</v>
      </c>
      <c r="H938" s="3">
        <v>9540000000</v>
      </c>
      <c r="I938" s="2">
        <v>6.4049999999999996E-2</v>
      </c>
      <c r="J938" s="3">
        <v>7.1499999999999998E-13</v>
      </c>
    </row>
    <row r="939" spans="1:10" x14ac:dyDescent="0.2">
      <c r="A939" s="3">
        <v>940</v>
      </c>
      <c r="B939" s="3">
        <v>6.9500000000000002E-7</v>
      </c>
      <c r="C939" s="2">
        <v>4.879E-2</v>
      </c>
      <c r="D939" s="3">
        <v>243000</v>
      </c>
      <c r="E939" s="3">
        <v>98500000000</v>
      </c>
      <c r="F939" s="3">
        <v>90200000000</v>
      </c>
      <c r="G939" s="3">
        <v>6730000000</v>
      </c>
      <c r="H939" s="3">
        <v>9730000000</v>
      </c>
      <c r="I939" s="2">
        <v>7.4609999999999996E-2</v>
      </c>
      <c r="J939" s="3">
        <v>8.2500000000000002E-13</v>
      </c>
    </row>
    <row r="940" spans="1:10" x14ac:dyDescent="0.2">
      <c r="A940" s="3">
        <v>940</v>
      </c>
      <c r="B940" s="3">
        <v>6.9599999999999999E-7</v>
      </c>
      <c r="C940" s="2">
        <v>4.8840000000000001E-2</v>
      </c>
      <c r="D940" s="3">
        <v>237000</v>
      </c>
      <c r="E940" s="3">
        <v>96000000000</v>
      </c>
      <c r="F940" s="3">
        <v>88100000000</v>
      </c>
      <c r="G940" s="2">
        <v>0</v>
      </c>
      <c r="H940" s="3">
        <v>9800000000</v>
      </c>
      <c r="I940" s="2">
        <v>-7.9070000000000001E-2</v>
      </c>
      <c r="J940" s="3">
        <v>8.7100000000000002E-13</v>
      </c>
    </row>
    <row r="941" spans="1:10" x14ac:dyDescent="0.2">
      <c r="A941" s="3">
        <v>940</v>
      </c>
      <c r="B941" s="3">
        <v>6.9599999999999999E-7</v>
      </c>
      <c r="C941" s="2">
        <v>4.8890000000000003E-2</v>
      </c>
      <c r="D941" s="3">
        <v>228000</v>
      </c>
      <c r="E941" s="3">
        <v>92700000000</v>
      </c>
      <c r="F941" s="3">
        <v>85300000000</v>
      </c>
      <c r="G941" s="2">
        <v>0</v>
      </c>
      <c r="H941" s="3">
        <v>9900000000</v>
      </c>
      <c r="I941" s="2">
        <v>-1.669E-2</v>
      </c>
      <c r="J941" s="3">
        <v>9.3899999999999994E-13</v>
      </c>
    </row>
    <row r="942" spans="1:10" x14ac:dyDescent="0.2">
      <c r="A942" s="3">
        <v>940</v>
      </c>
      <c r="B942" s="3">
        <v>6.9699999999999995E-7</v>
      </c>
      <c r="C942" s="2">
        <v>4.8939999999999997E-2</v>
      </c>
      <c r="D942" s="3">
        <v>251000</v>
      </c>
      <c r="E942" s="3">
        <v>101000000000</v>
      </c>
      <c r="F942" s="3">
        <v>92700000000</v>
      </c>
      <c r="G942" s="3">
        <v>5430000000</v>
      </c>
      <c r="H942" s="3">
        <v>9640000000</v>
      </c>
      <c r="I942" s="2">
        <v>5.8619999999999998E-2</v>
      </c>
      <c r="J942" s="3">
        <v>7.7500000000000003E-13</v>
      </c>
    </row>
    <row r="943" spans="1:10" x14ac:dyDescent="0.2">
      <c r="A943" s="3">
        <v>940</v>
      </c>
      <c r="B943" s="3">
        <v>6.9699999999999995E-7</v>
      </c>
      <c r="C943" s="2">
        <v>4.8989999999999999E-2</v>
      </c>
      <c r="D943" s="3">
        <v>234000</v>
      </c>
      <c r="E943" s="3">
        <v>94700000000</v>
      </c>
      <c r="F943" s="3">
        <v>87100000000</v>
      </c>
      <c r="G943" s="3">
        <v>10200000000</v>
      </c>
      <c r="H943" s="3">
        <v>9840000000</v>
      </c>
      <c r="I943" s="2">
        <v>0.11749999999999999</v>
      </c>
      <c r="J943" s="3">
        <v>8.9600000000000002E-13</v>
      </c>
    </row>
    <row r="944" spans="1:10" x14ac:dyDescent="0.2">
      <c r="A944" s="3">
        <v>940</v>
      </c>
      <c r="B944" s="3">
        <v>6.9800000000000003E-7</v>
      </c>
      <c r="C944" s="2">
        <v>4.904E-2</v>
      </c>
      <c r="D944" s="3">
        <v>262000</v>
      </c>
      <c r="E944" s="3">
        <v>105000000000</v>
      </c>
      <c r="F944" s="3">
        <v>96000000000</v>
      </c>
      <c r="G944" s="2">
        <v>0</v>
      </c>
      <c r="H944" s="3">
        <v>9550000000</v>
      </c>
      <c r="I944" s="2">
        <v>-3.5049999999999998E-2</v>
      </c>
      <c r="J944" s="3">
        <v>7.1599999999999998E-13</v>
      </c>
    </row>
    <row r="945" spans="1:10" x14ac:dyDescent="0.2">
      <c r="A945" s="3">
        <v>940</v>
      </c>
      <c r="B945" s="3">
        <v>6.99E-7</v>
      </c>
      <c r="C945" s="2">
        <v>4.9090000000000002E-2</v>
      </c>
      <c r="D945" s="3">
        <v>239000</v>
      </c>
      <c r="E945" s="3">
        <v>96600000000</v>
      </c>
      <c r="F945" s="3">
        <v>88600000000</v>
      </c>
      <c r="G945" s="3">
        <v>1160000000</v>
      </c>
      <c r="H945" s="3">
        <v>9770000000</v>
      </c>
      <c r="I945" s="2">
        <v>1.3129999999999999E-2</v>
      </c>
      <c r="J945" s="3">
        <v>8.5899999999999997E-13</v>
      </c>
    </row>
    <row r="946" spans="1:10" x14ac:dyDescent="0.2">
      <c r="A946" s="3">
        <v>940</v>
      </c>
      <c r="B946" s="3">
        <v>6.9999999999999997E-7</v>
      </c>
      <c r="C946" s="2">
        <v>4.9149999999999999E-2</v>
      </c>
      <c r="D946" s="3">
        <v>247000</v>
      </c>
      <c r="E946" s="3">
        <v>99700000000</v>
      </c>
      <c r="F946" s="3">
        <v>91200000000</v>
      </c>
      <c r="G946" s="3">
        <v>11600000000</v>
      </c>
      <c r="H946" s="3">
        <v>9680000000</v>
      </c>
      <c r="I946" s="2">
        <v>0.1273</v>
      </c>
      <c r="J946" s="3">
        <v>8.0300000000000001E-13</v>
      </c>
    </row>
    <row r="947" spans="1:10" x14ac:dyDescent="0.2">
      <c r="A947" s="3">
        <v>950</v>
      </c>
      <c r="B947" s="3">
        <v>7.0100000000000004E-7</v>
      </c>
      <c r="C947" s="2">
        <v>4.9200000000000001E-2</v>
      </c>
      <c r="D947" s="3">
        <v>250000</v>
      </c>
      <c r="E947" s="3">
        <v>101000000000</v>
      </c>
      <c r="F947" s="3">
        <v>92000000000</v>
      </c>
      <c r="G947" s="3">
        <v>7670000000</v>
      </c>
      <c r="H947" s="3">
        <v>9650000000</v>
      </c>
      <c r="I947" s="2">
        <v>8.3419999999999994E-2</v>
      </c>
      <c r="J947" s="3">
        <v>7.8799999999999997E-13</v>
      </c>
    </row>
    <row r="948" spans="1:10" x14ac:dyDescent="0.2">
      <c r="A948" s="3">
        <v>950</v>
      </c>
      <c r="B948" s="3">
        <v>7.0200000000000001E-7</v>
      </c>
      <c r="C948" s="2">
        <v>4.9250000000000002E-2</v>
      </c>
      <c r="D948" s="3">
        <v>265000</v>
      </c>
      <c r="E948" s="3">
        <v>106000000000</v>
      </c>
      <c r="F948" s="3">
        <v>96800000000</v>
      </c>
      <c r="G948" s="3">
        <v>1830000000</v>
      </c>
      <c r="H948" s="3">
        <v>9510000000</v>
      </c>
      <c r="I948" s="2">
        <v>1.8929999999999999E-2</v>
      </c>
      <c r="J948" s="3">
        <v>7.0000000000000005E-13</v>
      </c>
    </row>
    <row r="949" spans="1:10" x14ac:dyDescent="0.2">
      <c r="A949" s="3">
        <v>950</v>
      </c>
      <c r="B949" s="3">
        <v>7.0200000000000001E-7</v>
      </c>
      <c r="C949" s="2">
        <v>4.9299999999999997E-2</v>
      </c>
      <c r="D949" s="3">
        <v>249000</v>
      </c>
      <c r="E949" s="3">
        <v>100000000000</v>
      </c>
      <c r="F949" s="3">
        <v>91500000000</v>
      </c>
      <c r="G949" s="3">
        <v>1470000000</v>
      </c>
      <c r="H949" s="3">
        <v>9670000000</v>
      </c>
      <c r="I949" s="2">
        <v>1.6060000000000001E-2</v>
      </c>
      <c r="J949" s="3">
        <v>7.9800000000000003E-13</v>
      </c>
    </row>
    <row r="950" spans="1:10" x14ac:dyDescent="0.2">
      <c r="A950" s="3">
        <v>950</v>
      </c>
      <c r="B950" s="3">
        <v>7.0299999999999998E-7</v>
      </c>
      <c r="C950" s="2">
        <v>4.9349999999999998E-2</v>
      </c>
      <c r="D950" s="3">
        <v>265000</v>
      </c>
      <c r="E950" s="3">
        <v>106000000000</v>
      </c>
      <c r="F950" s="3">
        <v>96600000000</v>
      </c>
      <c r="G950" s="3">
        <v>13600000000</v>
      </c>
      <c r="H950" s="3">
        <v>9510000000</v>
      </c>
      <c r="I950" s="2">
        <v>0.14119999999999999</v>
      </c>
      <c r="J950" s="3">
        <v>7.0300000000000003E-13</v>
      </c>
    </row>
    <row r="951" spans="1:10" x14ac:dyDescent="0.2">
      <c r="A951" s="3">
        <v>950</v>
      </c>
      <c r="B951" s="3">
        <v>7.0399999999999995E-7</v>
      </c>
      <c r="C951" s="2">
        <v>4.9410000000000003E-2</v>
      </c>
      <c r="D951" s="3">
        <v>245000</v>
      </c>
      <c r="E951" s="3">
        <v>98300000000</v>
      </c>
      <c r="F951" s="3">
        <v>90100000000</v>
      </c>
      <c r="G951" s="3">
        <v>481000000</v>
      </c>
      <c r="H951" s="3">
        <v>9710000000</v>
      </c>
      <c r="I951" s="2">
        <v>5.3400000000000001E-3</v>
      </c>
      <c r="J951" s="3">
        <v>8.2600000000000001E-13</v>
      </c>
    </row>
    <row r="952" spans="1:10" x14ac:dyDescent="0.2">
      <c r="A952" s="3">
        <v>950</v>
      </c>
      <c r="B952" s="3">
        <v>7.0399999999999995E-7</v>
      </c>
      <c r="C952" s="2">
        <v>4.9459999999999997E-2</v>
      </c>
      <c r="D952" s="3">
        <v>248000</v>
      </c>
      <c r="E952" s="3">
        <v>99500000000</v>
      </c>
      <c r="F952" s="3">
        <v>91100000000</v>
      </c>
      <c r="G952" s="2">
        <v>0</v>
      </c>
      <c r="H952" s="3">
        <v>9680000000</v>
      </c>
      <c r="I952" s="2">
        <v>-8.158E-2</v>
      </c>
      <c r="J952" s="3">
        <v>8.06E-13</v>
      </c>
    </row>
    <row r="953" spans="1:10" x14ac:dyDescent="0.2">
      <c r="A953" s="3">
        <v>950</v>
      </c>
      <c r="B953" s="3">
        <v>7.0500000000000003E-7</v>
      </c>
      <c r="C953" s="2">
        <v>4.9509999999999998E-2</v>
      </c>
      <c r="D953" s="3">
        <v>250000</v>
      </c>
      <c r="E953" s="3">
        <v>100000000000</v>
      </c>
      <c r="F953" s="3">
        <v>91600000000</v>
      </c>
      <c r="G953" s="3">
        <v>8610000000</v>
      </c>
      <c r="H953" s="3">
        <v>9660000000</v>
      </c>
      <c r="I953" s="2">
        <v>9.4020000000000006E-2</v>
      </c>
      <c r="J953" s="3">
        <v>7.9500000000000005E-13</v>
      </c>
    </row>
    <row r="954" spans="1:10" x14ac:dyDescent="0.2">
      <c r="A954" s="3">
        <v>950</v>
      </c>
      <c r="B954" s="3">
        <v>7.06E-7</v>
      </c>
      <c r="C954" s="2">
        <v>4.956E-2</v>
      </c>
      <c r="D954" s="3">
        <v>249000</v>
      </c>
      <c r="E954" s="3">
        <v>99900000000</v>
      </c>
      <c r="F954" s="3">
        <v>91400000000</v>
      </c>
      <c r="G954" s="3">
        <v>2260000000</v>
      </c>
      <c r="H954" s="3">
        <v>9670000000</v>
      </c>
      <c r="I954" s="2">
        <v>2.4709999999999999E-2</v>
      </c>
      <c r="J954" s="3">
        <v>7.9900000000000003E-13</v>
      </c>
    </row>
    <row r="955" spans="1:10" x14ac:dyDescent="0.2">
      <c r="A955" s="3">
        <v>950</v>
      </c>
      <c r="B955" s="3">
        <v>7.06E-7</v>
      </c>
      <c r="C955" s="2">
        <v>4.9619999999999997E-2</v>
      </c>
      <c r="D955" s="3">
        <v>253000</v>
      </c>
      <c r="E955" s="3">
        <v>101000000000</v>
      </c>
      <c r="F955" s="3">
        <v>92700000000</v>
      </c>
      <c r="G955" s="3">
        <v>3860000000</v>
      </c>
      <c r="H955" s="3">
        <v>9630000000</v>
      </c>
      <c r="I955" s="2">
        <v>4.1660000000000003E-2</v>
      </c>
      <c r="J955" s="3">
        <v>7.7400000000000003E-13</v>
      </c>
    </row>
    <row r="956" spans="1:10" x14ac:dyDescent="0.2">
      <c r="A956" s="3">
        <v>950</v>
      </c>
      <c r="B956" s="3">
        <v>7.0699999999999996E-7</v>
      </c>
      <c r="C956" s="2">
        <v>4.9669999999999999E-2</v>
      </c>
      <c r="D956" s="3">
        <v>264000</v>
      </c>
      <c r="E956" s="3">
        <v>105000000000</v>
      </c>
      <c r="F956" s="3">
        <v>95900000000</v>
      </c>
      <c r="G956" s="3">
        <v>4360000000</v>
      </c>
      <c r="H956" s="3">
        <v>9530000000</v>
      </c>
      <c r="I956" s="2">
        <v>4.546E-2</v>
      </c>
      <c r="J956" s="3">
        <v>7.1499999999999998E-13</v>
      </c>
    </row>
    <row r="957" spans="1:10" x14ac:dyDescent="0.2">
      <c r="A957" s="3">
        <v>960</v>
      </c>
      <c r="B957" s="3">
        <v>7.0800000000000004E-7</v>
      </c>
      <c r="C957" s="2">
        <v>4.972E-2</v>
      </c>
      <c r="D957" s="3">
        <v>274000</v>
      </c>
      <c r="E957" s="3">
        <v>109000000000</v>
      </c>
      <c r="F957" s="3">
        <v>99100000000</v>
      </c>
      <c r="G957" s="3">
        <v>2120000000</v>
      </c>
      <c r="H957" s="3">
        <v>9440000000</v>
      </c>
      <c r="I957" s="2">
        <v>2.138E-2</v>
      </c>
      <c r="J957" s="3">
        <v>6.63E-13</v>
      </c>
    </row>
    <row r="958" spans="1:10" x14ac:dyDescent="0.2">
      <c r="A958" s="3">
        <v>960</v>
      </c>
      <c r="B958" s="3">
        <v>7.0800000000000004E-7</v>
      </c>
      <c r="C958" s="2">
        <v>4.9770000000000002E-2</v>
      </c>
      <c r="D958" s="3">
        <v>234000</v>
      </c>
      <c r="E958" s="3">
        <v>93900000000</v>
      </c>
      <c r="F958" s="3">
        <v>86400000000</v>
      </c>
      <c r="G958" s="3">
        <v>2910000000</v>
      </c>
      <c r="H958" s="3">
        <v>9850000000</v>
      </c>
      <c r="I958" s="2">
        <v>3.3709999999999997E-2</v>
      </c>
      <c r="J958" s="3">
        <v>9.1100000000000006E-13</v>
      </c>
    </row>
    <row r="959" spans="1:10" x14ac:dyDescent="0.2">
      <c r="A959" s="3">
        <v>960</v>
      </c>
      <c r="B959" s="3">
        <v>7.0900000000000001E-7</v>
      </c>
      <c r="C959" s="2">
        <v>4.9820000000000003E-2</v>
      </c>
      <c r="D959" s="3">
        <v>241000</v>
      </c>
      <c r="E959" s="3">
        <v>96500000000</v>
      </c>
      <c r="F959" s="3">
        <v>88500000000</v>
      </c>
      <c r="G959" s="3">
        <v>931000000</v>
      </c>
      <c r="H959" s="3">
        <v>9770000000</v>
      </c>
      <c r="I959" s="2">
        <v>1.052E-2</v>
      </c>
      <c r="J959" s="3">
        <v>8.6099999999999997E-13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959"/>
  <sheetViews>
    <sheetView tabSelected="1" topLeftCell="AG1" workbookViewId="0">
      <selection activeCell="BC65" sqref="BC65"/>
    </sheetView>
  </sheetViews>
  <sheetFormatPr baseColWidth="10" defaultRowHeight="16" x14ac:dyDescent="0.2"/>
  <cols>
    <col min="15" max="15" width="23.83203125" bestFit="1" customWidth="1"/>
    <col min="16" max="16" width="19.5" bestFit="1" customWidth="1"/>
    <col min="17" max="17" width="2.33203125" customWidth="1"/>
    <col min="18" max="18" width="24" bestFit="1" customWidth="1"/>
    <col min="19" max="19" width="8.1640625" bestFit="1" customWidth="1"/>
    <col min="20" max="20" width="7" bestFit="1" customWidth="1"/>
    <col min="21" max="21" width="2.5" customWidth="1"/>
    <col min="23" max="23" width="17.5" bestFit="1" customWidth="1"/>
    <col min="24" max="24" width="2.83203125" customWidth="1"/>
    <col min="26" max="26" width="13.5" bestFit="1" customWidth="1"/>
    <col min="31" max="31" width="28.5" bestFit="1" customWidth="1"/>
    <col min="32" max="32" width="27.5" bestFit="1" customWidth="1"/>
    <col min="33" max="33" width="27.33203125" bestFit="1" customWidth="1"/>
    <col min="34" max="34" width="2.83203125" customWidth="1"/>
    <col min="37" max="37" width="2.83203125" customWidth="1"/>
    <col min="40" max="40" width="2.83203125" customWidth="1"/>
  </cols>
  <sheetData>
    <row r="1" spans="1:42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  <c r="H1" s="2" t="s">
        <v>77</v>
      </c>
      <c r="I1" s="2"/>
      <c r="J1" s="4" t="s">
        <v>80</v>
      </c>
      <c r="K1" s="4" t="s">
        <v>81</v>
      </c>
      <c r="L1" s="5" t="s">
        <v>82</v>
      </c>
      <c r="M1" s="5" t="s">
        <v>83</v>
      </c>
      <c r="O1" s="5" t="s">
        <v>84</v>
      </c>
      <c r="P1" s="5" t="s">
        <v>85</v>
      </c>
      <c r="Q1" s="6"/>
      <c r="R1" s="5" t="s">
        <v>86</v>
      </c>
      <c r="S1" s="5" t="s">
        <v>87</v>
      </c>
      <c r="T1" s="5" t="s">
        <v>88</v>
      </c>
      <c r="U1" s="6"/>
      <c r="V1" s="5" t="s">
        <v>89</v>
      </c>
      <c r="W1" s="5" t="s">
        <v>90</v>
      </c>
      <c r="Y1" s="10" t="s">
        <v>94</v>
      </c>
      <c r="AB1" s="10" t="s">
        <v>95</v>
      </c>
      <c r="AE1" s="10" t="s">
        <v>96</v>
      </c>
      <c r="AF1" s="10" t="s">
        <v>97</v>
      </c>
      <c r="AG1" s="10" t="s">
        <v>98</v>
      </c>
      <c r="AI1" s="10" t="s">
        <v>99</v>
      </c>
      <c r="AJ1" s="10" t="s">
        <v>100</v>
      </c>
      <c r="AL1" s="10" t="s">
        <v>101</v>
      </c>
      <c r="AM1" s="10" t="s">
        <v>102</v>
      </c>
      <c r="AO1" s="10" t="s">
        <v>103</v>
      </c>
      <c r="AP1" s="10" t="s">
        <v>104</v>
      </c>
    </row>
    <row r="2" spans="1:42" ht="16" customHeight="1" x14ac:dyDescent="0.2">
      <c r="A2" s="2">
        <v>0</v>
      </c>
      <c r="B2" s="3">
        <v>5.5800000000000002E-9</v>
      </c>
      <c r="C2" s="3">
        <v>5.3100000000000003E-5</v>
      </c>
      <c r="D2" s="3">
        <v>17000</v>
      </c>
      <c r="E2" s="3">
        <v>82600000000</v>
      </c>
      <c r="F2" s="3">
        <v>76700000000</v>
      </c>
      <c r="G2" s="2">
        <v>0</v>
      </c>
      <c r="H2" s="3">
        <v>1570000000</v>
      </c>
      <c r="I2" s="2"/>
      <c r="J2" s="7">
        <f>B2*(10^6)</f>
        <v>5.5799999999999999E-3</v>
      </c>
      <c r="K2" s="7">
        <f>C2*1000</f>
        <v>5.3100000000000001E-2</v>
      </c>
      <c r="L2" s="7">
        <f>E2*(10^-9)</f>
        <v>82.600000000000009</v>
      </c>
      <c r="M2" s="7">
        <f>D2*(10^-3)</f>
        <v>17</v>
      </c>
      <c r="O2" s="8">
        <f>J2-(0.75*(K2/M2))</f>
        <v>3.2373529411764703E-3</v>
      </c>
      <c r="P2">
        <f>O2*1000</f>
        <v>3.2373529411764701</v>
      </c>
      <c r="R2" s="9" t="s">
        <v>91</v>
      </c>
      <c r="V2">
        <f>$S$3*(P2^$S$4)</f>
        <v>107.56324105231897</v>
      </c>
      <c r="W2">
        <f>M2/(2*(V2/1000))</f>
        <v>79.023278927283187</v>
      </c>
      <c r="Y2" s="11" t="s">
        <v>105</v>
      </c>
      <c r="Z2" s="11"/>
      <c r="AB2" s="9" t="s">
        <v>106</v>
      </c>
      <c r="AE2">
        <f>M2/(2*$Y$5)</f>
        <v>6.1891879584375351E-2</v>
      </c>
      <c r="AF2">
        <f>M2/(2*$Y$8)</f>
        <v>6.0451740127854522E-2</v>
      </c>
      <c r="AG2">
        <f>M2/(2*$Y$11)</f>
        <v>6.0790218242624962E-2</v>
      </c>
      <c r="AI2">
        <f>J2/(2.4*AE2)</f>
        <v>3.756550965349819E-2</v>
      </c>
      <c r="AJ2">
        <f>K2/(3.14159*(AE2^2))</f>
        <v>4.412428401976964</v>
      </c>
      <c r="AL2">
        <f>J2/(2.4*AF2)</f>
        <v>3.8460431330556571E-2</v>
      </c>
      <c r="AM2">
        <f t="shared" ref="AM2:AM12" si="0">K2/(3.14159*(AF2^2))</f>
        <v>4.6251668236098258</v>
      </c>
      <c r="AO2">
        <f>J2/(2.4*AG2)</f>
        <v>3.8246284800631851E-2</v>
      </c>
      <c r="AP2">
        <f t="shared" ref="AP2:AP12" si="1">K2/(3.14159*(AG2^2))</f>
        <v>4.5738046336352447</v>
      </c>
    </row>
    <row r="3" spans="1:42" x14ac:dyDescent="0.2">
      <c r="A3" s="2">
        <v>1</v>
      </c>
      <c r="B3" s="3">
        <v>6.65E-9</v>
      </c>
      <c r="C3" s="3">
        <v>8.3999999999999995E-5</v>
      </c>
      <c r="D3" s="3">
        <v>24600</v>
      </c>
      <c r="E3" s="3">
        <v>109000000000</v>
      </c>
      <c r="F3" s="3">
        <v>99100000000</v>
      </c>
      <c r="G3" s="3">
        <v>752000000</v>
      </c>
      <c r="H3" s="3">
        <v>1970000000</v>
      </c>
      <c r="I3" s="2"/>
      <c r="J3" s="7">
        <f>B3*(10^6)</f>
        <v>6.6499999999999997E-3</v>
      </c>
      <c r="K3" s="7">
        <f t="shared" ref="K3:K5" si="2">C3*1000</f>
        <v>8.3999999999999991E-2</v>
      </c>
      <c r="L3" s="7">
        <f t="shared" ref="L3:L5" si="3">E3*(10^-9)</f>
        <v>109</v>
      </c>
      <c r="M3" s="7">
        <f t="shared" ref="M3:M4" si="4">D3*(10^-3)</f>
        <v>24.6</v>
      </c>
      <c r="O3">
        <f t="shared" ref="O3:O5" si="5">J3-(0.75*(K3/M3))</f>
        <v>4.0890243902439024E-3</v>
      </c>
      <c r="P3">
        <f t="shared" ref="P3:P5" si="6">O3*1000</f>
        <v>4.0890243902439023</v>
      </c>
      <c r="R3" s="10" t="s">
        <v>92</v>
      </c>
      <c r="S3">
        <v>63.920399999999994</v>
      </c>
      <c r="T3">
        <v>6.17</v>
      </c>
      <c r="V3">
        <f>$S$3*(P3^$S$4)</f>
        <v>119.28868305104945</v>
      </c>
      <c r="W3">
        <f>M3/(2*(V3/1000))</f>
        <v>103.11120623853506</v>
      </c>
      <c r="Y3" s="11"/>
      <c r="Z3" s="11"/>
      <c r="AB3" s="9" t="s">
        <v>107</v>
      </c>
      <c r="AE3">
        <f>M3/(2*$Y$5)</f>
        <v>8.9561190457390222E-2</v>
      </c>
      <c r="AF3">
        <f t="shared" ref="AF3:AF12" si="7">M3/(2*$Y$8)</f>
        <v>8.7477223949718907E-2</v>
      </c>
      <c r="AG3">
        <f t="shared" ref="AG3:AG12" si="8">M3/(2*$Y$11)</f>
        <v>8.7967021692269068E-2</v>
      </c>
      <c r="AI3">
        <f t="shared" ref="AI3:AI12" si="9">J3/(2.4*AE3)</f>
        <v>3.0937879668443993E-2</v>
      </c>
      <c r="AJ3">
        <f>K3/(3.14159*(AE3^2))</f>
        <v>3.3334202159729132</v>
      </c>
      <c r="AL3">
        <f t="shared" ref="AL3:AL12" si="10">J3/(2.4*AF3)</f>
        <v>3.16749115738513E-2</v>
      </c>
      <c r="AM3">
        <f t="shared" si="0"/>
        <v>3.4941359241456329</v>
      </c>
      <c r="AO3">
        <f t="shared" ref="AO3:AO12" si="11">J3/(2.4*AG3)</f>
        <v>3.1498546614734897E-2</v>
      </c>
      <c r="AP3">
        <f t="shared" si="1"/>
        <v>3.4553337619799658</v>
      </c>
    </row>
    <row r="4" spans="1:42" x14ac:dyDescent="0.2">
      <c r="A4" s="2">
        <v>2</v>
      </c>
      <c r="B4" s="3">
        <v>8.4399999999999998E-9</v>
      </c>
      <c r="C4" s="2">
        <v>1.209E-4</v>
      </c>
      <c r="D4" s="3">
        <v>26300</v>
      </c>
      <c r="E4" s="3">
        <v>105000000000</v>
      </c>
      <c r="F4" s="3">
        <v>95800000000</v>
      </c>
      <c r="G4" s="3">
        <v>6960000000</v>
      </c>
      <c r="H4" s="3">
        <v>2320000000</v>
      </c>
      <c r="I4" s="2"/>
      <c r="J4" s="7">
        <f>B4*(10^6)</f>
        <v>8.4399999999999996E-3</v>
      </c>
      <c r="K4" s="7">
        <f t="shared" si="2"/>
        <v>0.12089999999999999</v>
      </c>
      <c r="L4" s="7">
        <f t="shared" si="3"/>
        <v>105</v>
      </c>
      <c r="M4" s="7">
        <f>D4*(10^-3)</f>
        <v>26.3</v>
      </c>
      <c r="O4">
        <f t="shared" si="5"/>
        <v>4.9922813688212924E-3</v>
      </c>
      <c r="P4">
        <f t="shared" si="6"/>
        <v>4.9922813688212928</v>
      </c>
      <c r="R4" s="10" t="s">
        <v>93</v>
      </c>
      <c r="S4">
        <v>0.44302000000000002</v>
      </c>
      <c r="T4">
        <v>0.02</v>
      </c>
      <c r="V4">
        <f>$S$3*(P4^$S$4)</f>
        <v>130.3166571933732</v>
      </c>
      <c r="W4">
        <f t="shared" ref="W4" si="12">M4/(2*(V4/1000))</f>
        <v>100.9080518424217</v>
      </c>
      <c r="Y4" s="12"/>
      <c r="Z4" s="12"/>
      <c r="AE4">
        <f>M4/(2*$Y$5)</f>
        <v>9.5750378415827758E-2</v>
      </c>
      <c r="AF4">
        <f t="shared" si="7"/>
        <v>9.3522397962504347E-2</v>
      </c>
      <c r="AG4">
        <f t="shared" si="8"/>
        <v>9.4046043516531563E-2</v>
      </c>
      <c r="AI4">
        <f t="shared" si="9"/>
        <v>3.67274440566112E-2</v>
      </c>
      <c r="AJ4">
        <f>K4/(3.14159*(AE4^2))</f>
        <v>4.197549216375636</v>
      </c>
      <c r="AL4">
        <f t="shared" si="10"/>
        <v>3.7602400529513726E-2</v>
      </c>
      <c r="AM4">
        <f t="shared" si="0"/>
        <v>4.3999275698958691</v>
      </c>
      <c r="AO4">
        <f t="shared" si="11"/>
        <v>3.7393031489394886E-2</v>
      </c>
      <c r="AP4">
        <f t="shared" si="1"/>
        <v>4.35106664782798</v>
      </c>
    </row>
    <row r="5" spans="1:42" x14ac:dyDescent="0.2">
      <c r="A5" s="2">
        <v>3</v>
      </c>
      <c r="B5" s="3">
        <v>1.0099999999999999E-8</v>
      </c>
      <c r="C5" s="2">
        <v>1.6469999999999999E-4</v>
      </c>
      <c r="D5" s="3">
        <v>33400</v>
      </c>
      <c r="E5" s="3">
        <v>119000000000</v>
      </c>
      <c r="F5" s="3">
        <v>107000000000</v>
      </c>
      <c r="G5" s="2">
        <v>0</v>
      </c>
      <c r="H5" s="3">
        <v>2460000000</v>
      </c>
      <c r="I5" s="2"/>
      <c r="J5" s="7">
        <f t="shared" ref="J5:J13" si="13">B5*(10^6)</f>
        <v>1.01E-2</v>
      </c>
      <c r="K5" s="7">
        <f t="shared" si="2"/>
        <v>0.16469999999999999</v>
      </c>
      <c r="L5" s="7">
        <f t="shared" si="3"/>
        <v>119.00000000000001</v>
      </c>
      <c r="M5" s="7">
        <f t="shared" ref="M5:M13" si="14">D5*(10^-3)</f>
        <v>33.4</v>
      </c>
      <c r="O5" s="8">
        <f t="shared" si="5"/>
        <v>6.4016467065868259E-3</v>
      </c>
      <c r="P5">
        <f t="shared" si="6"/>
        <v>6.4016467065868259</v>
      </c>
      <c r="V5">
        <f t="shared" ref="V5:V68" si="15">$S$3*(P5^$S$4)</f>
        <v>145.49324630814309</v>
      </c>
      <c r="W5">
        <f t="shared" ref="W5:W68" si="16">M5/(2*(V5/1000))</f>
        <v>114.78196015113122</v>
      </c>
      <c r="Y5">
        <f>AVERAGE(W21:W194)</f>
        <v>137.33627185149876</v>
      </c>
      <c r="Z5" s="10" t="s">
        <v>108</v>
      </c>
      <c r="AE5">
        <f>M5/(2*$Y$5)</f>
        <v>0.12159933988930216</v>
      </c>
      <c r="AF5">
        <f t="shared" si="7"/>
        <v>0.11876988942766711</v>
      </c>
      <c r="AG5">
        <f t="shared" si="8"/>
        <v>0.11943489937080434</v>
      </c>
      <c r="AI5">
        <f t="shared" si="9"/>
        <v>3.4608192257987468E-2</v>
      </c>
      <c r="AJ5">
        <f t="shared" ref="AJ5:AJ12" si="17">K5/(3.14159*(AE5^2))</f>
        <v>3.5455340343674111</v>
      </c>
      <c r="AL5">
        <f t="shared" si="10"/>
        <v>3.543266187762413E-2</v>
      </c>
      <c r="AM5">
        <f t="shared" si="0"/>
        <v>3.7164764827432237</v>
      </c>
      <c r="AO5">
        <f t="shared" si="11"/>
        <v>3.5235373877344711E-2</v>
      </c>
      <c r="AP5">
        <f t="shared" si="1"/>
        <v>3.6752052424998851</v>
      </c>
    </row>
    <row r="6" spans="1:42" x14ac:dyDescent="0.2">
      <c r="A6" s="2">
        <v>4</v>
      </c>
      <c r="B6" s="3">
        <v>1.1700000000000001E-8</v>
      </c>
      <c r="C6" s="2">
        <v>2.1120000000000001E-4</v>
      </c>
      <c r="D6" s="3">
        <v>33800</v>
      </c>
      <c r="E6" s="3">
        <v>115000000000</v>
      </c>
      <c r="F6" s="3">
        <v>104000000000</v>
      </c>
      <c r="G6" s="3">
        <v>9340000000</v>
      </c>
      <c r="H6" s="3">
        <v>2890000000</v>
      </c>
      <c r="I6" s="2"/>
      <c r="J6" s="7">
        <f t="shared" si="13"/>
        <v>1.17E-2</v>
      </c>
      <c r="K6" s="7">
        <f t="shared" ref="K6:K13" si="18">C6*1000</f>
        <v>0.2112</v>
      </c>
      <c r="L6" s="7">
        <f t="shared" ref="L6:L13" si="19">E6*(10^-9)</f>
        <v>115.00000000000001</v>
      </c>
      <c r="M6" s="7">
        <f t="shared" si="14"/>
        <v>33.799999999999997</v>
      </c>
      <c r="O6">
        <f t="shared" ref="O6:O13" si="20">J6-(0.75*(K6/M6))</f>
        <v>7.0136094674556207E-3</v>
      </c>
      <c r="P6">
        <f t="shared" ref="P6:P13" si="21">O6*1000</f>
        <v>7.0136094674556206</v>
      </c>
      <c r="V6">
        <f t="shared" si="15"/>
        <v>151.49856622376075</v>
      </c>
      <c r="W6">
        <f t="shared" si="16"/>
        <v>111.55221083108466</v>
      </c>
      <c r="Y6">
        <f>STDEV(W21:W194)</f>
        <v>6.5194131044879846</v>
      </c>
      <c r="Z6" s="10" t="s">
        <v>109</v>
      </c>
      <c r="AE6">
        <f t="shared" ref="AE6:AE12" si="22">M6/(2*$Y$5)</f>
        <v>0.12305561940893452</v>
      </c>
      <c r="AF6">
        <f t="shared" si="7"/>
        <v>0.12019228331302839</v>
      </c>
      <c r="AG6">
        <f t="shared" si="8"/>
        <v>0.12086525744710139</v>
      </c>
      <c r="AI6">
        <f t="shared" si="9"/>
        <v>3.9616232264855424E-2</v>
      </c>
      <c r="AJ6">
        <f t="shared" si="17"/>
        <v>4.4395761166585519</v>
      </c>
      <c r="AL6">
        <f t="shared" si="10"/>
        <v>4.0560008227013757E-2</v>
      </c>
      <c r="AM6">
        <f t="shared" si="0"/>
        <v>4.6536234234326921</v>
      </c>
      <c r="AO6">
        <f t="shared" si="11"/>
        <v>4.0334171315802823E-2</v>
      </c>
      <c r="AP6">
        <f t="shared" si="1"/>
        <v>4.6019452246865633</v>
      </c>
    </row>
    <row r="7" spans="1:42" x14ac:dyDescent="0.2">
      <c r="A7" s="2">
        <v>5</v>
      </c>
      <c r="B7" s="3">
        <v>1.3000000000000001E-8</v>
      </c>
      <c r="C7" s="2">
        <v>2.6049999999999999E-4</v>
      </c>
      <c r="D7" s="3">
        <v>35400</v>
      </c>
      <c r="E7" s="3">
        <v>117000000000</v>
      </c>
      <c r="F7" s="3">
        <v>106000000000</v>
      </c>
      <c r="G7" s="3">
        <v>16000000000</v>
      </c>
      <c r="H7" s="3">
        <v>3350000000</v>
      </c>
      <c r="I7" s="2"/>
      <c r="J7" s="7">
        <f t="shared" si="13"/>
        <v>1.3000000000000001E-2</v>
      </c>
      <c r="K7" s="7">
        <f t="shared" si="18"/>
        <v>0.26050000000000001</v>
      </c>
      <c r="L7" s="7">
        <f t="shared" si="19"/>
        <v>117.00000000000001</v>
      </c>
      <c r="M7" s="7">
        <f t="shared" si="14"/>
        <v>35.4</v>
      </c>
      <c r="O7">
        <f t="shared" si="20"/>
        <v>7.4809322033898311E-3</v>
      </c>
      <c r="P7">
        <f t="shared" si="21"/>
        <v>7.4809322033898313</v>
      </c>
      <c r="V7">
        <f t="shared" si="15"/>
        <v>155.89039110764384</v>
      </c>
      <c r="W7">
        <f t="shared" si="16"/>
        <v>113.54131498571954</v>
      </c>
      <c r="Z7" s="10"/>
      <c r="AE7">
        <f t="shared" si="22"/>
        <v>0.12888073748746398</v>
      </c>
      <c r="AF7">
        <f t="shared" si="7"/>
        <v>0.12588185885447353</v>
      </c>
      <c r="AG7">
        <f t="shared" si="8"/>
        <v>0.12658668975228962</v>
      </c>
      <c r="AI7">
        <f t="shared" si="9"/>
        <v>4.2028520105213844E-2</v>
      </c>
      <c r="AJ7">
        <f t="shared" si="17"/>
        <v>4.9920875886945693</v>
      </c>
      <c r="AL7">
        <f t="shared" si="10"/>
        <v>4.3029763906875865E-2</v>
      </c>
      <c r="AM7">
        <f t="shared" si="0"/>
        <v>5.2327733828926268</v>
      </c>
      <c r="AO7">
        <f t="shared" si="11"/>
        <v>4.2790175469997971E-2</v>
      </c>
      <c r="AP7">
        <f t="shared" si="1"/>
        <v>5.1746637598593335</v>
      </c>
    </row>
    <row r="8" spans="1:42" x14ac:dyDescent="0.2">
      <c r="A8" s="2">
        <v>6</v>
      </c>
      <c r="B8" s="3">
        <v>1.44E-8</v>
      </c>
      <c r="C8" s="2">
        <v>3.101E-4</v>
      </c>
      <c r="D8" s="3">
        <v>52200</v>
      </c>
      <c r="E8" s="3">
        <v>154000000000</v>
      </c>
      <c r="F8" s="3">
        <v>135000000000</v>
      </c>
      <c r="G8" s="3">
        <v>12000000000</v>
      </c>
      <c r="H8" s="3">
        <v>3000000000</v>
      </c>
      <c r="I8" s="2"/>
      <c r="J8" s="7">
        <f t="shared" si="13"/>
        <v>1.44E-2</v>
      </c>
      <c r="K8" s="7">
        <f t="shared" si="18"/>
        <v>0.31009999999999999</v>
      </c>
      <c r="L8" s="7">
        <f t="shared" si="19"/>
        <v>154</v>
      </c>
      <c r="M8" s="7">
        <f t="shared" si="14"/>
        <v>52.2</v>
      </c>
      <c r="O8" s="8">
        <f t="shared" si="20"/>
        <v>9.9445402298850571E-3</v>
      </c>
      <c r="P8">
        <f t="shared" si="21"/>
        <v>9.9445402298850567</v>
      </c>
      <c r="V8">
        <f t="shared" si="15"/>
        <v>176.843646654488</v>
      </c>
      <c r="W8">
        <f t="shared" si="16"/>
        <v>147.58799930762245</v>
      </c>
      <c r="Y8">
        <f>AVERAGE(W21:W98)</f>
        <v>140.60802852031435</v>
      </c>
      <c r="Z8" s="10" t="s">
        <v>110</v>
      </c>
      <c r="AE8">
        <f t="shared" si="22"/>
        <v>0.19004447731202315</v>
      </c>
      <c r="AF8">
        <f t="shared" si="7"/>
        <v>0.18562240203964742</v>
      </c>
      <c r="AG8">
        <f t="shared" si="8"/>
        <v>0.18666172895676608</v>
      </c>
      <c r="AI8">
        <f t="shared" si="9"/>
        <v>3.1571556747470982E-2</v>
      </c>
      <c r="AJ8">
        <f t="shared" si="17"/>
        <v>2.7330133512698258</v>
      </c>
      <c r="AL8">
        <f t="shared" si="10"/>
        <v>3.2323684717313644E-2</v>
      </c>
      <c r="AM8">
        <f t="shared" si="0"/>
        <v>2.864781369622301</v>
      </c>
      <c r="AO8">
        <f t="shared" si="11"/>
        <v>3.2143707408762393E-2</v>
      </c>
      <c r="AP8">
        <f t="shared" si="1"/>
        <v>2.8329681506501592</v>
      </c>
    </row>
    <row r="9" spans="1:42" x14ac:dyDescent="0.2">
      <c r="A9" s="2">
        <v>7</v>
      </c>
      <c r="B9" s="3">
        <v>1.55E-8</v>
      </c>
      <c r="C9" s="2">
        <v>3.6269999999999998E-4</v>
      </c>
      <c r="D9" s="3">
        <v>48100</v>
      </c>
      <c r="E9" s="3">
        <v>141000000000</v>
      </c>
      <c r="F9" s="3">
        <v>125000000000</v>
      </c>
      <c r="G9" s="2">
        <v>0</v>
      </c>
      <c r="H9" s="3">
        <v>3540000000</v>
      </c>
      <c r="I9" s="2"/>
      <c r="J9" s="7">
        <f t="shared" si="13"/>
        <v>1.55E-2</v>
      </c>
      <c r="K9" s="7">
        <f t="shared" si="18"/>
        <v>0.36269999999999997</v>
      </c>
      <c r="L9" s="7">
        <f t="shared" si="19"/>
        <v>141</v>
      </c>
      <c r="M9" s="7">
        <f t="shared" si="14"/>
        <v>48.1</v>
      </c>
      <c r="O9">
        <f t="shared" si="20"/>
        <v>9.8445945945945957E-3</v>
      </c>
      <c r="P9">
        <f t="shared" si="21"/>
        <v>9.8445945945945965</v>
      </c>
      <c r="V9">
        <f t="shared" si="15"/>
        <v>176.05403757299823</v>
      </c>
      <c r="W9">
        <f t="shared" si="16"/>
        <v>136.60578497115137</v>
      </c>
      <c r="Y9">
        <f>STDEV(W21:W98)</f>
        <v>6.9685525450156955</v>
      </c>
      <c r="Z9" s="10" t="s">
        <v>109</v>
      </c>
      <c r="AE9">
        <f t="shared" si="22"/>
        <v>0.17511761223579145</v>
      </c>
      <c r="AF9">
        <f t="shared" si="7"/>
        <v>0.17104286471469426</v>
      </c>
      <c r="AG9">
        <f t="shared" si="8"/>
        <v>0.17200055867472122</v>
      </c>
      <c r="AI9">
        <f t="shared" si="9"/>
        <v>3.6879975982297829E-2</v>
      </c>
      <c r="AJ9">
        <f t="shared" si="17"/>
        <v>3.7647695386969242</v>
      </c>
      <c r="AL9">
        <f t="shared" si="10"/>
        <v>3.7758566217340132E-2</v>
      </c>
      <c r="AM9">
        <f t="shared" si="0"/>
        <v>3.9462820883657233</v>
      </c>
      <c r="AO9">
        <f t="shared" si="11"/>
        <v>3.7548327651347968E-2</v>
      </c>
      <c r="AP9">
        <f t="shared" si="1"/>
        <v>3.9024588711616937</v>
      </c>
    </row>
    <row r="10" spans="1:42" x14ac:dyDescent="0.2">
      <c r="A10" s="2">
        <v>8</v>
      </c>
      <c r="B10" s="3">
        <v>1.66E-8</v>
      </c>
      <c r="C10" s="2">
        <v>4.127E-4</v>
      </c>
      <c r="D10" s="3">
        <v>38300</v>
      </c>
      <c r="E10" s="3">
        <v>118000000000</v>
      </c>
      <c r="F10" s="3">
        <v>106000000000</v>
      </c>
      <c r="G10" s="3">
        <v>9550000000</v>
      </c>
      <c r="H10" s="3">
        <v>4630000000</v>
      </c>
      <c r="I10" s="2"/>
      <c r="J10" s="7">
        <f t="shared" si="13"/>
        <v>1.66E-2</v>
      </c>
      <c r="K10" s="7">
        <f t="shared" si="18"/>
        <v>0.41270000000000001</v>
      </c>
      <c r="L10" s="7">
        <f t="shared" si="19"/>
        <v>118.00000000000001</v>
      </c>
      <c r="M10" s="7">
        <f t="shared" si="14"/>
        <v>38.300000000000004</v>
      </c>
      <c r="O10">
        <f t="shared" si="20"/>
        <v>8.5184073107049622E-3</v>
      </c>
      <c r="P10">
        <f>O10*1000</f>
        <v>8.518407310704962</v>
      </c>
      <c r="V10">
        <f t="shared" si="15"/>
        <v>165.12273118016725</v>
      </c>
      <c r="W10">
        <f t="shared" si="16"/>
        <v>115.9743414073331</v>
      </c>
      <c r="Z10" s="10"/>
      <c r="AE10">
        <f t="shared" si="22"/>
        <v>0.1394387640047986</v>
      </c>
      <c r="AF10">
        <f t="shared" si="7"/>
        <v>0.13619421452334285</v>
      </c>
      <c r="AG10">
        <f t="shared" si="8"/>
        <v>0.13695678580544332</v>
      </c>
      <c r="AI10">
        <f t="shared" si="9"/>
        <v>4.960361428927066E-2</v>
      </c>
      <c r="AJ10">
        <f t="shared" si="17"/>
        <v>6.7564398383701807</v>
      </c>
      <c r="AL10">
        <f t="shared" si="10"/>
        <v>5.0785319265387679E-2</v>
      </c>
      <c r="AM10">
        <f t="shared" si="0"/>
        <v>7.0821911517350085</v>
      </c>
      <c r="AO10">
        <f t="shared" si="11"/>
        <v>5.0502548128518988E-2</v>
      </c>
      <c r="AP10">
        <f t="shared" si="1"/>
        <v>7.0035438593790085</v>
      </c>
    </row>
    <row r="11" spans="1:42" x14ac:dyDescent="0.2">
      <c r="A11" s="2">
        <v>9</v>
      </c>
      <c r="B11" s="3">
        <v>1.7599999999999999E-8</v>
      </c>
      <c r="C11" s="2">
        <v>4.682E-4</v>
      </c>
      <c r="D11" s="3">
        <v>43200</v>
      </c>
      <c r="E11" s="3">
        <v>128000000000</v>
      </c>
      <c r="F11" s="3">
        <v>114000000000</v>
      </c>
      <c r="G11" s="3">
        <v>21400000000</v>
      </c>
      <c r="H11" s="3">
        <v>4750000000</v>
      </c>
      <c r="I11" s="2"/>
      <c r="J11" s="7">
        <f t="shared" si="13"/>
        <v>1.7599999999999998E-2</v>
      </c>
      <c r="K11" s="7">
        <f t="shared" si="18"/>
        <v>0.46820000000000001</v>
      </c>
      <c r="L11" s="7">
        <f>E11*(10^-9)</f>
        <v>128</v>
      </c>
      <c r="M11" s="7">
        <f t="shared" si="14"/>
        <v>43.2</v>
      </c>
      <c r="O11" s="8">
        <f t="shared" si="20"/>
        <v>9.4715277777777766E-3</v>
      </c>
      <c r="P11">
        <f t="shared" si="21"/>
        <v>9.4715277777777764</v>
      </c>
      <c r="V11">
        <f t="shared" si="15"/>
        <v>173.06653112912167</v>
      </c>
      <c r="W11">
        <f t="shared" si="16"/>
        <v>124.80749373710303</v>
      </c>
      <c r="Y11">
        <f>AVERAGE(W21:W59)</f>
        <v>139.82512722811643</v>
      </c>
      <c r="Z11" s="10" t="s">
        <v>111</v>
      </c>
      <c r="AE11">
        <f t="shared" si="22"/>
        <v>0.15727818812029504</v>
      </c>
      <c r="AF11">
        <f t="shared" si="7"/>
        <v>0.15361853961901856</v>
      </c>
      <c r="AG11">
        <f t="shared" si="8"/>
        <v>0.15447867224008227</v>
      </c>
      <c r="AI11">
        <f t="shared" si="9"/>
        <v>4.6626512048348334E-2</v>
      </c>
      <c r="AJ11">
        <f t="shared" si="17"/>
        <v>6.0248315493281268</v>
      </c>
      <c r="AL11">
        <f t="shared" si="10"/>
        <v>4.7737293633440044E-2</v>
      </c>
      <c r="AM11">
        <f t="shared" si="0"/>
        <v>6.315309498802316</v>
      </c>
      <c r="AO11">
        <f t="shared" si="11"/>
        <v>4.7471493812014834E-2</v>
      </c>
      <c r="AP11">
        <f t="shared" si="1"/>
        <v>6.245178379515985</v>
      </c>
    </row>
    <row r="12" spans="1:42" x14ac:dyDescent="0.2">
      <c r="A12" s="2">
        <v>10</v>
      </c>
      <c r="B12" s="3">
        <v>1.9300000000000001E-8</v>
      </c>
      <c r="C12" s="2">
        <v>5.1979999999999995E-4</v>
      </c>
      <c r="D12" s="3">
        <v>48600</v>
      </c>
      <c r="E12" s="3">
        <v>132000000000</v>
      </c>
      <c r="F12" s="3">
        <v>118000000000</v>
      </c>
      <c r="G12" s="2">
        <v>0</v>
      </c>
      <c r="H12" s="3">
        <v>4400000000</v>
      </c>
      <c r="I12" s="2"/>
      <c r="J12" s="7">
        <f t="shared" si="13"/>
        <v>1.9300000000000001E-2</v>
      </c>
      <c r="K12" s="7">
        <f t="shared" si="18"/>
        <v>0.51979999999999993</v>
      </c>
      <c r="L12" s="7">
        <f t="shared" si="19"/>
        <v>132</v>
      </c>
      <c r="M12" s="7">
        <f t="shared" si="14"/>
        <v>48.6</v>
      </c>
      <c r="O12">
        <f t="shared" si="20"/>
        <v>1.1278395061728399E-2</v>
      </c>
      <c r="P12">
        <f t="shared" si="21"/>
        <v>11.278395061728398</v>
      </c>
      <c r="V12">
        <f t="shared" si="15"/>
        <v>186.98470531380266</v>
      </c>
      <c r="W12">
        <f t="shared" si="16"/>
        <v>129.95715322929274</v>
      </c>
      <c r="Y12">
        <f>STDEV(W21:W59)</f>
        <v>6.4369815019401573</v>
      </c>
      <c r="Z12" s="10" t="s">
        <v>109</v>
      </c>
      <c r="AE12">
        <f t="shared" si="22"/>
        <v>0.1769379616353319</v>
      </c>
      <c r="AF12">
        <f t="shared" si="7"/>
        <v>0.17282085707139588</v>
      </c>
      <c r="AG12">
        <f t="shared" si="8"/>
        <v>0.17378850627009254</v>
      </c>
      <c r="AI12">
        <f t="shared" si="9"/>
        <v>4.5449074875410257E-2</v>
      </c>
      <c r="AJ12">
        <f t="shared" si="17"/>
        <v>5.2849968125315412</v>
      </c>
      <c r="AL12">
        <f t="shared" si="10"/>
        <v>4.65318064204744E-2</v>
      </c>
      <c r="AM12">
        <f t="shared" si="0"/>
        <v>5.539804772640065</v>
      </c>
      <c r="AO12">
        <f t="shared" si="11"/>
        <v>4.6272718715751844E-2</v>
      </c>
      <c r="AP12">
        <f t="shared" si="1"/>
        <v>5.4782855851154197</v>
      </c>
    </row>
    <row r="13" spans="1:42" x14ac:dyDescent="0.2">
      <c r="A13" s="2">
        <v>11</v>
      </c>
      <c r="B13" s="3">
        <v>1.9799999999999999E-8</v>
      </c>
      <c r="C13" s="2">
        <v>5.7039999999999999E-4</v>
      </c>
      <c r="D13" s="3">
        <v>46700</v>
      </c>
      <c r="E13" s="3">
        <v>131000000000</v>
      </c>
      <c r="F13" s="3">
        <v>117000000000</v>
      </c>
      <c r="G13" s="3">
        <v>1730000000</v>
      </c>
      <c r="H13" s="3">
        <v>5150000000</v>
      </c>
      <c r="I13" s="2"/>
      <c r="J13" s="7">
        <f t="shared" si="13"/>
        <v>1.9799999999999998E-2</v>
      </c>
      <c r="K13" s="7">
        <f t="shared" si="18"/>
        <v>0.57040000000000002</v>
      </c>
      <c r="L13" s="7">
        <f t="shared" si="19"/>
        <v>131</v>
      </c>
      <c r="M13" s="7">
        <f t="shared" si="14"/>
        <v>46.7</v>
      </c>
      <c r="O13">
        <f t="shared" si="20"/>
        <v>1.0639400428265522E-2</v>
      </c>
      <c r="P13">
        <f t="shared" si="21"/>
        <v>10.639400428265523</v>
      </c>
      <c r="V13">
        <f t="shared" si="15"/>
        <v>182.21508241429481</v>
      </c>
      <c r="W13">
        <f t="shared" si="16"/>
        <v>128.1452648739037</v>
      </c>
      <c r="AE13">
        <f t="shared" ref="AE13:AE76" si="23">M13/(2*$Y$5)</f>
        <v>0.1700206339170782</v>
      </c>
      <c r="AF13">
        <f t="shared" ref="AF13:AF76" si="24">M13/(2*$Y$8)</f>
        <v>0.16606448611592978</v>
      </c>
      <c r="AG13">
        <f t="shared" ref="AG13:AG76" si="25">M13/(2*$Y$11)</f>
        <v>0.16699430540768154</v>
      </c>
      <c r="AI13">
        <f t="shared" ref="AI13:AI76" si="26">J13/(2.4*AE13)</f>
        <v>4.8523522174512404E-2</v>
      </c>
      <c r="AJ13">
        <f t="shared" ref="AJ13:AJ76" si="27">K13/(3.14159*(AE13^2))</f>
        <v>6.2809704296843156</v>
      </c>
      <c r="AL13">
        <f t="shared" ref="AL13:AL76" si="28">J13/(2.4*AF13)</f>
        <v>4.9679496158141039E-2</v>
      </c>
      <c r="AM13">
        <f t="shared" ref="AM13:AM76" si="29">K13/(3.14159*(AF13^2))</f>
        <v>6.5837977197396178</v>
      </c>
      <c r="AO13">
        <f t="shared" ref="AO13:AO76" si="30">J13/(2.4*AG13)</f>
        <v>4.9402882211218857E-2</v>
      </c>
      <c r="AP13">
        <f t="shared" ref="AP13:AP76" si="31">K13/(3.14159*(AG13^2))</f>
        <v>6.5106850554548812</v>
      </c>
    </row>
    <row r="14" spans="1:42" x14ac:dyDescent="0.2">
      <c r="A14" s="2">
        <v>12</v>
      </c>
      <c r="B14" s="3">
        <v>2.11E-8</v>
      </c>
      <c r="C14" s="2">
        <v>6.2390000000000004E-4</v>
      </c>
      <c r="D14" s="3">
        <v>50900</v>
      </c>
      <c r="E14" s="3">
        <v>135000000000</v>
      </c>
      <c r="F14" s="3">
        <v>120000000000</v>
      </c>
      <c r="G14" s="2">
        <v>0</v>
      </c>
      <c r="H14" s="3">
        <v>5020000000</v>
      </c>
      <c r="I14" s="2"/>
      <c r="J14" s="7">
        <f t="shared" ref="J14:J77" si="32">B14*(10^6)</f>
        <v>2.1100000000000001E-2</v>
      </c>
      <c r="K14" s="7">
        <f t="shared" ref="K14:K77" si="33">C14*1000</f>
        <v>0.62390000000000001</v>
      </c>
      <c r="L14" s="7">
        <f t="shared" ref="L14:L77" si="34">E14*(10^-9)</f>
        <v>135</v>
      </c>
      <c r="M14" s="7">
        <f t="shared" ref="M14:M77" si="35">D14*(10^-3)</f>
        <v>50.9</v>
      </c>
      <c r="O14">
        <f t="shared" ref="O14:O77" si="36">J14-(0.75*(K14/M14))</f>
        <v>1.190697445972495E-2</v>
      </c>
      <c r="P14">
        <f t="shared" ref="P14:P77" si="37">O14*1000</f>
        <v>11.90697445972495</v>
      </c>
      <c r="V14">
        <f t="shared" si="15"/>
        <v>191.53186169581497</v>
      </c>
      <c r="W14">
        <f t="shared" si="16"/>
        <v>132.87606445563043</v>
      </c>
      <c r="AE14">
        <f t="shared" si="23"/>
        <v>0.18531156887321798</v>
      </c>
      <c r="AF14">
        <f t="shared" si="24"/>
        <v>0.18099962191222324</v>
      </c>
      <c r="AG14">
        <f t="shared" si="25"/>
        <v>0.18201306520880062</v>
      </c>
      <c r="AI14">
        <f t="shared" si="26"/>
        <v>4.74426217430685E-2</v>
      </c>
      <c r="AJ14">
        <f t="shared" si="27"/>
        <v>5.7830961642197725</v>
      </c>
      <c r="AL14">
        <f t="shared" si="28"/>
        <v>4.8572845477711735E-2</v>
      </c>
      <c r="AM14">
        <f t="shared" si="29"/>
        <v>6.061919215394032</v>
      </c>
      <c r="AO14">
        <f t="shared" si="30"/>
        <v>4.8302393328638782E-2</v>
      </c>
      <c r="AP14">
        <f t="shared" si="31"/>
        <v>5.9946019794486647</v>
      </c>
    </row>
    <row r="15" spans="1:42" x14ac:dyDescent="0.2">
      <c r="A15" s="2">
        <v>13</v>
      </c>
      <c r="B15" s="3">
        <v>2.22E-8</v>
      </c>
      <c r="C15" s="2">
        <v>6.7440000000000002E-4</v>
      </c>
      <c r="D15" s="3">
        <v>52700</v>
      </c>
      <c r="E15" s="3">
        <v>136000000000</v>
      </c>
      <c r="F15" s="3">
        <v>121000000000</v>
      </c>
      <c r="G15" s="3">
        <v>17500000000</v>
      </c>
      <c r="H15" s="3">
        <v>5140000000</v>
      </c>
      <c r="I15" s="2"/>
      <c r="J15" s="7">
        <f t="shared" si="32"/>
        <v>2.2200000000000001E-2</v>
      </c>
      <c r="K15" s="7">
        <f t="shared" si="33"/>
        <v>0.6744</v>
      </c>
      <c r="L15" s="7">
        <f t="shared" si="34"/>
        <v>136</v>
      </c>
      <c r="M15" s="7">
        <f t="shared" si="35"/>
        <v>52.7</v>
      </c>
      <c r="O15">
        <f t="shared" si="36"/>
        <v>1.26022770398482E-2</v>
      </c>
      <c r="P15">
        <f t="shared" si="37"/>
        <v>12.6022770398482</v>
      </c>
      <c r="V15">
        <f t="shared" si="15"/>
        <v>196.40855931231863</v>
      </c>
      <c r="W15">
        <f t="shared" si="16"/>
        <v>134.15912265870048</v>
      </c>
      <c r="AE15">
        <f t="shared" si="23"/>
        <v>0.1918648267115636</v>
      </c>
      <c r="AF15">
        <f t="shared" si="24"/>
        <v>0.18740039439634903</v>
      </c>
      <c r="AG15">
        <f t="shared" si="25"/>
        <v>0.1884496765521374</v>
      </c>
      <c r="AI15">
        <f t="shared" si="26"/>
        <v>4.8211025223011905E-2</v>
      </c>
      <c r="AJ15">
        <f t="shared" si="27"/>
        <v>5.8314603124359703</v>
      </c>
      <c r="AL15">
        <f t="shared" si="28"/>
        <v>4.9359554603905419E-2</v>
      </c>
      <c r="AM15">
        <f t="shared" si="29"/>
        <v>6.112615166331496</v>
      </c>
      <c r="AO15">
        <f t="shared" si="30"/>
        <v>4.908472208197636E-2</v>
      </c>
      <c r="AP15">
        <f t="shared" si="31"/>
        <v>6.0447349550033387</v>
      </c>
    </row>
    <row r="16" spans="1:42" x14ac:dyDescent="0.2">
      <c r="A16" s="2">
        <v>14</v>
      </c>
      <c r="B16" s="3">
        <v>2.3199999999999999E-8</v>
      </c>
      <c r="C16" s="2">
        <v>7.27E-4</v>
      </c>
      <c r="D16" s="3">
        <v>67000</v>
      </c>
      <c r="E16" s="3">
        <v>162000000000</v>
      </c>
      <c r="F16" s="3">
        <v>141000000000</v>
      </c>
      <c r="G16" s="2">
        <v>0</v>
      </c>
      <c r="H16" s="3">
        <v>4630000000</v>
      </c>
      <c r="I16" s="2"/>
      <c r="J16" s="7">
        <f t="shared" si="32"/>
        <v>2.3199999999999998E-2</v>
      </c>
      <c r="K16" s="7">
        <f t="shared" si="33"/>
        <v>0.72699999999999998</v>
      </c>
      <c r="L16" s="7">
        <f t="shared" si="34"/>
        <v>162</v>
      </c>
      <c r="M16" s="7">
        <f t="shared" si="35"/>
        <v>67</v>
      </c>
      <c r="O16">
        <f t="shared" si="36"/>
        <v>1.5061940298507461E-2</v>
      </c>
      <c r="P16">
        <f t="shared" si="37"/>
        <v>15.06194029850746</v>
      </c>
      <c r="V16">
        <f t="shared" si="15"/>
        <v>212.55155669917758</v>
      </c>
      <c r="W16">
        <f t="shared" si="16"/>
        <v>157.60881980936168</v>
      </c>
      <c r="AE16">
        <f t="shared" si="23"/>
        <v>0.24392681953842052</v>
      </c>
      <c r="AF16">
        <f t="shared" si="24"/>
        <v>0.23825097579801488</v>
      </c>
      <c r="AG16">
        <f t="shared" si="25"/>
        <v>0.23958497777975721</v>
      </c>
      <c r="AI16">
        <f t="shared" si="26"/>
        <v>3.9629371977049389E-2</v>
      </c>
      <c r="AJ16">
        <f t="shared" si="27"/>
        <v>3.8892494460850555</v>
      </c>
      <c r="AL16">
        <f t="shared" si="28"/>
        <v>4.0573460966060855E-2</v>
      </c>
      <c r="AM16">
        <f t="shared" si="29"/>
        <v>4.0767636022639779</v>
      </c>
      <c r="AO16">
        <f t="shared" si="30"/>
        <v>4.0347549150401757E-2</v>
      </c>
      <c r="AP16">
        <f t="shared" si="31"/>
        <v>4.0314913959616945</v>
      </c>
    </row>
    <row r="17" spans="1:42" x14ac:dyDescent="0.2">
      <c r="A17" s="2">
        <v>15</v>
      </c>
      <c r="B17" s="3">
        <v>2.4200000000000002E-8</v>
      </c>
      <c r="C17" s="2">
        <v>7.8030000000000005E-4</v>
      </c>
      <c r="D17" s="3">
        <v>64600</v>
      </c>
      <c r="E17" s="3">
        <v>155000000000</v>
      </c>
      <c r="F17" s="3">
        <v>135000000000</v>
      </c>
      <c r="G17" s="3">
        <v>1170000000</v>
      </c>
      <c r="H17" s="3">
        <v>4950000000</v>
      </c>
      <c r="I17" s="2"/>
      <c r="J17" s="7">
        <f t="shared" si="32"/>
        <v>2.4200000000000003E-2</v>
      </c>
      <c r="K17" s="7">
        <f t="shared" si="33"/>
        <v>0.78029999999999999</v>
      </c>
      <c r="L17" s="7">
        <f t="shared" si="34"/>
        <v>155</v>
      </c>
      <c r="M17" s="7">
        <f t="shared" si="35"/>
        <v>64.599999999999994</v>
      </c>
      <c r="O17">
        <f t="shared" si="36"/>
        <v>1.5140789473684212E-2</v>
      </c>
      <c r="P17">
        <f t="shared" si="37"/>
        <v>15.140789473684212</v>
      </c>
      <c r="V17">
        <f t="shared" si="15"/>
        <v>213.04379109255871</v>
      </c>
      <c r="W17">
        <f t="shared" si="16"/>
        <v>151.61202227182949</v>
      </c>
      <c r="AE17">
        <f t="shared" si="23"/>
        <v>0.23518914242062633</v>
      </c>
      <c r="AF17">
        <f t="shared" si="24"/>
        <v>0.22971661248584715</v>
      </c>
      <c r="AG17">
        <f t="shared" si="25"/>
        <v>0.23100282932197486</v>
      </c>
      <c r="AI17">
        <f t="shared" si="26"/>
        <v>4.2873294360246013E-2</v>
      </c>
      <c r="AJ17">
        <f t="shared" si="27"/>
        <v>4.4903228138809661</v>
      </c>
      <c r="AL17">
        <f t="shared" si="28"/>
        <v>4.3894663186166256E-2</v>
      </c>
      <c r="AM17">
        <f t="shared" si="29"/>
        <v>4.7068167942975254</v>
      </c>
      <c r="AO17">
        <f t="shared" si="30"/>
        <v>4.3650259016001267E-2</v>
      </c>
      <c r="AP17">
        <f t="shared" si="31"/>
        <v>4.6545478864756058</v>
      </c>
    </row>
    <row r="18" spans="1:42" x14ac:dyDescent="0.2">
      <c r="A18" s="2">
        <v>16</v>
      </c>
      <c r="B18" s="3">
        <v>2.5200000000000001E-8</v>
      </c>
      <c r="C18" s="2">
        <v>8.3180000000000005E-4</v>
      </c>
      <c r="D18" s="3">
        <v>59900</v>
      </c>
      <c r="E18" s="3">
        <v>144000000000</v>
      </c>
      <c r="F18" s="3">
        <v>127000000000</v>
      </c>
      <c r="G18" s="3">
        <v>27000000000</v>
      </c>
      <c r="H18" s="3">
        <v>5400000000</v>
      </c>
      <c r="I18" s="2"/>
      <c r="J18" s="7">
        <f t="shared" si="32"/>
        <v>2.52E-2</v>
      </c>
      <c r="K18" s="7">
        <f t="shared" si="33"/>
        <v>0.83180000000000009</v>
      </c>
      <c r="L18" s="7">
        <f t="shared" si="34"/>
        <v>144</v>
      </c>
      <c r="M18" s="7">
        <f t="shared" si="35"/>
        <v>59.9</v>
      </c>
      <c r="O18">
        <f t="shared" si="36"/>
        <v>1.4785141903171952E-2</v>
      </c>
      <c r="P18">
        <f t="shared" si="37"/>
        <v>14.785141903171953</v>
      </c>
      <c r="V18">
        <f t="shared" si="15"/>
        <v>210.81212003267493</v>
      </c>
      <c r="W18">
        <f t="shared" si="16"/>
        <v>142.06963050965894</v>
      </c>
      <c r="AE18">
        <f t="shared" si="23"/>
        <v>0.21807785806494609</v>
      </c>
      <c r="AF18">
        <f t="shared" si="24"/>
        <v>0.2130034843328521</v>
      </c>
      <c r="AG18">
        <f t="shared" si="25"/>
        <v>0.21419612192548443</v>
      </c>
      <c r="AI18">
        <f t="shared" si="26"/>
        <v>4.8147941717553829E-2</v>
      </c>
      <c r="AJ18">
        <f t="shared" si="27"/>
        <v>5.5673210229403498</v>
      </c>
      <c r="AL18">
        <f t="shared" si="28"/>
        <v>4.9294968262547603E-2</v>
      </c>
      <c r="AM18">
        <f t="shared" si="29"/>
        <v>5.8357408088825142</v>
      </c>
      <c r="AO18">
        <f t="shared" si="30"/>
        <v>4.9020495355433145E-2</v>
      </c>
      <c r="AP18">
        <f t="shared" si="31"/>
        <v>5.7709352700772545</v>
      </c>
    </row>
    <row r="19" spans="1:42" x14ac:dyDescent="0.2">
      <c r="A19" s="2">
        <v>17</v>
      </c>
      <c r="B19" s="3">
        <v>2.59E-8</v>
      </c>
      <c r="C19" s="2">
        <v>8.8349999999999995E-4</v>
      </c>
      <c r="D19" s="3">
        <v>59300</v>
      </c>
      <c r="E19" s="3">
        <v>142000000000</v>
      </c>
      <c r="F19" s="3">
        <v>126000000000</v>
      </c>
      <c r="G19" s="3">
        <v>4510000000</v>
      </c>
      <c r="H19" s="3">
        <v>5750000000</v>
      </c>
      <c r="I19" s="2"/>
      <c r="J19" s="7">
        <f t="shared" si="32"/>
        <v>2.5899999999999999E-2</v>
      </c>
      <c r="K19" s="7">
        <f t="shared" si="33"/>
        <v>0.88349999999999995</v>
      </c>
      <c r="L19" s="7">
        <f t="shared" si="34"/>
        <v>142</v>
      </c>
      <c r="M19" s="7">
        <f t="shared" si="35"/>
        <v>59.300000000000004</v>
      </c>
      <c r="O19">
        <f t="shared" si="36"/>
        <v>1.4725885328836426E-2</v>
      </c>
      <c r="P19">
        <f t="shared" si="37"/>
        <v>14.725885328836426</v>
      </c>
      <c r="V19">
        <f t="shared" si="15"/>
        <v>210.43739265192573</v>
      </c>
      <c r="W19">
        <f t="shared" si="16"/>
        <v>140.89701277112204</v>
      </c>
      <c r="AE19">
        <f t="shared" si="23"/>
        <v>0.21589343878549758</v>
      </c>
      <c r="AF19">
        <f t="shared" si="24"/>
        <v>0.2108698935048102</v>
      </c>
      <c r="AG19">
        <f t="shared" si="25"/>
        <v>0.21205058481103886</v>
      </c>
      <c r="AI19">
        <f t="shared" si="26"/>
        <v>4.9986079833527514E-2</v>
      </c>
      <c r="AJ19">
        <f t="shared" si="27"/>
        <v>6.0336228555728102</v>
      </c>
      <c r="AL19">
        <f t="shared" si="28"/>
        <v>5.1176896271446622E-2</v>
      </c>
      <c r="AM19">
        <f t="shared" si="29"/>
        <v>6.32452466430186</v>
      </c>
      <c r="AO19">
        <f t="shared" si="30"/>
        <v>5.089194484553422E-2</v>
      </c>
      <c r="AP19">
        <f t="shared" si="31"/>
        <v>6.2542912111756728</v>
      </c>
    </row>
    <row r="20" spans="1:42" x14ac:dyDescent="0.2">
      <c r="A20" s="2">
        <v>18</v>
      </c>
      <c r="B20" s="3">
        <v>2.6799999999999998E-8</v>
      </c>
      <c r="C20" s="2">
        <v>9.3550000000000003E-4</v>
      </c>
      <c r="D20" s="3">
        <v>52000</v>
      </c>
      <c r="E20" s="3">
        <v>130000000000</v>
      </c>
      <c r="F20" s="3">
        <v>116000000000</v>
      </c>
      <c r="G20" s="2">
        <v>0</v>
      </c>
      <c r="H20" s="3">
        <v>6740000000</v>
      </c>
      <c r="I20" s="2"/>
      <c r="J20" s="7">
        <f t="shared" si="32"/>
        <v>2.6799999999999997E-2</v>
      </c>
      <c r="K20" s="7">
        <f t="shared" si="33"/>
        <v>0.9355</v>
      </c>
      <c r="L20" s="7">
        <f t="shared" si="34"/>
        <v>130</v>
      </c>
      <c r="M20" s="7">
        <f t="shared" si="35"/>
        <v>52</v>
      </c>
      <c r="O20">
        <f t="shared" si="36"/>
        <v>1.3307211538461535E-2</v>
      </c>
      <c r="P20">
        <f t="shared" si="37"/>
        <v>13.307211538461535</v>
      </c>
      <c r="V20">
        <f t="shared" si="15"/>
        <v>201.20211131132751</v>
      </c>
      <c r="W20">
        <f t="shared" si="16"/>
        <v>129.22329607053294</v>
      </c>
      <c r="AE20">
        <f t="shared" si="23"/>
        <v>0.18931633755220698</v>
      </c>
      <c r="AF20">
        <f t="shared" si="24"/>
        <v>0.18491120509696676</v>
      </c>
      <c r="AG20">
        <f t="shared" si="25"/>
        <v>0.18594654991861753</v>
      </c>
      <c r="AI20">
        <f t="shared" si="26"/>
        <v>5.8984168038784715E-2</v>
      </c>
      <c r="AJ20">
        <f t="shared" si="27"/>
        <v>8.3084134026474743</v>
      </c>
      <c r="AL20">
        <f t="shared" si="28"/>
        <v>6.0389345582442702E-2</v>
      </c>
      <c r="AM20">
        <f t="shared" si="29"/>
        <v>8.7089907248224065</v>
      </c>
      <c r="AO20">
        <f t="shared" si="30"/>
        <v>6.0053099514639746E-2</v>
      </c>
      <c r="AP20">
        <f t="shared" si="31"/>
        <v>8.61227792436474</v>
      </c>
    </row>
    <row r="21" spans="1:42" x14ac:dyDescent="0.2">
      <c r="A21" s="2">
        <v>19</v>
      </c>
      <c r="B21" s="3">
        <v>2.7800000000000001E-8</v>
      </c>
      <c r="C21" s="2">
        <v>9.8520000000000009E-4</v>
      </c>
      <c r="D21" s="3">
        <v>60200</v>
      </c>
      <c r="E21" s="3">
        <v>141000000000</v>
      </c>
      <c r="F21" s="3">
        <v>125000000000</v>
      </c>
      <c r="G21" s="2">
        <v>0</v>
      </c>
      <c r="H21" s="3">
        <v>6120000000</v>
      </c>
      <c r="I21" s="2"/>
      <c r="J21" s="7">
        <f t="shared" si="32"/>
        <v>2.7800000000000002E-2</v>
      </c>
      <c r="K21" s="7">
        <f t="shared" si="33"/>
        <v>0.98520000000000008</v>
      </c>
      <c r="L21" s="7">
        <f t="shared" si="34"/>
        <v>141</v>
      </c>
      <c r="M21" s="7">
        <f t="shared" si="35"/>
        <v>60.2</v>
      </c>
      <c r="O21">
        <f t="shared" si="36"/>
        <v>1.552591362126246E-2</v>
      </c>
      <c r="P21">
        <f t="shared" si="37"/>
        <v>15.525913621262461</v>
      </c>
      <c r="V21">
        <f t="shared" si="15"/>
        <v>215.42774206282942</v>
      </c>
      <c r="W21">
        <f t="shared" si="16"/>
        <v>139.72202331871142</v>
      </c>
      <c r="AE21">
        <f t="shared" si="23"/>
        <v>0.21917006770467037</v>
      </c>
      <c r="AF21">
        <f t="shared" si="24"/>
        <v>0.21407027974687309</v>
      </c>
      <c r="AG21">
        <f t="shared" si="25"/>
        <v>0.21526889048270723</v>
      </c>
      <c r="AI21">
        <f t="shared" si="26"/>
        <v>5.2850890884159278E-2</v>
      </c>
      <c r="AJ21">
        <f t="shared" si="27"/>
        <v>6.5284850468947697</v>
      </c>
      <c r="AL21">
        <f t="shared" si="28"/>
        <v>5.4109955604439909E-2</v>
      </c>
      <c r="AM21">
        <f t="shared" si="29"/>
        <v>6.8432458720013853</v>
      </c>
      <c r="AO21">
        <f t="shared" si="30"/>
        <v>5.3808672991993864E-2</v>
      </c>
      <c r="AP21">
        <f t="shared" si="31"/>
        <v>6.76725205211876</v>
      </c>
    </row>
    <row r="22" spans="1:42" x14ac:dyDescent="0.2">
      <c r="A22" s="2">
        <v>20</v>
      </c>
      <c r="B22" s="3">
        <v>2.88E-8</v>
      </c>
      <c r="C22" s="2">
        <v>1.0399999999999999E-3</v>
      </c>
      <c r="D22" s="3">
        <v>59700</v>
      </c>
      <c r="E22" s="3">
        <v>139000000000</v>
      </c>
      <c r="F22" s="3">
        <v>123000000000</v>
      </c>
      <c r="G22" s="2">
        <v>0</v>
      </c>
      <c r="H22" s="3">
        <v>6380000000</v>
      </c>
      <c r="I22" s="2"/>
      <c r="J22" s="7">
        <f t="shared" si="32"/>
        <v>2.8799999999999999E-2</v>
      </c>
      <c r="K22" s="7">
        <f t="shared" si="33"/>
        <v>1.0399999999999998</v>
      </c>
      <c r="L22" s="7">
        <f t="shared" si="34"/>
        <v>139</v>
      </c>
      <c r="M22" s="7">
        <f t="shared" si="35"/>
        <v>59.7</v>
      </c>
      <c r="O22">
        <f t="shared" si="36"/>
        <v>1.5734673366834172E-2</v>
      </c>
      <c r="P22">
        <f t="shared" si="37"/>
        <v>15.734673366834171</v>
      </c>
      <c r="V22">
        <f t="shared" si="15"/>
        <v>216.70622978401011</v>
      </c>
      <c r="W22">
        <f t="shared" si="16"/>
        <v>137.74407883774882</v>
      </c>
      <c r="AE22">
        <f t="shared" si="23"/>
        <v>0.21734971830512992</v>
      </c>
      <c r="AF22">
        <f t="shared" si="24"/>
        <v>0.21229228739017147</v>
      </c>
      <c r="AG22">
        <f t="shared" si="25"/>
        <v>0.21348094288733591</v>
      </c>
      <c r="AI22">
        <f t="shared" si="26"/>
        <v>5.5210561548341211E-2</v>
      </c>
      <c r="AJ22">
        <f t="shared" si="27"/>
        <v>7.0075413660459356</v>
      </c>
      <c r="AL22">
        <f t="shared" si="28"/>
        <v>5.6525840611181648E-2</v>
      </c>
      <c r="AM22">
        <f t="shared" si="29"/>
        <v>7.3453991518111774</v>
      </c>
      <c r="AO22">
        <f t="shared" si="30"/>
        <v>5.621110642336339E-2</v>
      </c>
      <c r="AP22">
        <f t="shared" si="31"/>
        <v>7.2638289509811012</v>
      </c>
    </row>
    <row r="23" spans="1:42" x14ac:dyDescent="0.2">
      <c r="A23" s="2">
        <v>21</v>
      </c>
      <c r="B23" s="3">
        <v>2.96E-8</v>
      </c>
      <c r="C23" s="2">
        <v>1.09E-3</v>
      </c>
      <c r="D23" s="3">
        <v>54800</v>
      </c>
      <c r="E23" s="3">
        <v>130000000000</v>
      </c>
      <c r="F23" s="3">
        <v>116000000000</v>
      </c>
      <c r="G23" s="2">
        <v>0</v>
      </c>
      <c r="H23" s="3">
        <v>7110000000</v>
      </c>
      <c r="I23" s="2"/>
      <c r="J23" s="7">
        <f t="shared" si="32"/>
        <v>2.9600000000000001E-2</v>
      </c>
      <c r="K23" s="7">
        <f t="shared" si="33"/>
        <v>1.0900000000000001</v>
      </c>
      <c r="L23" s="7">
        <f t="shared" si="34"/>
        <v>130</v>
      </c>
      <c r="M23" s="7">
        <f t="shared" si="35"/>
        <v>54.800000000000004</v>
      </c>
      <c r="O23">
        <f t="shared" si="36"/>
        <v>1.4682116788321167E-2</v>
      </c>
      <c r="P23">
        <f t="shared" si="37"/>
        <v>14.682116788321167</v>
      </c>
      <c r="V23">
        <f t="shared" si="15"/>
        <v>210.16006908207319</v>
      </c>
      <c r="W23">
        <f t="shared" si="16"/>
        <v>130.37681287257078</v>
      </c>
      <c r="AE23">
        <f t="shared" si="23"/>
        <v>0.19951029418963351</v>
      </c>
      <c r="AF23">
        <f t="shared" si="24"/>
        <v>0.19486796229449577</v>
      </c>
      <c r="AG23">
        <f t="shared" si="25"/>
        <v>0.19595905645269696</v>
      </c>
      <c r="AI23">
        <f t="shared" si="26"/>
        <v>6.1818029908825477E-2</v>
      </c>
      <c r="AJ23">
        <f t="shared" si="27"/>
        <v>8.7165850902395245</v>
      </c>
      <c r="AL23">
        <f t="shared" si="28"/>
        <v>6.3290718433718141E-2</v>
      </c>
      <c r="AM23">
        <f t="shared" si="29"/>
        <v>9.1368417800240582</v>
      </c>
      <c r="AO23">
        <f t="shared" si="30"/>
        <v>6.2938317608762867E-2</v>
      </c>
      <c r="AP23">
        <f t="shared" si="31"/>
        <v>9.0353777202029644</v>
      </c>
    </row>
    <row r="24" spans="1:42" x14ac:dyDescent="0.2">
      <c r="A24" s="2">
        <v>22</v>
      </c>
      <c r="B24" s="3">
        <v>3.0600000000000003E-8</v>
      </c>
      <c r="C24" s="2">
        <v>1.145E-3</v>
      </c>
      <c r="D24" s="3">
        <v>63600</v>
      </c>
      <c r="E24" s="3">
        <v>142000000000</v>
      </c>
      <c r="F24" s="3">
        <v>126000000000</v>
      </c>
      <c r="G24" s="2">
        <v>0</v>
      </c>
      <c r="H24" s="3">
        <v>6470000000</v>
      </c>
      <c r="I24" s="2"/>
      <c r="J24" s="7">
        <f t="shared" si="32"/>
        <v>3.0600000000000002E-2</v>
      </c>
      <c r="K24" s="7">
        <f t="shared" si="33"/>
        <v>1.145</v>
      </c>
      <c r="L24" s="7">
        <f t="shared" si="34"/>
        <v>142</v>
      </c>
      <c r="M24" s="7">
        <f t="shared" si="35"/>
        <v>63.6</v>
      </c>
      <c r="O24">
        <f t="shared" si="36"/>
        <v>1.7097641509433964E-2</v>
      </c>
      <c r="P24">
        <f t="shared" si="37"/>
        <v>17.097641509433963</v>
      </c>
      <c r="V24">
        <f t="shared" si="15"/>
        <v>224.83032196613061</v>
      </c>
      <c r="W24">
        <f t="shared" si="16"/>
        <v>141.43999671356823</v>
      </c>
      <c r="AE24">
        <f t="shared" si="23"/>
        <v>0.23154844362154545</v>
      </c>
      <c r="AF24">
        <f t="shared" si="24"/>
        <v>0.22616062777244397</v>
      </c>
      <c r="AG24">
        <f t="shared" si="25"/>
        <v>0.22742693413123222</v>
      </c>
      <c r="AI24">
        <f t="shared" si="26"/>
        <v>5.5064071261214126E-2</v>
      </c>
      <c r="AJ24">
        <f t="shared" si="27"/>
        <v>6.7978605053408119</v>
      </c>
      <c r="AL24">
        <f t="shared" si="28"/>
        <v>5.6375860491635482E-2</v>
      </c>
      <c r="AM24">
        <f t="shared" si="29"/>
        <v>7.1256088522009282</v>
      </c>
      <c r="AO24">
        <f t="shared" si="30"/>
        <v>5.60619613886316E-2</v>
      </c>
      <c r="AP24">
        <f t="shared" si="31"/>
        <v>7.0464794089810496</v>
      </c>
    </row>
    <row r="25" spans="1:42" x14ac:dyDescent="0.2">
      <c r="A25" s="2">
        <v>23</v>
      </c>
      <c r="B25" s="3">
        <v>3.1300000000000002E-8</v>
      </c>
      <c r="C25" s="2">
        <v>1.1969999999999999E-3</v>
      </c>
      <c r="D25" s="3">
        <v>64400</v>
      </c>
      <c r="E25" s="3">
        <v>143000000000</v>
      </c>
      <c r="F25" s="3">
        <v>126000000000</v>
      </c>
      <c r="G25" s="3">
        <v>8120000000</v>
      </c>
      <c r="H25" s="3">
        <v>6650000000</v>
      </c>
      <c r="I25" s="2"/>
      <c r="J25" s="7">
        <f t="shared" si="32"/>
        <v>3.1300000000000001E-2</v>
      </c>
      <c r="K25" s="7">
        <f t="shared" si="33"/>
        <v>1.1969999999999998</v>
      </c>
      <c r="L25" s="7">
        <f t="shared" si="34"/>
        <v>143</v>
      </c>
      <c r="M25" s="7">
        <f t="shared" si="35"/>
        <v>64.400000000000006</v>
      </c>
      <c r="O25">
        <f t="shared" si="36"/>
        <v>1.7359782608695657E-2</v>
      </c>
      <c r="P25">
        <f t="shared" si="37"/>
        <v>17.359782608695657</v>
      </c>
      <c r="V25">
        <f t="shared" si="15"/>
        <v>226.35098670076442</v>
      </c>
      <c r="W25">
        <f t="shared" si="16"/>
        <v>142.25694559294473</v>
      </c>
      <c r="AE25">
        <f t="shared" si="23"/>
        <v>0.23446100266081019</v>
      </c>
      <c r="AF25">
        <f t="shared" si="24"/>
        <v>0.22900541554316656</v>
      </c>
      <c r="AG25">
        <f t="shared" si="25"/>
        <v>0.23028765028382636</v>
      </c>
      <c r="AI25">
        <f t="shared" si="26"/>
        <v>5.5624033500930536E-2</v>
      </c>
      <c r="AJ25">
        <f t="shared" si="27"/>
        <v>6.931119853364283</v>
      </c>
      <c r="AL25">
        <f t="shared" si="28"/>
        <v>5.6949162690034152E-2</v>
      </c>
      <c r="AM25">
        <f t="shared" si="29"/>
        <v>7.2652930939073519</v>
      </c>
      <c r="AO25">
        <f t="shared" si="30"/>
        <v>5.6632071457557505E-2</v>
      </c>
      <c r="AP25">
        <f t="shared" si="31"/>
        <v>7.1846124658691526</v>
      </c>
    </row>
    <row r="26" spans="1:42" x14ac:dyDescent="0.2">
      <c r="A26" s="2">
        <v>24</v>
      </c>
      <c r="B26" s="3">
        <v>3.2199999999999997E-8</v>
      </c>
      <c r="C26" s="2">
        <v>1.2470000000000001E-3</v>
      </c>
      <c r="D26" s="3">
        <v>62600</v>
      </c>
      <c r="E26" s="3">
        <v>139000000000</v>
      </c>
      <c r="F26" s="3">
        <v>123000000000</v>
      </c>
      <c r="G26" s="3">
        <v>1660000000</v>
      </c>
      <c r="H26" s="3">
        <v>6950000000</v>
      </c>
      <c r="I26" s="2"/>
      <c r="J26" s="7">
        <f t="shared" si="32"/>
        <v>3.2199999999999999E-2</v>
      </c>
      <c r="K26" s="7">
        <f t="shared" si="33"/>
        <v>1.2470000000000001</v>
      </c>
      <c r="L26" s="7">
        <f t="shared" si="34"/>
        <v>139</v>
      </c>
      <c r="M26" s="7">
        <f t="shared" si="35"/>
        <v>62.6</v>
      </c>
      <c r="O26">
        <f t="shared" si="36"/>
        <v>1.7259904153354631E-2</v>
      </c>
      <c r="P26">
        <f t="shared" si="37"/>
        <v>17.259904153354629</v>
      </c>
      <c r="V26">
        <f t="shared" si="15"/>
        <v>225.7731160414875</v>
      </c>
      <c r="W26">
        <f t="shared" si="16"/>
        <v>138.63475221845454</v>
      </c>
      <c r="AE26">
        <f t="shared" si="23"/>
        <v>0.22790774482246454</v>
      </c>
      <c r="AF26">
        <f t="shared" si="24"/>
        <v>0.22260464305904076</v>
      </c>
      <c r="AG26">
        <f t="shared" si="25"/>
        <v>0.22385103894048958</v>
      </c>
      <c r="AI26">
        <f t="shared" si="26"/>
        <v>5.8868849222820298E-2</v>
      </c>
      <c r="AJ26">
        <f t="shared" si="27"/>
        <v>7.6418547747581247</v>
      </c>
      <c r="AL26">
        <f t="shared" si="28"/>
        <v>6.0271279530805681E-2</v>
      </c>
      <c r="AM26">
        <f t="shared" si="29"/>
        <v>8.0102950020037849</v>
      </c>
      <c r="AO26">
        <f t="shared" si="30"/>
        <v>5.9935690851242659E-2</v>
      </c>
      <c r="AP26">
        <f t="shared" si="31"/>
        <v>7.9213411741017996</v>
      </c>
    </row>
    <row r="27" spans="1:42" x14ac:dyDescent="0.2">
      <c r="A27" s="2">
        <v>25</v>
      </c>
      <c r="B27" s="3">
        <v>3.2600000000000001E-8</v>
      </c>
      <c r="C27" s="2">
        <v>1.2999999999999999E-3</v>
      </c>
      <c r="D27" s="3">
        <v>64000</v>
      </c>
      <c r="E27" s="3">
        <v>142000000000</v>
      </c>
      <c r="F27" s="3">
        <v>125000000000</v>
      </c>
      <c r="G27" s="2">
        <v>0</v>
      </c>
      <c r="H27" s="3">
        <v>7200000000</v>
      </c>
      <c r="I27" s="2"/>
      <c r="J27" s="7">
        <f t="shared" si="32"/>
        <v>3.2600000000000004E-2</v>
      </c>
      <c r="K27" s="7">
        <f t="shared" si="33"/>
        <v>1.3</v>
      </c>
      <c r="L27" s="7">
        <f t="shared" si="34"/>
        <v>142</v>
      </c>
      <c r="M27" s="7">
        <f t="shared" si="35"/>
        <v>64</v>
      </c>
      <c r="O27">
        <f t="shared" si="36"/>
        <v>1.7365625000000003E-2</v>
      </c>
      <c r="P27">
        <f t="shared" si="37"/>
        <v>17.365625000000001</v>
      </c>
      <c r="V27">
        <f t="shared" si="15"/>
        <v>226.38473185244291</v>
      </c>
      <c r="W27">
        <f t="shared" si="16"/>
        <v>141.35228881450155</v>
      </c>
      <c r="AE27">
        <f t="shared" si="23"/>
        <v>0.23300472314117782</v>
      </c>
      <c r="AF27">
        <f t="shared" si="24"/>
        <v>0.22758302165780525</v>
      </c>
      <c r="AG27">
        <f t="shared" si="25"/>
        <v>0.22885729220752929</v>
      </c>
      <c r="AI27">
        <f t="shared" si="26"/>
        <v>5.8296386228630995E-2</v>
      </c>
      <c r="AJ27">
        <f t="shared" si="27"/>
        <v>7.6219201987642391</v>
      </c>
      <c r="AL27">
        <f t="shared" si="28"/>
        <v>5.9685178772945949E-2</v>
      </c>
      <c r="AM27">
        <f t="shared" si="29"/>
        <v>7.9893993112117618</v>
      </c>
      <c r="AO27">
        <f t="shared" si="30"/>
        <v>5.935285348485151E-2</v>
      </c>
      <c r="AP27">
        <f t="shared" si="31"/>
        <v>7.9006775286566899</v>
      </c>
    </row>
    <row r="28" spans="1:42" x14ac:dyDescent="0.2">
      <c r="A28" s="2">
        <v>26</v>
      </c>
      <c r="B28" s="3">
        <v>3.4E-8</v>
      </c>
      <c r="C28" s="2">
        <v>1.3519999999999999E-3</v>
      </c>
      <c r="D28" s="3">
        <v>57800</v>
      </c>
      <c r="E28" s="3">
        <v>130000000000</v>
      </c>
      <c r="F28" s="3">
        <v>116000000000</v>
      </c>
      <c r="G28" s="2">
        <v>0</v>
      </c>
      <c r="H28" s="3">
        <v>7900000000</v>
      </c>
      <c r="I28" s="2"/>
      <c r="J28" s="7">
        <f t="shared" si="32"/>
        <v>3.4000000000000002E-2</v>
      </c>
      <c r="K28" s="7">
        <f t="shared" si="33"/>
        <v>1.3519999999999999</v>
      </c>
      <c r="L28" s="7">
        <f t="shared" si="34"/>
        <v>130</v>
      </c>
      <c r="M28" s="7">
        <f t="shared" si="35"/>
        <v>57.800000000000004</v>
      </c>
      <c r="O28">
        <f t="shared" si="36"/>
        <v>1.6456747404844298E-2</v>
      </c>
      <c r="P28">
        <f t="shared" si="37"/>
        <v>16.456747404844297</v>
      </c>
      <c r="V28">
        <f t="shared" si="15"/>
        <v>221.05696563313614</v>
      </c>
      <c r="W28">
        <f t="shared" si="16"/>
        <v>130.73553198030476</v>
      </c>
      <c r="AE28">
        <f t="shared" si="23"/>
        <v>0.21043239058687621</v>
      </c>
      <c r="AF28">
        <f t="shared" si="24"/>
        <v>0.2055359164347054</v>
      </c>
      <c r="AG28">
        <f t="shared" si="25"/>
        <v>0.2066867420249249</v>
      </c>
      <c r="AI28">
        <f t="shared" si="26"/>
        <v>6.7321701887989596E-2</v>
      </c>
      <c r="AJ28">
        <f t="shared" si="27"/>
        <v>9.7185619603165243</v>
      </c>
      <c r="AL28">
        <f t="shared" si="28"/>
        <v>6.8925504176624686E-2</v>
      </c>
      <c r="AM28">
        <f t="shared" si="29"/>
        <v>10.187127417617218</v>
      </c>
      <c r="AO28">
        <f t="shared" si="30"/>
        <v>6.8541729033390411E-2</v>
      </c>
      <c r="AP28">
        <f t="shared" si="31"/>
        <v>10.074000001099396</v>
      </c>
    </row>
    <row r="29" spans="1:42" x14ac:dyDescent="0.2">
      <c r="A29" s="2">
        <v>27</v>
      </c>
      <c r="B29" s="3">
        <v>3.4599999999999999E-8</v>
      </c>
      <c r="C29" s="2">
        <v>1.4040000000000001E-3</v>
      </c>
      <c r="D29" s="3">
        <v>66600</v>
      </c>
      <c r="E29" s="3">
        <v>141000000000</v>
      </c>
      <c r="F29" s="3">
        <v>125000000000</v>
      </c>
      <c r="G29" s="2">
        <v>0</v>
      </c>
      <c r="H29" s="3">
        <v>7160000000</v>
      </c>
      <c r="I29" s="2"/>
      <c r="J29" s="7">
        <f t="shared" si="32"/>
        <v>3.4599999999999999E-2</v>
      </c>
      <c r="K29" s="7">
        <f t="shared" si="33"/>
        <v>1.4040000000000001</v>
      </c>
      <c r="L29" s="7">
        <f t="shared" si="34"/>
        <v>141</v>
      </c>
      <c r="M29" s="7">
        <f t="shared" si="35"/>
        <v>66.599999999999994</v>
      </c>
      <c r="O29">
        <f t="shared" si="36"/>
        <v>1.8789189189189186E-2</v>
      </c>
      <c r="P29">
        <f t="shared" si="37"/>
        <v>18.789189189189187</v>
      </c>
      <c r="V29">
        <f t="shared" si="15"/>
        <v>234.42624094309542</v>
      </c>
      <c r="W29">
        <f t="shared" si="16"/>
        <v>142.04894412005368</v>
      </c>
      <c r="AE29">
        <f t="shared" si="23"/>
        <v>0.24247054001878812</v>
      </c>
      <c r="AF29">
        <f t="shared" si="24"/>
        <v>0.23682858191265357</v>
      </c>
      <c r="AG29">
        <f t="shared" si="25"/>
        <v>0.23815461970346014</v>
      </c>
      <c r="AI29">
        <f t="shared" si="26"/>
        <v>5.9457394970743968E-2</v>
      </c>
      <c r="AJ29">
        <f t="shared" si="27"/>
        <v>7.6015059980857886</v>
      </c>
      <c r="AL29">
        <f t="shared" si="28"/>
        <v>6.0873846181217182E-2</v>
      </c>
      <c r="AM29">
        <f t="shared" si="29"/>
        <v>7.9680008713716548</v>
      </c>
      <c r="AO29">
        <f t="shared" si="30"/>
        <v>6.0534902428588951E-2</v>
      </c>
      <c r="AP29">
        <f t="shared" si="31"/>
        <v>7.8795167171604108</v>
      </c>
    </row>
    <row r="30" spans="1:42" x14ac:dyDescent="0.2">
      <c r="A30" s="2">
        <v>28</v>
      </c>
      <c r="B30" s="3">
        <v>3.5800000000000003E-8</v>
      </c>
      <c r="C30" s="2">
        <v>1.454E-3</v>
      </c>
      <c r="D30" s="3">
        <v>55900</v>
      </c>
      <c r="E30" s="3">
        <v>126000000000</v>
      </c>
      <c r="F30" s="3">
        <v>113000000000</v>
      </c>
      <c r="G30" s="3">
        <v>4520000000</v>
      </c>
      <c r="H30" s="3">
        <v>8610000000</v>
      </c>
      <c r="I30" s="2"/>
      <c r="J30" s="7">
        <f t="shared" si="32"/>
        <v>3.5800000000000005E-2</v>
      </c>
      <c r="K30" s="7">
        <f t="shared" si="33"/>
        <v>1.454</v>
      </c>
      <c r="L30" s="7">
        <f t="shared" si="34"/>
        <v>126.00000000000001</v>
      </c>
      <c r="M30" s="7">
        <f t="shared" si="35"/>
        <v>55.9</v>
      </c>
      <c r="O30">
        <f t="shared" si="36"/>
        <v>1.6291949910554566E-2</v>
      </c>
      <c r="P30">
        <f t="shared" si="37"/>
        <v>16.291949910554568</v>
      </c>
      <c r="V30">
        <f t="shared" si="15"/>
        <v>220.07352097203272</v>
      </c>
      <c r="W30">
        <f t="shared" si="16"/>
        <v>127.00301188688633</v>
      </c>
      <c r="AE30">
        <f t="shared" si="23"/>
        <v>0.20351506286862248</v>
      </c>
      <c r="AF30">
        <f t="shared" si="24"/>
        <v>0.19877954547923929</v>
      </c>
      <c r="AG30">
        <f t="shared" si="25"/>
        <v>0.19989254116251384</v>
      </c>
      <c r="AI30">
        <f t="shared" si="26"/>
        <v>7.329514806624414E-2</v>
      </c>
      <c r="AJ30">
        <f t="shared" si="27"/>
        <v>11.174337488343816</v>
      </c>
      <c r="AL30">
        <f t="shared" si="28"/>
        <v>7.5041255531115902E-2</v>
      </c>
      <c r="AM30">
        <f t="shared" si="29"/>
        <v>11.71309091468793</v>
      </c>
      <c r="AO30">
        <f t="shared" si="30"/>
        <v>7.4623428067480166E-2</v>
      </c>
      <c r="AP30">
        <f t="shared" si="31"/>
        <v>11.583017768422431</v>
      </c>
    </row>
    <row r="31" spans="1:42" x14ac:dyDescent="0.2">
      <c r="A31" s="2">
        <v>29</v>
      </c>
      <c r="B31" s="3">
        <v>3.6400000000000002E-8</v>
      </c>
      <c r="C31" s="2">
        <v>1.508E-3</v>
      </c>
      <c r="D31" s="3">
        <v>61900</v>
      </c>
      <c r="E31" s="3">
        <v>133000000000</v>
      </c>
      <c r="F31" s="3">
        <v>119000000000</v>
      </c>
      <c r="G31" s="2">
        <v>0</v>
      </c>
      <c r="H31" s="3">
        <v>8020000000</v>
      </c>
      <c r="I31" s="2"/>
      <c r="J31" s="7">
        <f t="shared" si="32"/>
        <v>3.6400000000000002E-2</v>
      </c>
      <c r="K31" s="7">
        <f t="shared" si="33"/>
        <v>1.508</v>
      </c>
      <c r="L31" s="7">
        <f t="shared" si="34"/>
        <v>133</v>
      </c>
      <c r="M31" s="7">
        <f t="shared" si="35"/>
        <v>61.9</v>
      </c>
      <c r="O31">
        <f t="shared" si="36"/>
        <v>1.8128594507269793E-2</v>
      </c>
      <c r="P31">
        <f t="shared" si="37"/>
        <v>18.128594507269792</v>
      </c>
      <c r="V31">
        <f t="shared" si="15"/>
        <v>230.73844585709256</v>
      </c>
      <c r="W31">
        <f t="shared" si="16"/>
        <v>134.1345603895106</v>
      </c>
      <c r="AE31">
        <f t="shared" si="23"/>
        <v>0.22535925566310791</v>
      </c>
      <c r="AF31">
        <f t="shared" si="24"/>
        <v>0.22011545375965852</v>
      </c>
      <c r="AG31">
        <f t="shared" si="25"/>
        <v>0.22134791230696971</v>
      </c>
      <c r="AI31">
        <f t="shared" si="26"/>
        <v>6.7299950126474897E-2</v>
      </c>
      <c r="AJ31">
        <f t="shared" si="27"/>
        <v>9.4515064830712046</v>
      </c>
      <c r="AL31">
        <f t="shared" si="28"/>
        <v>6.8903234223740492E-2</v>
      </c>
      <c r="AM31">
        <f t="shared" si="29"/>
        <v>9.9071962729294274</v>
      </c>
      <c r="AO31">
        <f t="shared" si="30"/>
        <v>6.8519583078936977E-2</v>
      </c>
      <c r="AP31">
        <f t="shared" si="31"/>
        <v>9.7971774743667162</v>
      </c>
    </row>
    <row r="32" spans="1:42" x14ac:dyDescent="0.2">
      <c r="A32" s="2">
        <v>30</v>
      </c>
      <c r="B32" s="3">
        <v>3.7599999999999999E-8</v>
      </c>
      <c r="C32" s="2">
        <v>1.56E-3</v>
      </c>
      <c r="D32" s="3">
        <v>74900</v>
      </c>
      <c r="E32" s="3">
        <v>143000000000</v>
      </c>
      <c r="F32" s="3">
        <v>126000000000</v>
      </c>
      <c r="G32" s="2">
        <v>0</v>
      </c>
      <c r="H32" s="3">
        <v>6430000000</v>
      </c>
      <c r="I32" s="2"/>
      <c r="J32" s="7">
        <f t="shared" si="32"/>
        <v>3.7600000000000001E-2</v>
      </c>
      <c r="K32" s="7">
        <f t="shared" si="33"/>
        <v>1.56</v>
      </c>
      <c r="L32" s="7">
        <f t="shared" si="34"/>
        <v>143</v>
      </c>
      <c r="M32" s="7">
        <f t="shared" si="35"/>
        <v>74.900000000000006</v>
      </c>
      <c r="O32">
        <f t="shared" si="36"/>
        <v>2.1979172229639521E-2</v>
      </c>
      <c r="P32">
        <f t="shared" si="37"/>
        <v>21.97917222963952</v>
      </c>
      <c r="V32">
        <f t="shared" si="15"/>
        <v>251.29123713259338</v>
      </c>
      <c r="W32">
        <f t="shared" si="16"/>
        <v>149.03026634486093</v>
      </c>
      <c r="AE32">
        <f t="shared" si="23"/>
        <v>0.27268834005115966</v>
      </c>
      <c r="AF32">
        <f t="shared" si="24"/>
        <v>0.26634325503390022</v>
      </c>
      <c r="AG32">
        <f t="shared" si="25"/>
        <v>0.26783454978662413</v>
      </c>
      <c r="AI32">
        <f t="shared" si="26"/>
        <v>5.745264599039112E-2</v>
      </c>
      <c r="AJ32">
        <f t="shared" si="27"/>
        <v>6.677931440579604</v>
      </c>
      <c r="AL32">
        <f t="shared" si="28"/>
        <v>5.8821338143789724E-2</v>
      </c>
      <c r="AM32">
        <f t="shared" si="29"/>
        <v>6.9998975927793454</v>
      </c>
      <c r="AO32">
        <f t="shared" si="30"/>
        <v>5.849382269445013E-2</v>
      </c>
      <c r="AP32">
        <f t="shared" si="31"/>
        <v>6.922164165278379</v>
      </c>
    </row>
    <row r="33" spans="1:42" x14ac:dyDescent="0.2">
      <c r="A33" s="2">
        <v>31</v>
      </c>
      <c r="B33" s="3">
        <v>3.8299999999999999E-8</v>
      </c>
      <c r="C33" s="2">
        <v>1.6119999999999999E-3</v>
      </c>
      <c r="D33" s="3">
        <v>75000</v>
      </c>
      <c r="E33" s="3">
        <v>144000000000</v>
      </c>
      <c r="F33" s="3">
        <v>127000000000</v>
      </c>
      <c r="G33" s="3">
        <v>6170000000</v>
      </c>
      <c r="H33" s="3">
        <v>6660000000</v>
      </c>
      <c r="I33" s="2"/>
      <c r="J33" s="7">
        <f t="shared" si="32"/>
        <v>3.8300000000000001E-2</v>
      </c>
      <c r="K33" s="7">
        <f t="shared" si="33"/>
        <v>1.6119999999999999</v>
      </c>
      <c r="L33" s="7">
        <f t="shared" si="34"/>
        <v>144</v>
      </c>
      <c r="M33" s="7">
        <f t="shared" si="35"/>
        <v>75</v>
      </c>
      <c r="O33">
        <f t="shared" si="36"/>
        <v>2.2180000000000002E-2</v>
      </c>
      <c r="P33">
        <f t="shared" si="37"/>
        <v>22.180000000000003</v>
      </c>
      <c r="V33">
        <f t="shared" si="15"/>
        <v>252.30587674724066</v>
      </c>
      <c r="W33">
        <f t="shared" si="16"/>
        <v>148.62911828870082</v>
      </c>
      <c r="AE33">
        <f t="shared" si="23"/>
        <v>0.27305240993106772</v>
      </c>
      <c r="AF33">
        <f t="shared" si="24"/>
        <v>0.26669885350524053</v>
      </c>
      <c r="AG33">
        <f t="shared" si="25"/>
        <v>0.26819213930569835</v>
      </c>
      <c r="AI33">
        <f t="shared" si="26"/>
        <v>5.8444213465693368E-2</v>
      </c>
      <c r="AJ33">
        <f t="shared" si="27"/>
        <v>6.8821400117922717</v>
      </c>
      <c r="AL33">
        <f t="shared" si="28"/>
        <v>5.9836527692533774E-2</v>
      </c>
      <c r="AM33">
        <f t="shared" si="29"/>
        <v>7.2139517649096874</v>
      </c>
      <c r="AO33">
        <f t="shared" si="30"/>
        <v>5.9503359698187333E-2</v>
      </c>
      <c r="AP33">
        <f t="shared" si="31"/>
        <v>7.1338412791375072</v>
      </c>
    </row>
    <row r="34" spans="1:42" x14ac:dyDescent="0.2">
      <c r="A34" s="2">
        <v>32</v>
      </c>
      <c r="B34" s="3">
        <v>3.8899999999999998E-8</v>
      </c>
      <c r="C34" s="2">
        <v>1.6639999999999999E-3</v>
      </c>
      <c r="D34" s="3">
        <v>64800</v>
      </c>
      <c r="E34" s="3">
        <v>131000000000</v>
      </c>
      <c r="F34" s="3">
        <v>117000000000</v>
      </c>
      <c r="G34" s="2">
        <v>0</v>
      </c>
      <c r="H34" s="3">
        <v>7840000000</v>
      </c>
      <c r="I34" s="2"/>
      <c r="J34" s="7">
        <f t="shared" si="32"/>
        <v>3.8899999999999997E-2</v>
      </c>
      <c r="K34" s="7">
        <f t="shared" si="33"/>
        <v>1.6639999999999999</v>
      </c>
      <c r="L34" s="7">
        <f t="shared" si="34"/>
        <v>131</v>
      </c>
      <c r="M34" s="7">
        <f t="shared" si="35"/>
        <v>64.8</v>
      </c>
      <c r="O34">
        <f t="shared" si="36"/>
        <v>1.964074074074074E-2</v>
      </c>
      <c r="P34">
        <f t="shared" si="37"/>
        <v>19.640740740740739</v>
      </c>
      <c r="V34">
        <f t="shared" si="15"/>
        <v>239.07506387629221</v>
      </c>
      <c r="W34">
        <f t="shared" si="16"/>
        <v>135.52228942105464</v>
      </c>
      <c r="AE34">
        <f t="shared" si="23"/>
        <v>0.23591728218044253</v>
      </c>
      <c r="AF34">
        <f t="shared" si="24"/>
        <v>0.23042780942852781</v>
      </c>
      <c r="AG34">
        <f t="shared" si="25"/>
        <v>0.23171800836012338</v>
      </c>
      <c r="AI34">
        <f t="shared" si="26"/>
        <v>6.8703459040937526E-2</v>
      </c>
      <c r="AJ34">
        <f t="shared" si="27"/>
        <v>9.516654514293041</v>
      </c>
      <c r="AL34">
        <f t="shared" si="28"/>
        <v>7.0340178876546144E-2</v>
      </c>
      <c r="AM34">
        <f t="shared" si="29"/>
        <v>9.9754853158736108</v>
      </c>
      <c r="AO34">
        <f t="shared" si="30"/>
        <v>6.9948526866946109E-2</v>
      </c>
      <c r="AP34">
        <f t="shared" si="31"/>
        <v>9.8647081717353462</v>
      </c>
    </row>
    <row r="35" spans="1:42" x14ac:dyDescent="0.2">
      <c r="A35" s="2">
        <v>33</v>
      </c>
      <c r="B35" s="3">
        <v>3.9799999999999999E-8</v>
      </c>
      <c r="C35" s="2">
        <v>1.7160000000000001E-3</v>
      </c>
      <c r="D35" s="3">
        <v>62500</v>
      </c>
      <c r="E35" s="3">
        <v>130000000000</v>
      </c>
      <c r="F35" s="3">
        <v>116000000000</v>
      </c>
      <c r="G35" s="3">
        <v>10300000000</v>
      </c>
      <c r="H35" s="3">
        <v>8510000000</v>
      </c>
      <c r="I35" s="2"/>
      <c r="J35" s="7">
        <f t="shared" si="32"/>
        <v>3.9800000000000002E-2</v>
      </c>
      <c r="K35" s="7">
        <f t="shared" si="33"/>
        <v>1.716</v>
      </c>
      <c r="L35" s="7">
        <f t="shared" si="34"/>
        <v>130</v>
      </c>
      <c r="M35" s="7">
        <f t="shared" si="35"/>
        <v>62.5</v>
      </c>
      <c r="O35">
        <f t="shared" si="36"/>
        <v>1.9208000000000003E-2</v>
      </c>
      <c r="P35">
        <f t="shared" si="37"/>
        <v>19.208000000000002</v>
      </c>
      <c r="V35">
        <f t="shared" si="15"/>
        <v>236.72697297602801</v>
      </c>
      <c r="W35">
        <f t="shared" si="16"/>
        <v>132.00861569401519</v>
      </c>
      <c r="AE35">
        <f t="shared" si="23"/>
        <v>0.22754367494255645</v>
      </c>
      <c r="AF35">
        <f t="shared" si="24"/>
        <v>0.22224904458770045</v>
      </c>
      <c r="AG35">
        <f t="shared" si="25"/>
        <v>0.2234934494214153</v>
      </c>
      <c r="AI35">
        <f t="shared" si="26"/>
        <v>7.2879781595862017E-2</v>
      </c>
      <c r="AJ35">
        <f t="shared" si="27"/>
        <v>10.549654624528021</v>
      </c>
      <c r="AL35">
        <f t="shared" si="28"/>
        <v>7.4615993801446817E-2</v>
      </c>
      <c r="AM35">
        <f t="shared" si="29"/>
        <v>11.058289931242202</v>
      </c>
      <c r="AO35">
        <f t="shared" si="30"/>
        <v>7.4200534182387132E-2</v>
      </c>
      <c r="AP35">
        <f t="shared" si="31"/>
        <v>10.935488309181109</v>
      </c>
    </row>
    <row r="36" spans="1:42" x14ac:dyDescent="0.2">
      <c r="A36" s="2">
        <v>34</v>
      </c>
      <c r="B36" s="3">
        <v>4.06E-8</v>
      </c>
      <c r="C36" s="2">
        <v>1.7669999999999999E-3</v>
      </c>
      <c r="D36" s="3">
        <v>71200</v>
      </c>
      <c r="E36" s="3">
        <v>135000000000</v>
      </c>
      <c r="F36" s="3">
        <v>120000000000</v>
      </c>
      <c r="G36" s="2">
        <v>0</v>
      </c>
      <c r="H36" s="3">
        <v>7280000000</v>
      </c>
      <c r="I36" s="2"/>
      <c r="J36" s="7">
        <f t="shared" si="32"/>
        <v>4.0599999999999997E-2</v>
      </c>
      <c r="K36" s="7">
        <f t="shared" si="33"/>
        <v>1.7669999999999999</v>
      </c>
      <c r="L36" s="7">
        <f t="shared" si="34"/>
        <v>135</v>
      </c>
      <c r="M36" s="7">
        <f t="shared" si="35"/>
        <v>71.2</v>
      </c>
      <c r="O36">
        <f t="shared" si="36"/>
        <v>2.1986938202247189E-2</v>
      </c>
      <c r="P36">
        <f t="shared" si="37"/>
        <v>21.986938202247188</v>
      </c>
      <c r="V36">
        <f t="shared" si="15"/>
        <v>251.33056881019246</v>
      </c>
      <c r="W36">
        <f t="shared" si="16"/>
        <v>141.64612036065341</v>
      </c>
      <c r="AE36">
        <f t="shared" si="23"/>
        <v>0.2592177544945603</v>
      </c>
      <c r="AF36">
        <f t="shared" si="24"/>
        <v>0.25318611159430837</v>
      </c>
      <c r="AG36">
        <f t="shared" si="25"/>
        <v>0.25460373758087634</v>
      </c>
      <c r="AI36">
        <f t="shared" si="26"/>
        <v>6.5260447532430349E-2</v>
      </c>
      <c r="AJ36">
        <f t="shared" si="27"/>
        <v>8.3706186227248907</v>
      </c>
      <c r="AL36">
        <f t="shared" si="28"/>
        <v>6.6815144638632515E-2</v>
      </c>
      <c r="AM36">
        <f t="shared" si="29"/>
        <v>8.7741950735271921</v>
      </c>
      <c r="AO36">
        <f t="shared" si="30"/>
        <v>6.644311991410963E-2</v>
      </c>
      <c r="AP36">
        <f t="shared" si="31"/>
        <v>8.6767581828316906</v>
      </c>
    </row>
    <row r="37" spans="1:42" x14ac:dyDescent="0.2">
      <c r="A37" s="2">
        <v>35</v>
      </c>
      <c r="B37" s="3">
        <v>4.1099999999999997E-8</v>
      </c>
      <c r="C37" s="2">
        <v>1.8209999999999999E-3</v>
      </c>
      <c r="D37" s="3">
        <v>78900</v>
      </c>
      <c r="E37" s="3">
        <v>150000000000</v>
      </c>
      <c r="F37" s="3">
        <v>132000000000</v>
      </c>
      <c r="G37" s="3">
        <v>14100000000</v>
      </c>
      <c r="H37" s="3">
        <v>7370000000</v>
      </c>
      <c r="I37" s="2"/>
      <c r="J37" s="7">
        <f t="shared" si="32"/>
        <v>4.1099999999999998E-2</v>
      </c>
      <c r="K37" s="7">
        <f t="shared" si="33"/>
        <v>1.821</v>
      </c>
      <c r="L37" s="7">
        <f t="shared" si="34"/>
        <v>150</v>
      </c>
      <c r="M37" s="7">
        <f t="shared" si="35"/>
        <v>78.900000000000006</v>
      </c>
      <c r="O37">
        <f t="shared" si="36"/>
        <v>2.3790114068441063E-2</v>
      </c>
      <c r="P37">
        <f t="shared" si="37"/>
        <v>23.790114068441063</v>
      </c>
      <c r="V37">
        <f t="shared" si="15"/>
        <v>260.26194573186888</v>
      </c>
      <c r="W37">
        <f t="shared" si="16"/>
        <v>151.57805682680478</v>
      </c>
      <c r="AE37">
        <f t="shared" si="23"/>
        <v>0.2872511352474833</v>
      </c>
      <c r="AF37">
        <f t="shared" si="24"/>
        <v>0.28056719388751306</v>
      </c>
      <c r="AG37">
        <f t="shared" si="25"/>
        <v>0.28213813054959469</v>
      </c>
      <c r="AI37">
        <f t="shared" si="26"/>
        <v>5.9616822698527652E-2</v>
      </c>
      <c r="AJ37">
        <f t="shared" si="27"/>
        <v>7.0248480130686826</v>
      </c>
      <c r="AL37">
        <f t="shared" si="28"/>
        <v>6.1037071949566118E-2</v>
      </c>
      <c r="AM37">
        <f t="shared" si="29"/>
        <v>7.3635402120948239</v>
      </c>
      <c r="AO37">
        <f t="shared" si="30"/>
        <v>6.0697219360747623E-2</v>
      </c>
      <c r="AP37">
        <f t="shared" si="31"/>
        <v>7.2817685559183456</v>
      </c>
    </row>
    <row r="38" spans="1:42" x14ac:dyDescent="0.2">
      <c r="A38" s="2">
        <v>36</v>
      </c>
      <c r="B38" s="3">
        <v>4.21E-8</v>
      </c>
      <c r="C38" s="2">
        <v>1.872E-3</v>
      </c>
      <c r="D38" s="3">
        <v>74900</v>
      </c>
      <c r="E38" s="3">
        <v>143000000000</v>
      </c>
      <c r="F38" s="3">
        <v>126000000000</v>
      </c>
      <c r="G38" s="3">
        <v>13600000000</v>
      </c>
      <c r="H38" s="3">
        <v>7690000000</v>
      </c>
      <c r="I38" s="2"/>
      <c r="J38" s="7">
        <f t="shared" si="32"/>
        <v>4.2099999999999999E-2</v>
      </c>
      <c r="K38" s="7">
        <f t="shared" si="33"/>
        <v>1.8719999999999999</v>
      </c>
      <c r="L38" s="7">
        <f t="shared" si="34"/>
        <v>143</v>
      </c>
      <c r="M38" s="7">
        <f t="shared" si="35"/>
        <v>74.900000000000006</v>
      </c>
      <c r="O38">
        <f t="shared" si="36"/>
        <v>2.3355006675567423E-2</v>
      </c>
      <c r="P38">
        <f t="shared" si="37"/>
        <v>23.355006675567424</v>
      </c>
      <c r="V38">
        <f t="shared" si="15"/>
        <v>258.14230864043105</v>
      </c>
      <c r="W38">
        <f t="shared" si="16"/>
        <v>145.07501771886791</v>
      </c>
      <c r="AE38">
        <f t="shared" si="23"/>
        <v>0.27268834005115966</v>
      </c>
      <c r="AF38">
        <f t="shared" si="24"/>
        <v>0.26634325503390022</v>
      </c>
      <c r="AG38">
        <f t="shared" si="25"/>
        <v>0.26783454978662413</v>
      </c>
      <c r="AI38">
        <f t="shared" si="26"/>
        <v>6.4328627558390056E-2</v>
      </c>
      <c r="AJ38">
        <f t="shared" si="27"/>
        <v>8.0135177286955237</v>
      </c>
      <c r="AL38">
        <f t="shared" si="28"/>
        <v>6.5861125953551786E-2</v>
      </c>
      <c r="AM38">
        <f t="shared" si="29"/>
        <v>8.3998771113352149</v>
      </c>
      <c r="AO38">
        <f t="shared" si="30"/>
        <v>6.5494413176498678E-2</v>
      </c>
      <c r="AP38">
        <f t="shared" si="31"/>
        <v>8.3065969983340544</v>
      </c>
    </row>
    <row r="39" spans="1:42" x14ac:dyDescent="0.2">
      <c r="A39" s="2">
        <v>37</v>
      </c>
      <c r="B39" s="3">
        <v>4.2799999999999999E-8</v>
      </c>
      <c r="C39" s="2">
        <v>1.9239999999999999E-3</v>
      </c>
      <c r="D39" s="3">
        <v>69000</v>
      </c>
      <c r="E39" s="3">
        <v>130000000000</v>
      </c>
      <c r="F39" s="3">
        <v>116000000000</v>
      </c>
      <c r="G39" s="2">
        <v>0</v>
      </c>
      <c r="H39" s="3">
        <v>7910000000</v>
      </c>
      <c r="I39" s="2"/>
      <c r="J39" s="7">
        <f t="shared" si="32"/>
        <v>4.2799999999999998E-2</v>
      </c>
      <c r="K39" s="7">
        <f t="shared" si="33"/>
        <v>1.9239999999999999</v>
      </c>
      <c r="L39" s="7">
        <f t="shared" si="34"/>
        <v>130</v>
      </c>
      <c r="M39" s="7">
        <f t="shared" si="35"/>
        <v>69</v>
      </c>
      <c r="O39">
        <f t="shared" si="36"/>
        <v>2.188695652173913E-2</v>
      </c>
      <c r="P39">
        <f t="shared" si="37"/>
        <v>21.88695652173913</v>
      </c>
      <c r="V39">
        <f t="shared" si="15"/>
        <v>250.8236069836218</v>
      </c>
      <c r="W39">
        <f t="shared" si="16"/>
        <v>137.54686177626323</v>
      </c>
      <c r="AE39">
        <f t="shared" si="23"/>
        <v>0.25120821713658231</v>
      </c>
      <c r="AF39">
        <f t="shared" si="24"/>
        <v>0.2453629452248213</v>
      </c>
      <c r="AG39">
        <f t="shared" si="25"/>
        <v>0.24673676816124251</v>
      </c>
      <c r="AI39">
        <f t="shared" si="26"/>
        <v>7.0990246802465545E-2</v>
      </c>
      <c r="AJ39">
        <f t="shared" si="27"/>
        <v>9.7048288171654544</v>
      </c>
      <c r="AL39">
        <f t="shared" si="28"/>
        <v>7.2681444694075531E-2</v>
      </c>
      <c r="AM39">
        <f t="shared" si="29"/>
        <v>10.172732152176138</v>
      </c>
      <c r="AO39">
        <f t="shared" si="30"/>
        <v>7.2276756586514279E-2</v>
      </c>
      <c r="AP39">
        <f t="shared" si="31"/>
        <v>10.059764594185914</v>
      </c>
    </row>
    <row r="40" spans="1:42" x14ac:dyDescent="0.2">
      <c r="A40" s="2">
        <v>38</v>
      </c>
      <c r="B40" s="3">
        <v>4.3700000000000001E-8</v>
      </c>
      <c r="C40" s="2">
        <v>1.9759999999999999E-3</v>
      </c>
      <c r="D40" s="3">
        <v>66900</v>
      </c>
      <c r="E40" s="3">
        <v>126000000000</v>
      </c>
      <c r="F40" s="3">
        <v>113000000000</v>
      </c>
      <c r="G40" s="2">
        <v>0</v>
      </c>
      <c r="H40" s="3">
        <v>8100000000</v>
      </c>
      <c r="I40" s="2"/>
      <c r="J40" s="7">
        <f t="shared" si="32"/>
        <v>4.3700000000000003E-2</v>
      </c>
      <c r="K40" s="7">
        <f t="shared" si="33"/>
        <v>1.976</v>
      </c>
      <c r="L40" s="7">
        <f t="shared" si="34"/>
        <v>126.00000000000001</v>
      </c>
      <c r="M40" s="7">
        <f t="shared" si="35"/>
        <v>66.900000000000006</v>
      </c>
      <c r="O40">
        <f t="shared" si="36"/>
        <v>2.1547533632287001E-2</v>
      </c>
      <c r="P40">
        <f t="shared" si="37"/>
        <v>21.547533632287003</v>
      </c>
      <c r="V40">
        <f t="shared" si="15"/>
        <v>249.09285723766351</v>
      </c>
      <c r="W40">
        <f t="shared" si="16"/>
        <v>134.28727090349611</v>
      </c>
      <c r="AE40">
        <f t="shared" si="23"/>
        <v>0.24356274965851243</v>
      </c>
      <c r="AF40">
        <f t="shared" si="24"/>
        <v>0.23789537732667457</v>
      </c>
      <c r="AG40">
        <f t="shared" si="25"/>
        <v>0.23922738826068296</v>
      </c>
      <c r="AI40">
        <f t="shared" si="26"/>
        <v>7.4758284503120276E-2</v>
      </c>
      <c r="AJ40">
        <f t="shared" si="27"/>
        <v>10.60268106557324</v>
      </c>
      <c r="AL40">
        <f t="shared" si="28"/>
        <v>7.6539248210485022E-2</v>
      </c>
      <c r="AM40">
        <f t="shared" si="29"/>
        <v>11.113872960257828</v>
      </c>
      <c r="AO40">
        <f t="shared" si="30"/>
        <v>7.6113079968468958E-2</v>
      </c>
      <c r="AP40">
        <f t="shared" si="31"/>
        <v>10.990454092115769</v>
      </c>
    </row>
    <row r="41" spans="1:42" x14ac:dyDescent="0.2">
      <c r="A41" s="2">
        <v>39</v>
      </c>
      <c r="B41" s="3">
        <v>4.4400000000000001E-8</v>
      </c>
      <c r="C41" s="2">
        <v>2.029E-3</v>
      </c>
      <c r="D41" s="3">
        <v>75200</v>
      </c>
      <c r="E41" s="3">
        <v>141000000000</v>
      </c>
      <c r="F41" s="3">
        <v>125000000000</v>
      </c>
      <c r="G41" s="3">
        <v>7770000000</v>
      </c>
      <c r="H41" s="3">
        <v>8110000000</v>
      </c>
      <c r="I41" s="2"/>
      <c r="J41" s="7">
        <f t="shared" si="32"/>
        <v>4.4400000000000002E-2</v>
      </c>
      <c r="K41" s="7">
        <f t="shared" si="33"/>
        <v>2.0289999999999999</v>
      </c>
      <c r="L41" s="7">
        <f t="shared" si="34"/>
        <v>141</v>
      </c>
      <c r="M41" s="7">
        <f t="shared" si="35"/>
        <v>75.2</v>
      </c>
      <c r="O41">
        <f t="shared" si="36"/>
        <v>2.4163962765957451E-2</v>
      </c>
      <c r="P41">
        <f t="shared" si="37"/>
        <v>24.16396276595745</v>
      </c>
      <c r="V41">
        <f t="shared" si="15"/>
        <v>262.0659766834687</v>
      </c>
      <c r="W41">
        <f t="shared" si="16"/>
        <v>143.47532051218701</v>
      </c>
      <c r="AE41">
        <f t="shared" si="23"/>
        <v>0.27378054969088395</v>
      </c>
      <c r="AF41">
        <f t="shared" si="24"/>
        <v>0.26741005044792121</v>
      </c>
      <c r="AG41">
        <f t="shared" si="25"/>
        <v>0.2689073183438469</v>
      </c>
      <c r="AI41">
        <f t="shared" si="26"/>
        <v>6.7572367799274655E-2</v>
      </c>
      <c r="AJ41">
        <f t="shared" si="27"/>
        <v>8.6164298963221171</v>
      </c>
      <c r="AL41">
        <f t="shared" si="28"/>
        <v>6.918214169217593E-2</v>
      </c>
      <c r="AM41">
        <f t="shared" si="29"/>
        <v>9.0318577580937625</v>
      </c>
      <c r="AO41">
        <f t="shared" si="30"/>
        <v>6.8796937598940275E-2</v>
      </c>
      <c r="AP41">
        <f t="shared" si="31"/>
        <v>8.9315595393081022</v>
      </c>
    </row>
    <row r="42" spans="1:42" x14ac:dyDescent="0.2">
      <c r="A42" s="2">
        <v>40</v>
      </c>
      <c r="B42" s="3">
        <v>4.5200000000000001E-8</v>
      </c>
      <c r="C42" s="2">
        <v>2.085E-3</v>
      </c>
      <c r="D42" s="3">
        <v>70900</v>
      </c>
      <c r="E42" s="3">
        <v>135000000000</v>
      </c>
      <c r="F42" s="3">
        <v>120000000000</v>
      </c>
      <c r="G42" s="3">
        <v>11800000000</v>
      </c>
      <c r="H42" s="3">
        <v>8610000000</v>
      </c>
      <c r="I42" s="2"/>
      <c r="J42" s="7">
        <f t="shared" si="32"/>
        <v>4.5200000000000004E-2</v>
      </c>
      <c r="K42" s="7">
        <f t="shared" si="33"/>
        <v>2.085</v>
      </c>
      <c r="L42" s="7">
        <f t="shared" si="34"/>
        <v>135</v>
      </c>
      <c r="M42" s="7">
        <f t="shared" si="35"/>
        <v>70.900000000000006</v>
      </c>
      <c r="O42">
        <f t="shared" si="36"/>
        <v>2.3144287729196057E-2</v>
      </c>
      <c r="P42">
        <f t="shared" si="37"/>
        <v>23.144287729196058</v>
      </c>
      <c r="V42">
        <f t="shared" si="15"/>
        <v>257.1078786487235</v>
      </c>
      <c r="W42">
        <f t="shared" si="16"/>
        <v>137.87986656151429</v>
      </c>
      <c r="AE42">
        <f t="shared" si="23"/>
        <v>0.25812554485483608</v>
      </c>
      <c r="AF42">
        <f t="shared" si="24"/>
        <v>0.25211931618028743</v>
      </c>
      <c r="AG42">
        <f t="shared" si="25"/>
        <v>0.25353096902365357</v>
      </c>
      <c r="AI42">
        <f t="shared" si="26"/>
        <v>7.2961912173104645E-2</v>
      </c>
      <c r="AJ42">
        <f t="shared" si="27"/>
        <v>9.9608083004588455</v>
      </c>
      <c r="AL42">
        <f t="shared" si="28"/>
        <v>7.4700080972240346E-2</v>
      </c>
      <c r="AM42">
        <f t="shared" si="29"/>
        <v>10.441053290967405</v>
      </c>
      <c r="AO42">
        <f t="shared" si="30"/>
        <v>7.4284153158331714E-2</v>
      </c>
      <c r="AP42">
        <f t="shared" si="31"/>
        <v>10.325106043415619</v>
      </c>
    </row>
    <row r="43" spans="1:42" x14ac:dyDescent="0.2">
      <c r="A43" s="2">
        <v>41</v>
      </c>
      <c r="B43" s="3">
        <v>4.58E-8</v>
      </c>
      <c r="C43" s="2">
        <v>2.1359999999999999E-3</v>
      </c>
      <c r="D43" s="3">
        <v>71300</v>
      </c>
      <c r="E43" s="3">
        <v>135000000000</v>
      </c>
      <c r="F43" s="3">
        <v>120000000000</v>
      </c>
      <c r="G43" s="3">
        <v>5500000000</v>
      </c>
      <c r="H43" s="3">
        <v>8780000000</v>
      </c>
      <c r="I43" s="2"/>
      <c r="J43" s="7">
        <f t="shared" si="32"/>
        <v>4.58E-2</v>
      </c>
      <c r="K43" s="7">
        <f t="shared" si="33"/>
        <v>2.1359999999999997</v>
      </c>
      <c r="L43" s="7">
        <f t="shared" si="34"/>
        <v>135</v>
      </c>
      <c r="M43" s="7">
        <f t="shared" si="35"/>
        <v>71.3</v>
      </c>
      <c r="O43">
        <f t="shared" si="36"/>
        <v>2.3331556802244042E-2</v>
      </c>
      <c r="P43">
        <f t="shared" si="37"/>
        <v>23.331556802244041</v>
      </c>
      <c r="V43">
        <f t="shared" si="15"/>
        <v>258.02744977764735</v>
      </c>
      <c r="W43">
        <f t="shared" si="16"/>
        <v>138.16359472885944</v>
      </c>
      <c r="AE43">
        <f t="shared" si="23"/>
        <v>0.25958182437446836</v>
      </c>
      <c r="AF43">
        <f t="shared" si="24"/>
        <v>0.25354171006564868</v>
      </c>
      <c r="AG43">
        <f t="shared" si="25"/>
        <v>0.25496132709995056</v>
      </c>
      <c r="AI43">
        <f t="shared" si="26"/>
        <v>7.3515676143041664E-2</v>
      </c>
      <c r="AJ43">
        <f t="shared" si="27"/>
        <v>10.09027916071858</v>
      </c>
      <c r="AL43">
        <f t="shared" si="28"/>
        <v>7.5267037239719461E-2</v>
      </c>
      <c r="AM43">
        <f t="shared" si="29"/>
        <v>10.576766388822824</v>
      </c>
      <c r="AO43">
        <f t="shared" si="30"/>
        <v>7.4847952630291426E-2</v>
      </c>
      <c r="AP43">
        <f t="shared" si="31"/>
        <v>10.459312055758256</v>
      </c>
    </row>
    <row r="44" spans="1:42" x14ac:dyDescent="0.2">
      <c r="A44" s="2">
        <v>42</v>
      </c>
      <c r="B44" s="3">
        <v>4.6800000000000002E-8</v>
      </c>
      <c r="C44" s="2">
        <v>2.1870000000000001E-3</v>
      </c>
      <c r="D44" s="3">
        <v>68900</v>
      </c>
      <c r="E44" s="3">
        <v>131000000000</v>
      </c>
      <c r="F44" s="3">
        <v>117000000000</v>
      </c>
      <c r="G44" s="3">
        <v>2650000000</v>
      </c>
      <c r="H44" s="3">
        <v>9070000000</v>
      </c>
      <c r="I44" s="2"/>
      <c r="J44" s="7">
        <f t="shared" si="32"/>
        <v>4.6800000000000001E-2</v>
      </c>
      <c r="K44" s="7">
        <f t="shared" si="33"/>
        <v>2.1870000000000003</v>
      </c>
      <c r="L44" s="7">
        <f t="shared" si="34"/>
        <v>131</v>
      </c>
      <c r="M44" s="7">
        <f t="shared" si="35"/>
        <v>68.900000000000006</v>
      </c>
      <c r="O44">
        <f t="shared" si="36"/>
        <v>2.2993759071117559E-2</v>
      </c>
      <c r="P44">
        <f t="shared" si="37"/>
        <v>22.993759071117559</v>
      </c>
      <c r="V44">
        <f t="shared" si="15"/>
        <v>256.36570989533726</v>
      </c>
      <c r="W44">
        <f t="shared" si="16"/>
        <v>134.37834573923482</v>
      </c>
      <c r="AE44">
        <f t="shared" si="23"/>
        <v>0.25084414725667425</v>
      </c>
      <c r="AF44">
        <f t="shared" si="24"/>
        <v>0.24500734675348099</v>
      </c>
      <c r="AG44">
        <f t="shared" si="25"/>
        <v>0.24637917864216827</v>
      </c>
      <c r="AI44">
        <f t="shared" si="26"/>
        <v>7.7737512368772882E-2</v>
      </c>
      <c r="AJ44">
        <f t="shared" si="27"/>
        <v>11.063469229353098</v>
      </c>
      <c r="AL44">
        <f t="shared" si="28"/>
        <v>7.9589450105838316E-2</v>
      </c>
      <c r="AM44">
        <f t="shared" si="29"/>
        <v>11.596877313795169</v>
      </c>
      <c r="AO44">
        <f t="shared" si="30"/>
        <v>7.9146298431009288E-2</v>
      </c>
      <c r="AP44">
        <f t="shared" si="31"/>
        <v>11.4680947123412</v>
      </c>
    </row>
    <row r="45" spans="1:42" x14ac:dyDescent="0.2">
      <c r="A45" s="2">
        <v>43</v>
      </c>
      <c r="B45" s="3">
        <v>4.6999999999999997E-8</v>
      </c>
      <c r="C45" s="2">
        <v>2.238E-3</v>
      </c>
      <c r="D45" s="3">
        <v>84000</v>
      </c>
      <c r="E45" s="3">
        <v>151000000000</v>
      </c>
      <c r="F45" s="3">
        <v>133000000000</v>
      </c>
      <c r="G45" s="3">
        <v>4750000000</v>
      </c>
      <c r="H45" s="3">
        <v>8100000000</v>
      </c>
      <c r="I45" s="2"/>
      <c r="J45" s="7">
        <f t="shared" si="32"/>
        <v>4.7E-2</v>
      </c>
      <c r="K45" s="7">
        <f t="shared" si="33"/>
        <v>2.238</v>
      </c>
      <c r="L45" s="7">
        <f t="shared" si="34"/>
        <v>151</v>
      </c>
      <c r="M45" s="7">
        <f t="shared" si="35"/>
        <v>84</v>
      </c>
      <c r="O45">
        <f t="shared" si="36"/>
        <v>2.7017857142857142E-2</v>
      </c>
      <c r="P45">
        <f t="shared" si="37"/>
        <v>27.017857142857142</v>
      </c>
      <c r="V45">
        <f t="shared" si="15"/>
        <v>275.35278042268777</v>
      </c>
      <c r="W45">
        <f t="shared" si="16"/>
        <v>152.53159941049717</v>
      </c>
      <c r="AE45">
        <f t="shared" si="23"/>
        <v>0.30581869912279586</v>
      </c>
      <c r="AF45">
        <f t="shared" si="24"/>
        <v>0.29870271592586939</v>
      </c>
      <c r="AG45">
        <f t="shared" si="25"/>
        <v>0.30037519602238216</v>
      </c>
      <c r="AI45">
        <f t="shared" si="26"/>
        <v>6.4035761676790107E-2</v>
      </c>
      <c r="AJ45">
        <f t="shared" si="27"/>
        <v>7.6169745257938217</v>
      </c>
      <c r="AL45">
        <f t="shared" si="28"/>
        <v>6.5561283139432297E-2</v>
      </c>
      <c r="AM45">
        <f t="shared" si="29"/>
        <v>7.9842151902562932</v>
      </c>
      <c r="AO45">
        <f t="shared" si="30"/>
        <v>6.5196239878189205E-2</v>
      </c>
      <c r="AP45">
        <f t="shared" si="31"/>
        <v>7.8955509770420731</v>
      </c>
    </row>
    <row r="46" spans="1:42" x14ac:dyDescent="0.2">
      <c r="A46" s="2">
        <v>44</v>
      </c>
      <c r="B46" s="3">
        <v>4.8300000000000002E-8</v>
      </c>
      <c r="C46" s="2">
        <v>2.2880000000000001E-3</v>
      </c>
      <c r="D46" s="3">
        <v>73700</v>
      </c>
      <c r="E46" s="3">
        <v>136000000000</v>
      </c>
      <c r="F46" s="3">
        <v>121000000000</v>
      </c>
      <c r="G46" s="2">
        <v>0</v>
      </c>
      <c r="H46" s="3">
        <v>8890000000</v>
      </c>
      <c r="I46" s="2"/>
      <c r="J46" s="7">
        <f t="shared" si="32"/>
        <v>4.8300000000000003E-2</v>
      </c>
      <c r="K46" s="7">
        <f t="shared" si="33"/>
        <v>2.2880000000000003</v>
      </c>
      <c r="L46" s="7">
        <f t="shared" si="34"/>
        <v>136</v>
      </c>
      <c r="M46" s="7">
        <f t="shared" si="35"/>
        <v>73.7</v>
      </c>
      <c r="O46">
        <f t="shared" si="36"/>
        <v>2.5016417910447761E-2</v>
      </c>
      <c r="P46">
        <f t="shared" si="37"/>
        <v>25.01641791044776</v>
      </c>
      <c r="V46">
        <f t="shared" si="15"/>
        <v>266.1222448214462</v>
      </c>
      <c r="W46">
        <f t="shared" si="16"/>
        <v>138.47019825315385</v>
      </c>
      <c r="AE46">
        <f t="shared" si="23"/>
        <v>0.26831950149226258</v>
      </c>
      <c r="AF46">
        <f t="shared" si="24"/>
        <v>0.26207607337781635</v>
      </c>
      <c r="AG46">
        <f t="shared" si="25"/>
        <v>0.26354347555773294</v>
      </c>
      <c r="AI46">
        <f t="shared" si="26"/>
        <v>7.5003866241829378E-2</v>
      </c>
      <c r="AJ46">
        <f t="shared" si="27"/>
        <v>10.115842000571361</v>
      </c>
      <c r="AL46">
        <f t="shared" si="28"/>
        <v>7.6790680433414568E-2</v>
      </c>
      <c r="AM46">
        <f t="shared" si="29"/>
        <v>10.603561701524416</v>
      </c>
      <c r="AO46">
        <f t="shared" si="30"/>
        <v>7.6363112224310539E-2</v>
      </c>
      <c r="AP46">
        <f t="shared" si="31"/>
        <v>10.485809808178473</v>
      </c>
    </row>
    <row r="47" spans="1:42" x14ac:dyDescent="0.2">
      <c r="A47" s="2">
        <v>45</v>
      </c>
      <c r="B47" s="3">
        <v>4.8900000000000001E-8</v>
      </c>
      <c r="C47" s="2">
        <v>2.343E-3</v>
      </c>
      <c r="D47" s="3">
        <v>83500</v>
      </c>
      <c r="E47" s="3">
        <v>148000000000</v>
      </c>
      <c r="F47" s="3">
        <v>130000000000</v>
      </c>
      <c r="G47" s="2">
        <v>0</v>
      </c>
      <c r="H47" s="3">
        <v>8260000000</v>
      </c>
      <c r="I47" s="2"/>
      <c r="J47" s="7">
        <f t="shared" si="32"/>
        <v>4.8899999999999999E-2</v>
      </c>
      <c r="K47" s="7">
        <f t="shared" si="33"/>
        <v>2.343</v>
      </c>
      <c r="L47" s="7">
        <f t="shared" si="34"/>
        <v>148</v>
      </c>
      <c r="M47" s="7">
        <f t="shared" si="35"/>
        <v>83.5</v>
      </c>
      <c r="O47">
        <f t="shared" si="36"/>
        <v>2.785508982035928E-2</v>
      </c>
      <c r="P47">
        <f t="shared" si="37"/>
        <v>27.855089820359279</v>
      </c>
      <c r="V47">
        <f t="shared" si="15"/>
        <v>279.10081432920481</v>
      </c>
      <c r="W47">
        <f t="shared" si="16"/>
        <v>149.58752485313448</v>
      </c>
      <c r="AE47">
        <f t="shared" si="23"/>
        <v>0.3039983497232554</v>
      </c>
      <c r="AF47">
        <f t="shared" si="24"/>
        <v>0.29692472356916783</v>
      </c>
      <c r="AG47">
        <f t="shared" si="25"/>
        <v>0.29858724842701084</v>
      </c>
      <c r="AI47">
        <f t="shared" si="26"/>
        <v>6.7023390155072748E-2</v>
      </c>
      <c r="AJ47">
        <f t="shared" si="27"/>
        <v>8.0701262829608691</v>
      </c>
      <c r="AL47">
        <f t="shared" si="28"/>
        <v>6.8620085774883946E-2</v>
      </c>
      <c r="AM47">
        <f t="shared" si="29"/>
        <v>8.4592149596282908</v>
      </c>
      <c r="AO47">
        <f t="shared" si="30"/>
        <v>6.8238011192164605E-2</v>
      </c>
      <c r="AP47">
        <f t="shared" si="31"/>
        <v>8.3652759035115789</v>
      </c>
    </row>
    <row r="48" spans="1:42" x14ac:dyDescent="0.2">
      <c r="A48" s="2">
        <v>46</v>
      </c>
      <c r="B48" s="3">
        <v>4.95E-8</v>
      </c>
      <c r="C48" s="2">
        <v>2.3939999999999999E-3</v>
      </c>
      <c r="D48" s="3">
        <v>77100</v>
      </c>
      <c r="E48" s="3">
        <v>140000000000</v>
      </c>
      <c r="F48" s="3">
        <v>124000000000</v>
      </c>
      <c r="G48" s="3">
        <v>1420000000</v>
      </c>
      <c r="H48" s="3">
        <v>8930000000</v>
      </c>
      <c r="I48" s="2"/>
      <c r="J48" s="7">
        <f t="shared" si="32"/>
        <v>4.9500000000000002E-2</v>
      </c>
      <c r="K48" s="7">
        <f t="shared" si="33"/>
        <v>2.3939999999999997</v>
      </c>
      <c r="L48" s="7">
        <f t="shared" si="34"/>
        <v>140</v>
      </c>
      <c r="M48" s="7">
        <f t="shared" si="35"/>
        <v>77.100000000000009</v>
      </c>
      <c r="O48">
        <f t="shared" si="36"/>
        <v>2.6212062256809346E-2</v>
      </c>
      <c r="P48">
        <f t="shared" si="37"/>
        <v>26.212062256809347</v>
      </c>
      <c r="V48">
        <f t="shared" si="15"/>
        <v>271.68388667994236</v>
      </c>
      <c r="W48">
        <f t="shared" si="16"/>
        <v>141.89284639252048</v>
      </c>
      <c r="AE48">
        <f t="shared" si="23"/>
        <v>0.28069787740913765</v>
      </c>
      <c r="AF48">
        <f t="shared" si="24"/>
        <v>0.27416642140338732</v>
      </c>
      <c r="AG48">
        <f t="shared" si="25"/>
        <v>0.27570151920625796</v>
      </c>
      <c r="AI48">
        <f t="shared" si="26"/>
        <v>7.3477577352455567E-2</v>
      </c>
      <c r="AJ48">
        <f t="shared" si="27"/>
        <v>9.6715567180086488</v>
      </c>
      <c r="AL48">
        <f t="shared" si="28"/>
        <v>7.5228030823125375E-2</v>
      </c>
      <c r="AM48">
        <f t="shared" si="29"/>
        <v>10.137855890137994</v>
      </c>
      <c r="AO48">
        <f t="shared" si="30"/>
        <v>7.480916340025684E-2</v>
      </c>
      <c r="AP48">
        <f t="shared" si="31"/>
        <v>10.025275630869031</v>
      </c>
    </row>
    <row r="49" spans="1:42" x14ac:dyDescent="0.2">
      <c r="A49" s="2">
        <v>47</v>
      </c>
      <c r="B49" s="3">
        <v>5.03E-8</v>
      </c>
      <c r="C49" s="2">
        <v>2.4459999999999998E-3</v>
      </c>
      <c r="D49" s="3">
        <v>82500</v>
      </c>
      <c r="E49" s="3">
        <v>146000000000</v>
      </c>
      <c r="F49" s="3">
        <v>128000000000</v>
      </c>
      <c r="G49" s="3">
        <v>15300000000</v>
      </c>
      <c r="H49" s="3">
        <v>8550000000</v>
      </c>
      <c r="I49" s="2"/>
      <c r="J49" s="7">
        <f t="shared" si="32"/>
        <v>5.0299999999999997E-2</v>
      </c>
      <c r="K49" s="7">
        <f t="shared" si="33"/>
        <v>2.4459999999999997</v>
      </c>
      <c r="L49" s="7">
        <f t="shared" si="34"/>
        <v>146</v>
      </c>
      <c r="M49" s="7">
        <f t="shared" si="35"/>
        <v>82.5</v>
      </c>
      <c r="O49">
        <f t="shared" si="36"/>
        <v>2.8063636363636364E-2</v>
      </c>
      <c r="P49">
        <f t="shared" si="37"/>
        <v>28.063636363636363</v>
      </c>
      <c r="V49">
        <f t="shared" si="15"/>
        <v>280.02461851226258</v>
      </c>
      <c r="W49">
        <f t="shared" si="16"/>
        <v>147.30847673021157</v>
      </c>
      <c r="AE49">
        <f t="shared" si="23"/>
        <v>0.30035765092417449</v>
      </c>
      <c r="AF49">
        <f t="shared" si="24"/>
        <v>0.29336873885576459</v>
      </c>
      <c r="AG49">
        <f t="shared" si="25"/>
        <v>0.2950113532362682</v>
      </c>
      <c r="AI49">
        <f t="shared" si="26"/>
        <v>6.9777923981115028E-2</v>
      </c>
      <c r="AJ49">
        <f t="shared" si="27"/>
        <v>8.6303726538789114</v>
      </c>
      <c r="AL49">
        <f t="shared" si="28"/>
        <v>7.1440240753250617E-2</v>
      </c>
      <c r="AM49">
        <f t="shared" si="29"/>
        <v>9.046472744175448</v>
      </c>
      <c r="AO49">
        <f t="shared" si="30"/>
        <v>7.1042463632063207E-2</v>
      </c>
      <c r="AP49">
        <f t="shared" si="31"/>
        <v>8.9460122268781337</v>
      </c>
    </row>
    <row r="50" spans="1:42" x14ac:dyDescent="0.2">
      <c r="A50" s="2">
        <v>48</v>
      </c>
      <c r="B50" s="3">
        <v>5.1100000000000001E-8</v>
      </c>
      <c r="C50" s="2">
        <v>2.4970000000000001E-3</v>
      </c>
      <c r="D50" s="3">
        <v>74900</v>
      </c>
      <c r="E50" s="3">
        <v>136000000000</v>
      </c>
      <c r="F50" s="3">
        <v>120000000000</v>
      </c>
      <c r="G50" s="2">
        <v>0</v>
      </c>
      <c r="H50" s="3">
        <v>9340000000</v>
      </c>
      <c r="I50" s="2"/>
      <c r="J50" s="7">
        <f t="shared" si="32"/>
        <v>5.11E-2</v>
      </c>
      <c r="K50" s="7">
        <f t="shared" si="33"/>
        <v>2.4969999999999999</v>
      </c>
      <c r="L50" s="7">
        <f t="shared" si="34"/>
        <v>136</v>
      </c>
      <c r="M50" s="7">
        <f t="shared" si="35"/>
        <v>74.900000000000006</v>
      </c>
      <c r="O50">
        <f t="shared" si="36"/>
        <v>2.6096662216288386E-2</v>
      </c>
      <c r="P50">
        <f t="shared" si="37"/>
        <v>26.096662216288387</v>
      </c>
      <c r="V50">
        <f t="shared" si="15"/>
        <v>271.1533378615519</v>
      </c>
      <c r="W50">
        <f t="shared" si="16"/>
        <v>138.11373407883914</v>
      </c>
      <c r="AE50">
        <f t="shared" si="23"/>
        <v>0.27268834005115966</v>
      </c>
      <c r="AF50">
        <f t="shared" si="24"/>
        <v>0.26634325503390022</v>
      </c>
      <c r="AG50">
        <f t="shared" si="25"/>
        <v>0.26783454978662413</v>
      </c>
      <c r="AI50">
        <f t="shared" si="26"/>
        <v>7.8080590694387927E-2</v>
      </c>
      <c r="AJ50">
        <f t="shared" si="27"/>
        <v>10.688971030209789</v>
      </c>
      <c r="AL50">
        <f t="shared" si="28"/>
        <v>7.9940701573075923E-2</v>
      </c>
      <c r="AM50">
        <f t="shared" si="29"/>
        <v>11.204323262288478</v>
      </c>
      <c r="AO50">
        <f t="shared" si="30"/>
        <v>7.9495594140595788E-2</v>
      </c>
      <c r="AP50">
        <f t="shared" si="31"/>
        <v>11.079899949166737</v>
      </c>
    </row>
    <row r="51" spans="1:42" x14ac:dyDescent="0.2">
      <c r="A51" s="2">
        <v>49</v>
      </c>
      <c r="B51" s="3">
        <v>5.2100000000000003E-8</v>
      </c>
      <c r="C51" s="2">
        <v>2.5490000000000001E-3</v>
      </c>
      <c r="D51" s="3">
        <v>79100</v>
      </c>
      <c r="E51" s="3">
        <v>139000000000</v>
      </c>
      <c r="F51" s="3">
        <v>123000000000</v>
      </c>
      <c r="G51" s="2">
        <v>0</v>
      </c>
      <c r="H51" s="3">
        <v>8960000000</v>
      </c>
      <c r="I51" s="2"/>
      <c r="J51" s="7">
        <f t="shared" si="32"/>
        <v>5.21E-2</v>
      </c>
      <c r="K51" s="7">
        <f t="shared" si="33"/>
        <v>2.5489999999999999</v>
      </c>
      <c r="L51" s="7">
        <f t="shared" si="34"/>
        <v>139</v>
      </c>
      <c r="M51" s="7">
        <f t="shared" si="35"/>
        <v>79.100000000000009</v>
      </c>
      <c r="O51">
        <f t="shared" si="36"/>
        <v>2.793122629582807E-2</v>
      </c>
      <c r="P51">
        <f t="shared" si="37"/>
        <v>27.931226295828072</v>
      </c>
      <c r="V51">
        <f t="shared" si="15"/>
        <v>279.43852314663667</v>
      </c>
      <c r="W51">
        <f t="shared" si="16"/>
        <v>141.53381414503812</v>
      </c>
      <c r="AE51">
        <f t="shared" si="23"/>
        <v>0.28797927500729947</v>
      </c>
      <c r="AF51">
        <f t="shared" si="24"/>
        <v>0.28127839083019374</v>
      </c>
      <c r="AG51">
        <f t="shared" si="25"/>
        <v>0.28285330958774324</v>
      </c>
      <c r="AI51">
        <f t="shared" si="26"/>
        <v>7.5381582000243211E-2</v>
      </c>
      <c r="AJ51">
        <f t="shared" si="27"/>
        <v>9.7835813736636936</v>
      </c>
      <c r="AL51">
        <f t="shared" si="28"/>
        <v>7.7177394499666846E-2</v>
      </c>
      <c r="AM51">
        <f t="shared" si="29"/>
        <v>10.255281641574522</v>
      </c>
      <c r="AO51">
        <f t="shared" si="30"/>
        <v>7.6747673078222362E-2</v>
      </c>
      <c r="AP51">
        <f t="shared" si="31"/>
        <v>10.141397376637615</v>
      </c>
    </row>
    <row r="52" spans="1:42" x14ac:dyDescent="0.2">
      <c r="A52" s="2">
        <v>50</v>
      </c>
      <c r="B52" s="3">
        <v>5.2800000000000003E-8</v>
      </c>
      <c r="C52" s="2">
        <v>2.6020000000000001E-3</v>
      </c>
      <c r="D52" s="3">
        <v>77300</v>
      </c>
      <c r="E52" s="3">
        <v>137000000000</v>
      </c>
      <c r="F52" s="3">
        <v>121000000000</v>
      </c>
      <c r="G52" s="3">
        <v>20000000000</v>
      </c>
      <c r="H52" s="3">
        <v>9270000000</v>
      </c>
      <c r="I52" s="2"/>
      <c r="J52" s="7">
        <f t="shared" si="32"/>
        <v>5.28E-2</v>
      </c>
      <c r="K52" s="7">
        <f t="shared" si="33"/>
        <v>2.6020000000000003</v>
      </c>
      <c r="L52" s="7">
        <f t="shared" si="34"/>
        <v>137</v>
      </c>
      <c r="M52" s="7">
        <f t="shared" si="35"/>
        <v>77.3</v>
      </c>
      <c r="O52">
        <f t="shared" si="36"/>
        <v>2.7554204398447604E-2</v>
      </c>
      <c r="P52">
        <f t="shared" si="37"/>
        <v>27.554204398447602</v>
      </c>
      <c r="V52">
        <f t="shared" si="15"/>
        <v>277.761159683801</v>
      </c>
      <c r="W52">
        <f t="shared" si="16"/>
        <v>139.14832456776375</v>
      </c>
      <c r="AE52">
        <f t="shared" si="23"/>
        <v>0.28142601716895382</v>
      </c>
      <c r="AF52">
        <f t="shared" si="24"/>
        <v>0.27487761834606789</v>
      </c>
      <c r="AG52">
        <f t="shared" si="25"/>
        <v>0.27641669824440646</v>
      </c>
      <c r="AI52">
        <f t="shared" si="26"/>
        <v>7.8173298337204988E-2</v>
      </c>
      <c r="AJ52">
        <f t="shared" si="27"/>
        <v>10.45753429399409</v>
      </c>
      <c r="AL52">
        <f t="shared" si="28"/>
        <v>8.0035617786466146E-2</v>
      </c>
      <c r="AM52">
        <f t="shared" si="29"/>
        <v>10.961728161225809</v>
      </c>
      <c r="AO52">
        <f t="shared" si="30"/>
        <v>7.9589981863352172E-2</v>
      </c>
      <c r="AP52">
        <f t="shared" si="31"/>
        <v>10.839998851616349</v>
      </c>
    </row>
    <row r="53" spans="1:42" x14ac:dyDescent="0.2">
      <c r="A53" s="2">
        <v>51</v>
      </c>
      <c r="B53" s="3">
        <v>5.3500000000000003E-8</v>
      </c>
      <c r="C53" s="2">
        <v>2.6570000000000001E-3</v>
      </c>
      <c r="D53" s="3">
        <v>80100</v>
      </c>
      <c r="E53" s="3">
        <v>139000000000</v>
      </c>
      <c r="F53" s="3">
        <v>123000000000</v>
      </c>
      <c r="G53" s="3">
        <v>5940000000</v>
      </c>
      <c r="H53" s="3">
        <v>9120000000</v>
      </c>
      <c r="I53" s="2"/>
      <c r="J53" s="7">
        <f t="shared" si="32"/>
        <v>5.3500000000000006E-2</v>
      </c>
      <c r="K53" s="7">
        <f t="shared" si="33"/>
        <v>2.657</v>
      </c>
      <c r="L53" s="7">
        <f t="shared" si="34"/>
        <v>139</v>
      </c>
      <c r="M53" s="7">
        <f t="shared" si="35"/>
        <v>80.100000000000009</v>
      </c>
      <c r="O53">
        <f t="shared" si="36"/>
        <v>2.8621722846441953E-2</v>
      </c>
      <c r="P53">
        <f t="shared" si="37"/>
        <v>28.621722846441955</v>
      </c>
      <c r="V53">
        <f t="shared" si="15"/>
        <v>282.47814001534891</v>
      </c>
      <c r="W53">
        <f t="shared" si="16"/>
        <v>141.78088257669717</v>
      </c>
      <c r="AE53">
        <f t="shared" si="23"/>
        <v>0.29161997380638038</v>
      </c>
      <c r="AF53">
        <f t="shared" si="24"/>
        <v>0.28483437554359692</v>
      </c>
      <c r="AG53">
        <f t="shared" si="25"/>
        <v>0.28642920477848588</v>
      </c>
      <c r="AI53">
        <f t="shared" si="26"/>
        <v>7.6440808822879555E-2</v>
      </c>
      <c r="AJ53">
        <f t="shared" si="27"/>
        <v>9.9450624659017652</v>
      </c>
      <c r="AL53">
        <f t="shared" si="28"/>
        <v>7.8261855241748002E-2</v>
      </c>
      <c r="AM53">
        <f t="shared" si="29"/>
        <v>10.424548295312221</v>
      </c>
      <c r="AO53">
        <f t="shared" si="30"/>
        <v>7.7826095575366516E-2</v>
      </c>
      <c r="AP53">
        <f t="shared" si="31"/>
        <v>10.308784334710873</v>
      </c>
    </row>
    <row r="54" spans="1:42" x14ac:dyDescent="0.2">
      <c r="A54" s="2">
        <v>52</v>
      </c>
      <c r="B54" s="3">
        <v>5.4100000000000001E-8</v>
      </c>
      <c r="C54" s="2">
        <v>2.7070000000000002E-3</v>
      </c>
      <c r="D54" s="3">
        <v>81500</v>
      </c>
      <c r="E54" s="3">
        <v>141000000000</v>
      </c>
      <c r="F54" s="3">
        <v>124000000000</v>
      </c>
      <c r="G54" s="2">
        <v>0</v>
      </c>
      <c r="H54" s="3">
        <v>9120000000</v>
      </c>
      <c r="I54" s="2"/>
      <c r="J54" s="7">
        <f t="shared" si="32"/>
        <v>5.4100000000000002E-2</v>
      </c>
      <c r="K54" s="7">
        <f t="shared" si="33"/>
        <v>2.7070000000000003</v>
      </c>
      <c r="L54" s="7">
        <f t="shared" si="34"/>
        <v>141</v>
      </c>
      <c r="M54" s="7">
        <f t="shared" si="35"/>
        <v>81.5</v>
      </c>
      <c r="O54">
        <f t="shared" si="36"/>
        <v>2.9188957055214723E-2</v>
      </c>
      <c r="P54">
        <f t="shared" si="37"/>
        <v>29.188957055214722</v>
      </c>
      <c r="V54">
        <f t="shared" si="15"/>
        <v>284.94472283836814</v>
      </c>
      <c r="W54">
        <f t="shared" si="16"/>
        <v>143.01019367575725</v>
      </c>
      <c r="AE54">
        <f t="shared" si="23"/>
        <v>0.29671695212509364</v>
      </c>
      <c r="AF54">
        <f t="shared" si="24"/>
        <v>0.28981275414236141</v>
      </c>
      <c r="AG54">
        <f t="shared" si="25"/>
        <v>0.29143545804552556</v>
      </c>
      <c r="AI54">
        <f t="shared" si="26"/>
        <v>7.5970268989428241E-2</v>
      </c>
      <c r="AJ54">
        <f t="shared" si="27"/>
        <v>9.7871001263024784</v>
      </c>
      <c r="AL54">
        <f t="shared" si="28"/>
        <v>7.7780105756124804E-2</v>
      </c>
      <c r="AM54">
        <f t="shared" si="29"/>
        <v>10.258970045438053</v>
      </c>
      <c r="AO54">
        <f t="shared" si="30"/>
        <v>7.7347028456452957E-2</v>
      </c>
      <c r="AP54">
        <f t="shared" si="31"/>
        <v>10.145044821005593</v>
      </c>
    </row>
    <row r="55" spans="1:42" x14ac:dyDescent="0.2">
      <c r="A55" s="2">
        <v>53</v>
      </c>
      <c r="B55" s="3">
        <v>5.4900000000000002E-8</v>
      </c>
      <c r="C55" s="2">
        <v>2.758E-3</v>
      </c>
      <c r="D55" s="3">
        <v>71300</v>
      </c>
      <c r="E55" s="3">
        <v>129000000000</v>
      </c>
      <c r="F55" s="3">
        <v>115000000000</v>
      </c>
      <c r="G55" s="3">
        <v>17900000000</v>
      </c>
      <c r="H55" s="3">
        <v>10400000000</v>
      </c>
      <c r="I55" s="2"/>
      <c r="J55" s="7">
        <f t="shared" si="32"/>
        <v>5.4900000000000004E-2</v>
      </c>
      <c r="K55" s="7">
        <f t="shared" si="33"/>
        <v>2.758</v>
      </c>
      <c r="L55" s="7">
        <f t="shared" si="34"/>
        <v>129</v>
      </c>
      <c r="M55" s="7">
        <f t="shared" si="35"/>
        <v>71.3</v>
      </c>
      <c r="O55">
        <f t="shared" si="36"/>
        <v>2.5888779803646567E-2</v>
      </c>
      <c r="P55">
        <f t="shared" si="37"/>
        <v>25.888779803646568</v>
      </c>
      <c r="V55">
        <f t="shared" si="15"/>
        <v>270.19429626570292</v>
      </c>
      <c r="W55">
        <f t="shared" si="16"/>
        <v>131.942089424947</v>
      </c>
      <c r="AE55">
        <f t="shared" si="23"/>
        <v>0.25958182437446836</v>
      </c>
      <c r="AF55">
        <f t="shared" si="24"/>
        <v>0.25354171006564868</v>
      </c>
      <c r="AG55">
        <f t="shared" si="25"/>
        <v>0.25496132709995056</v>
      </c>
      <c r="AI55">
        <f t="shared" si="26"/>
        <v>8.8122502625611082E-2</v>
      </c>
      <c r="AJ55">
        <f t="shared" si="27"/>
        <v>13.028553335796746</v>
      </c>
      <c r="AL55">
        <f t="shared" si="28"/>
        <v>9.0221841582109136E-2</v>
      </c>
      <c r="AM55">
        <f t="shared" si="29"/>
        <v>13.656704915905127</v>
      </c>
      <c r="AO55">
        <f t="shared" si="30"/>
        <v>8.9719489069934474E-2</v>
      </c>
      <c r="AP55">
        <f t="shared" si="31"/>
        <v>13.505048057013704</v>
      </c>
    </row>
    <row r="56" spans="1:42" x14ac:dyDescent="0.2">
      <c r="A56" s="2">
        <v>54</v>
      </c>
      <c r="B56" s="3">
        <v>5.5700000000000002E-8</v>
      </c>
      <c r="C56" s="2">
        <v>2.8110000000000001E-3</v>
      </c>
      <c r="D56" s="3">
        <v>67900</v>
      </c>
      <c r="E56" s="3">
        <v>125000000000</v>
      </c>
      <c r="F56" s="3">
        <v>112000000000</v>
      </c>
      <c r="G56" s="2">
        <v>0</v>
      </c>
      <c r="H56" s="3">
        <v>11000000000</v>
      </c>
      <c r="I56" s="2"/>
      <c r="J56" s="7">
        <f t="shared" si="32"/>
        <v>5.57E-2</v>
      </c>
      <c r="K56" s="7">
        <f t="shared" si="33"/>
        <v>2.8109999999999999</v>
      </c>
      <c r="L56" s="7">
        <f t="shared" si="34"/>
        <v>125.00000000000001</v>
      </c>
      <c r="M56" s="7">
        <f t="shared" si="35"/>
        <v>67.900000000000006</v>
      </c>
      <c r="O56">
        <f t="shared" si="36"/>
        <v>2.4650662739322537E-2</v>
      </c>
      <c r="P56">
        <f t="shared" si="37"/>
        <v>24.650662739322538</v>
      </c>
      <c r="V56">
        <f t="shared" si="15"/>
        <v>264.39144008357658</v>
      </c>
      <c r="W56">
        <f t="shared" si="16"/>
        <v>128.40809062981802</v>
      </c>
      <c r="AE56">
        <f t="shared" si="23"/>
        <v>0.24720344845759334</v>
      </c>
      <c r="AF56">
        <f t="shared" si="24"/>
        <v>0.24145136204007778</v>
      </c>
      <c r="AG56">
        <f t="shared" si="25"/>
        <v>0.24280328345142563</v>
      </c>
      <c r="AI56">
        <f t="shared" si="26"/>
        <v>9.3883533899465896E-2</v>
      </c>
      <c r="AJ56">
        <f t="shared" si="27"/>
        <v>14.642063639603355</v>
      </c>
      <c r="AL56">
        <f t="shared" si="28"/>
        <v>9.6120117680185441E-2</v>
      </c>
      <c r="AM56">
        <f t="shared" si="29"/>
        <v>15.348008127391875</v>
      </c>
      <c r="AO56">
        <f t="shared" si="30"/>
        <v>9.5584923743324543E-2</v>
      </c>
      <c r="AP56">
        <f t="shared" si="31"/>
        <v>15.177569451505308</v>
      </c>
    </row>
    <row r="57" spans="1:42" x14ac:dyDescent="0.2">
      <c r="A57" s="2">
        <v>55</v>
      </c>
      <c r="B57" s="3">
        <v>5.6300000000000001E-8</v>
      </c>
      <c r="C57" s="2">
        <v>2.862E-3</v>
      </c>
      <c r="D57" s="3">
        <v>90700</v>
      </c>
      <c r="E57" s="3">
        <v>147000000000</v>
      </c>
      <c r="F57" s="3">
        <v>129000000000</v>
      </c>
      <c r="G57" s="3">
        <v>11400000000</v>
      </c>
      <c r="H57" s="3">
        <v>8420000000</v>
      </c>
      <c r="I57" s="2"/>
      <c r="J57" s="7">
        <f t="shared" si="32"/>
        <v>5.6300000000000003E-2</v>
      </c>
      <c r="K57" s="7">
        <f t="shared" si="33"/>
        <v>2.8620000000000001</v>
      </c>
      <c r="L57" s="7">
        <f t="shared" si="34"/>
        <v>147</v>
      </c>
      <c r="M57" s="7">
        <f t="shared" si="35"/>
        <v>90.7</v>
      </c>
      <c r="O57">
        <f t="shared" si="36"/>
        <v>3.2634068357221616E-2</v>
      </c>
      <c r="P57">
        <f t="shared" si="37"/>
        <v>32.634068357221615</v>
      </c>
      <c r="V57">
        <f t="shared" si="15"/>
        <v>299.38229097446356</v>
      </c>
      <c r="W57">
        <f t="shared" si="16"/>
        <v>151.47856559046849</v>
      </c>
      <c r="AE57">
        <f t="shared" si="23"/>
        <v>0.33021138107663794</v>
      </c>
      <c r="AF57">
        <f t="shared" si="24"/>
        <v>0.32252781350567089</v>
      </c>
      <c r="AG57">
        <f t="shared" si="25"/>
        <v>0.32433369380035793</v>
      </c>
      <c r="AI57">
        <f t="shared" si="26"/>
        <v>7.1040353778384607E-2</v>
      </c>
      <c r="AJ57">
        <f t="shared" si="27"/>
        <v>8.3547998135763368</v>
      </c>
      <c r="AL57">
        <f t="shared" si="28"/>
        <v>7.2732745366535262E-2</v>
      </c>
      <c r="AM57">
        <f t="shared" si="29"/>
        <v>8.757613584923293</v>
      </c>
      <c r="AO57">
        <f t="shared" si="30"/>
        <v>7.2327771618365996E-2</v>
      </c>
      <c r="AP57">
        <f t="shared" si="31"/>
        <v>8.6603608306276669</v>
      </c>
    </row>
    <row r="58" spans="1:42" x14ac:dyDescent="0.2">
      <c r="A58" s="2">
        <v>56</v>
      </c>
      <c r="B58" s="3">
        <v>5.7000000000000001E-8</v>
      </c>
      <c r="C58" s="2">
        <v>2.9150000000000001E-3</v>
      </c>
      <c r="D58" s="3">
        <v>77800</v>
      </c>
      <c r="E58" s="3">
        <v>134000000000</v>
      </c>
      <c r="F58" s="3">
        <v>119000000000</v>
      </c>
      <c r="G58" s="3">
        <v>2900000000</v>
      </c>
      <c r="H58" s="3">
        <v>9920000000</v>
      </c>
      <c r="I58" s="2"/>
      <c r="J58" s="7">
        <f t="shared" si="32"/>
        <v>5.7000000000000002E-2</v>
      </c>
      <c r="K58" s="7">
        <f t="shared" si="33"/>
        <v>2.915</v>
      </c>
      <c r="L58" s="7">
        <f t="shared" si="34"/>
        <v>134</v>
      </c>
      <c r="M58" s="7">
        <f t="shared" si="35"/>
        <v>77.8</v>
      </c>
      <c r="O58">
        <f t="shared" si="36"/>
        <v>2.8899100257069408E-2</v>
      </c>
      <c r="P58">
        <f t="shared" si="37"/>
        <v>28.899100257069406</v>
      </c>
      <c r="V58">
        <f t="shared" si="15"/>
        <v>283.68766731008833</v>
      </c>
      <c r="W58">
        <f t="shared" si="16"/>
        <v>137.12263338356499</v>
      </c>
      <c r="AE58">
        <f t="shared" si="23"/>
        <v>0.28324636656849428</v>
      </c>
      <c r="AF58">
        <f t="shared" si="24"/>
        <v>0.27665561070276951</v>
      </c>
      <c r="AG58">
        <f t="shared" si="25"/>
        <v>0.27820464583977778</v>
      </c>
      <c r="AI58">
        <f t="shared" si="26"/>
        <v>8.3849266233241543E-2</v>
      </c>
      <c r="AJ58">
        <f t="shared" si="27"/>
        <v>11.565392020174789</v>
      </c>
      <c r="AL58">
        <f t="shared" si="28"/>
        <v>8.5846804045179068E-2</v>
      </c>
      <c r="AM58">
        <f t="shared" si="29"/>
        <v>12.122999536896177</v>
      </c>
      <c r="AO58">
        <f t="shared" si="30"/>
        <v>8.5368811610996548E-2</v>
      </c>
      <c r="AP58">
        <f t="shared" si="31"/>
        <v>11.988374380869944</v>
      </c>
    </row>
    <row r="59" spans="1:42" x14ac:dyDescent="0.2">
      <c r="A59" s="2">
        <v>57</v>
      </c>
      <c r="B59" s="3">
        <v>5.7399999999999998E-8</v>
      </c>
      <c r="C59" s="2">
        <v>2.9680000000000002E-3</v>
      </c>
      <c r="D59" s="3">
        <v>76600</v>
      </c>
      <c r="E59" s="3">
        <v>133000000000</v>
      </c>
      <c r="F59" s="3">
        <v>118000000000</v>
      </c>
      <c r="G59" s="3">
        <v>2600000000</v>
      </c>
      <c r="H59" s="3">
        <v>10300000000</v>
      </c>
      <c r="I59" s="2"/>
      <c r="J59" s="7">
        <f t="shared" si="32"/>
        <v>5.74E-2</v>
      </c>
      <c r="K59" s="7">
        <f t="shared" si="33"/>
        <v>2.968</v>
      </c>
      <c r="L59" s="7">
        <f t="shared" si="34"/>
        <v>133</v>
      </c>
      <c r="M59" s="7">
        <f t="shared" si="35"/>
        <v>76.600000000000009</v>
      </c>
      <c r="O59">
        <f t="shared" si="36"/>
        <v>2.8339947780678852E-2</v>
      </c>
      <c r="P59">
        <f t="shared" si="37"/>
        <v>28.339947780678852</v>
      </c>
      <c r="V59">
        <f t="shared" si="15"/>
        <v>281.24273278938438</v>
      </c>
      <c r="W59">
        <f t="shared" si="16"/>
        <v>136.18129656236098</v>
      </c>
      <c r="AE59">
        <f t="shared" si="23"/>
        <v>0.2788775280095972</v>
      </c>
      <c r="AF59">
        <f t="shared" si="24"/>
        <v>0.2723884290466857</v>
      </c>
      <c r="AG59">
        <f t="shared" si="25"/>
        <v>0.27391357161088664</v>
      </c>
      <c r="AI59">
        <f t="shared" si="26"/>
        <v>8.5760465668799274E-2</v>
      </c>
      <c r="AJ59">
        <f t="shared" si="27"/>
        <v>12.147512382046703</v>
      </c>
      <c r="AL59">
        <f t="shared" si="28"/>
        <v>8.780353391064015E-2</v>
      </c>
      <c r="AM59">
        <f t="shared" si="29"/>
        <v>12.733185933092745</v>
      </c>
      <c r="AO59">
        <f t="shared" si="30"/>
        <v>8.7314646463162351E-2</v>
      </c>
      <c r="AP59">
        <f t="shared" si="31"/>
        <v>12.591784695079292</v>
      </c>
    </row>
    <row r="60" spans="1:42" x14ac:dyDescent="0.2">
      <c r="A60" s="2">
        <v>58</v>
      </c>
      <c r="B60" s="3">
        <v>5.8299999999999999E-8</v>
      </c>
      <c r="C60" s="2">
        <v>3.0179999999999998E-3</v>
      </c>
      <c r="D60" s="3">
        <v>73200</v>
      </c>
      <c r="E60" s="3">
        <v>129000000000</v>
      </c>
      <c r="F60" s="3">
        <v>115000000000</v>
      </c>
      <c r="G60" s="3">
        <v>3970000000</v>
      </c>
      <c r="H60" s="3">
        <v>10800000000</v>
      </c>
      <c r="I60" s="2"/>
      <c r="J60" s="7">
        <f t="shared" si="32"/>
        <v>5.8299999999999998E-2</v>
      </c>
      <c r="K60" s="7">
        <f t="shared" si="33"/>
        <v>3.0179999999999998</v>
      </c>
      <c r="L60" s="7">
        <f t="shared" si="34"/>
        <v>129</v>
      </c>
      <c r="M60" s="7">
        <f t="shared" si="35"/>
        <v>73.2</v>
      </c>
      <c r="O60">
        <f t="shared" si="36"/>
        <v>2.737786885245902E-2</v>
      </c>
      <c r="P60">
        <f t="shared" si="37"/>
        <v>27.37786885245902</v>
      </c>
      <c r="V60">
        <f t="shared" si="15"/>
        <v>276.97225826472038</v>
      </c>
      <c r="W60">
        <f t="shared" si="16"/>
        <v>132.14319812859742</v>
      </c>
      <c r="AE60">
        <f t="shared" si="23"/>
        <v>0.26649915209272212</v>
      </c>
      <c r="AF60">
        <f t="shared" si="24"/>
        <v>0.26029808102111479</v>
      </c>
      <c r="AG60">
        <f t="shared" si="25"/>
        <v>0.26175552796236162</v>
      </c>
      <c r="AI60">
        <f t="shared" si="26"/>
        <v>9.1151009209271147E-2</v>
      </c>
      <c r="AJ60">
        <f t="shared" si="27"/>
        <v>13.526270442250476</v>
      </c>
      <c r="AL60">
        <f t="shared" si="28"/>
        <v>9.3322496160454529E-2</v>
      </c>
      <c r="AM60">
        <f t="shared" si="29"/>
        <v>14.178418684060887</v>
      </c>
      <c r="AO60">
        <f t="shared" si="30"/>
        <v>9.2802879296438837E-2</v>
      </c>
      <c r="AP60">
        <f t="shared" si="31"/>
        <v>14.020968226215237</v>
      </c>
    </row>
    <row r="61" spans="1:42" x14ac:dyDescent="0.2">
      <c r="A61" s="2">
        <v>59</v>
      </c>
      <c r="B61" s="3">
        <v>5.8999999999999999E-8</v>
      </c>
      <c r="C61" s="2">
        <v>3.0699999999999998E-3</v>
      </c>
      <c r="D61" s="3">
        <v>84300</v>
      </c>
      <c r="E61" s="3">
        <v>138000000000</v>
      </c>
      <c r="F61" s="3">
        <v>122000000000</v>
      </c>
      <c r="G61" s="2">
        <v>0</v>
      </c>
      <c r="H61" s="3">
        <v>9360000000</v>
      </c>
      <c r="I61" s="2"/>
      <c r="J61" s="7">
        <f t="shared" si="32"/>
        <v>5.8999999999999997E-2</v>
      </c>
      <c r="K61" s="7">
        <f t="shared" si="33"/>
        <v>3.07</v>
      </c>
      <c r="L61" s="7">
        <f t="shared" si="34"/>
        <v>138</v>
      </c>
      <c r="M61" s="7">
        <f t="shared" si="35"/>
        <v>84.3</v>
      </c>
      <c r="O61">
        <f t="shared" si="36"/>
        <v>3.1686832740213521E-2</v>
      </c>
      <c r="P61">
        <f t="shared" si="37"/>
        <v>31.686832740213521</v>
      </c>
      <c r="V61">
        <f t="shared" si="15"/>
        <v>295.50091088116471</v>
      </c>
      <c r="W61">
        <f t="shared" si="16"/>
        <v>142.63915422227095</v>
      </c>
      <c r="AE61">
        <f t="shared" si="23"/>
        <v>0.30691090876252014</v>
      </c>
      <c r="AF61">
        <f t="shared" si="24"/>
        <v>0.29976951133989033</v>
      </c>
      <c r="AG61">
        <f t="shared" si="25"/>
        <v>0.30144796457960499</v>
      </c>
      <c r="AI61">
        <f t="shared" si="26"/>
        <v>8.0099249102791883E-2</v>
      </c>
      <c r="AJ61">
        <f t="shared" si="27"/>
        <v>10.37442939339248</v>
      </c>
      <c r="AL61">
        <f t="shared" si="28"/>
        <v>8.2007450402318591E-2</v>
      </c>
      <c r="AM61">
        <f t="shared" si="29"/>
        <v>10.8746164861741</v>
      </c>
      <c r="AO61">
        <f t="shared" si="30"/>
        <v>8.1550835374247413E-2</v>
      </c>
      <c r="AP61">
        <f t="shared" si="31"/>
        <v>10.753854546299317</v>
      </c>
    </row>
    <row r="62" spans="1:42" x14ac:dyDescent="0.2">
      <c r="A62" s="2">
        <v>60</v>
      </c>
      <c r="B62" s="3">
        <v>5.9800000000000006E-8</v>
      </c>
      <c r="C62" s="2">
        <v>3.1220000000000002E-3</v>
      </c>
      <c r="D62" s="3">
        <v>97200</v>
      </c>
      <c r="E62" s="3">
        <v>151000000000</v>
      </c>
      <c r="F62" s="3">
        <v>132000000000</v>
      </c>
      <c r="G62" s="3">
        <v>3020000000</v>
      </c>
      <c r="H62" s="3">
        <v>8360000000</v>
      </c>
      <c r="I62" s="2"/>
      <c r="J62" s="7">
        <f t="shared" si="32"/>
        <v>5.9800000000000006E-2</v>
      </c>
      <c r="K62" s="7">
        <f t="shared" si="33"/>
        <v>3.1220000000000003</v>
      </c>
      <c r="L62" s="7">
        <f t="shared" si="34"/>
        <v>151</v>
      </c>
      <c r="M62" s="7">
        <f t="shared" si="35"/>
        <v>97.2</v>
      </c>
      <c r="O62">
        <f t="shared" si="36"/>
        <v>3.5710493827160496E-2</v>
      </c>
      <c r="P62">
        <f t="shared" si="37"/>
        <v>35.710493827160498</v>
      </c>
      <c r="V62">
        <f t="shared" si="15"/>
        <v>311.57248932523686</v>
      </c>
      <c r="W62">
        <f t="shared" si="16"/>
        <v>155.98296276173662</v>
      </c>
      <c r="AE62">
        <f t="shared" si="23"/>
        <v>0.35387592327066381</v>
      </c>
      <c r="AF62">
        <f t="shared" si="24"/>
        <v>0.34564171414279177</v>
      </c>
      <c r="AG62">
        <f t="shared" si="25"/>
        <v>0.34757701254018508</v>
      </c>
      <c r="AI62">
        <f t="shared" si="26"/>
        <v>7.041074294169776E-2</v>
      </c>
      <c r="AJ62">
        <f t="shared" si="27"/>
        <v>7.9356291115445732</v>
      </c>
      <c r="AL62">
        <f t="shared" si="28"/>
        <v>7.2088135335346346E-2</v>
      </c>
      <c r="AM62">
        <f t="shared" si="29"/>
        <v>8.3182332147856322</v>
      </c>
      <c r="AO62">
        <f t="shared" si="30"/>
        <v>7.1686750756527473E-2</v>
      </c>
      <c r="AP62">
        <f t="shared" si="31"/>
        <v>8.2258597521788879</v>
      </c>
    </row>
    <row r="63" spans="1:42" x14ac:dyDescent="0.2">
      <c r="A63" s="2">
        <v>61</v>
      </c>
      <c r="B63" s="3">
        <v>6.0300000000000004E-8</v>
      </c>
      <c r="C63" s="2">
        <v>3.1749999999999999E-3</v>
      </c>
      <c r="D63" s="3">
        <v>86400</v>
      </c>
      <c r="E63" s="3">
        <v>139000000000</v>
      </c>
      <c r="F63" s="3">
        <v>123000000000</v>
      </c>
      <c r="G63" s="3">
        <v>3470000000</v>
      </c>
      <c r="H63" s="3">
        <v>9290000000</v>
      </c>
      <c r="I63" s="2"/>
      <c r="J63" s="7">
        <f t="shared" si="32"/>
        <v>6.0300000000000006E-2</v>
      </c>
      <c r="K63" s="7">
        <f t="shared" si="33"/>
        <v>3.1749999999999998</v>
      </c>
      <c r="L63" s="7">
        <f t="shared" si="34"/>
        <v>139</v>
      </c>
      <c r="M63" s="7">
        <f t="shared" si="35"/>
        <v>86.4</v>
      </c>
      <c r="O63">
        <f t="shared" si="36"/>
        <v>3.2739236111111118E-2</v>
      </c>
      <c r="P63">
        <f t="shared" si="37"/>
        <v>32.739236111111119</v>
      </c>
      <c r="V63">
        <f t="shared" si="15"/>
        <v>299.80933389720815</v>
      </c>
      <c r="W63">
        <f t="shared" si="16"/>
        <v>144.09157793203144</v>
      </c>
      <c r="AE63">
        <f t="shared" si="23"/>
        <v>0.31455637624059007</v>
      </c>
      <c r="AF63">
        <f t="shared" si="24"/>
        <v>0.30723707923803711</v>
      </c>
      <c r="AG63">
        <f t="shared" si="25"/>
        <v>0.30895734448016454</v>
      </c>
      <c r="AI63">
        <f t="shared" si="26"/>
        <v>7.9874394219187642E-2</v>
      </c>
      <c r="AJ63">
        <f t="shared" si="27"/>
        <v>10.214032555060232</v>
      </c>
      <c r="AL63">
        <f t="shared" si="28"/>
        <v>8.1777238809557826E-2</v>
      </c>
      <c r="AM63">
        <f t="shared" si="29"/>
        <v>10.706486361969965</v>
      </c>
      <c r="AO63">
        <f t="shared" si="30"/>
        <v>8.1321905592741342E-2</v>
      </c>
      <c r="AP63">
        <f t="shared" si="31"/>
        <v>10.587591496669827</v>
      </c>
    </row>
    <row r="64" spans="1:42" x14ac:dyDescent="0.2">
      <c r="A64" s="2">
        <v>62</v>
      </c>
      <c r="B64" s="3">
        <v>6.1000000000000004E-8</v>
      </c>
      <c r="C64" s="2">
        <v>3.2269999999999998E-3</v>
      </c>
      <c r="D64" s="3">
        <v>74000</v>
      </c>
      <c r="E64" s="3">
        <v>128000000000</v>
      </c>
      <c r="F64" s="3">
        <v>115000000000</v>
      </c>
      <c r="G64" s="2">
        <v>0</v>
      </c>
      <c r="H64" s="3">
        <v>11200000000</v>
      </c>
      <c r="I64" s="2"/>
      <c r="J64" s="7">
        <f t="shared" si="32"/>
        <v>6.1000000000000006E-2</v>
      </c>
      <c r="K64" s="7">
        <f t="shared" si="33"/>
        <v>3.2269999999999999</v>
      </c>
      <c r="L64" s="7">
        <f t="shared" si="34"/>
        <v>128</v>
      </c>
      <c r="M64" s="7">
        <f t="shared" si="35"/>
        <v>74</v>
      </c>
      <c r="O64">
        <f t="shared" si="36"/>
        <v>2.8293918918918928E-2</v>
      </c>
      <c r="P64">
        <f t="shared" si="37"/>
        <v>28.29391891891893</v>
      </c>
      <c r="V64">
        <f t="shared" si="15"/>
        <v>281.04027597881634</v>
      </c>
      <c r="W64">
        <f t="shared" si="16"/>
        <v>131.65372781938527</v>
      </c>
      <c r="AE64">
        <f t="shared" si="23"/>
        <v>0.26941171113198681</v>
      </c>
      <c r="AF64">
        <f t="shared" si="24"/>
        <v>0.26314286879183735</v>
      </c>
      <c r="AG64">
        <f t="shared" si="25"/>
        <v>0.26461624411495571</v>
      </c>
      <c r="AI64">
        <f t="shared" si="26"/>
        <v>9.4341357916007049E-2</v>
      </c>
      <c r="AJ64">
        <f t="shared" si="27"/>
        <v>14.151957609128559</v>
      </c>
      <c r="AL64">
        <f t="shared" si="28"/>
        <v>9.658884842048622E-2</v>
      </c>
      <c r="AM64">
        <f t="shared" si="29"/>
        <v>14.834272391490183</v>
      </c>
      <c r="AO64">
        <f t="shared" si="30"/>
        <v>9.6051044604899813E-2</v>
      </c>
      <c r="AP64">
        <f t="shared" si="31"/>
        <v>14.669538719005756</v>
      </c>
    </row>
    <row r="65" spans="1:42" x14ac:dyDescent="0.2">
      <c r="A65" s="2">
        <v>63</v>
      </c>
      <c r="B65" s="3">
        <v>6.1799999999999998E-8</v>
      </c>
      <c r="C65" s="2">
        <v>3.2820000000000002E-3</v>
      </c>
      <c r="D65" s="3">
        <v>83800</v>
      </c>
      <c r="E65" s="3">
        <v>135000000000</v>
      </c>
      <c r="F65" s="3">
        <v>120000000000</v>
      </c>
      <c r="G65" s="2">
        <v>0</v>
      </c>
      <c r="H65" s="3">
        <v>9720000000</v>
      </c>
      <c r="I65" s="2"/>
      <c r="J65" s="7">
        <f t="shared" si="32"/>
        <v>6.1800000000000001E-2</v>
      </c>
      <c r="K65" s="7">
        <f t="shared" si="33"/>
        <v>3.282</v>
      </c>
      <c r="L65" s="7">
        <f t="shared" si="34"/>
        <v>135</v>
      </c>
      <c r="M65" s="7">
        <f t="shared" si="35"/>
        <v>83.8</v>
      </c>
      <c r="O65">
        <f t="shared" si="36"/>
        <v>3.2426491646778043E-2</v>
      </c>
      <c r="P65">
        <f t="shared" si="37"/>
        <v>32.42649164677804</v>
      </c>
      <c r="V65">
        <f t="shared" si="15"/>
        <v>298.53715221169762</v>
      </c>
      <c r="W65">
        <f t="shared" si="16"/>
        <v>140.35104069823782</v>
      </c>
      <c r="AE65">
        <f t="shared" si="23"/>
        <v>0.30509055936297969</v>
      </c>
      <c r="AF65">
        <f t="shared" si="24"/>
        <v>0.29799151898318876</v>
      </c>
      <c r="AG65">
        <f t="shared" si="25"/>
        <v>0.29966001698423361</v>
      </c>
      <c r="AI65">
        <f t="shared" si="26"/>
        <v>8.4401169455276689E-2</v>
      </c>
      <c r="AJ65">
        <f t="shared" si="27"/>
        <v>11.223583257084211</v>
      </c>
      <c r="AL65">
        <f t="shared" si="28"/>
        <v>8.6411855236231377E-2</v>
      </c>
      <c r="AM65">
        <f t="shared" si="29"/>
        <v>11.764710992121755</v>
      </c>
      <c r="AO65">
        <f t="shared" si="30"/>
        <v>8.5930716613937905E-2</v>
      </c>
      <c r="AP65">
        <f t="shared" si="31"/>
        <v>11.634064608106186</v>
      </c>
    </row>
    <row r="66" spans="1:42" x14ac:dyDescent="0.2">
      <c r="A66" s="2">
        <v>64</v>
      </c>
      <c r="B66" s="3">
        <v>6.2400000000000003E-8</v>
      </c>
      <c r="C66" s="2">
        <v>3.3349999999999999E-3</v>
      </c>
      <c r="D66" s="3">
        <v>92500</v>
      </c>
      <c r="E66" s="3">
        <v>143000000000</v>
      </c>
      <c r="F66" s="3">
        <v>126000000000</v>
      </c>
      <c r="G66" s="2">
        <v>0</v>
      </c>
      <c r="H66" s="3">
        <v>9010000000</v>
      </c>
      <c r="I66" s="2"/>
      <c r="J66" s="7">
        <f t="shared" si="32"/>
        <v>6.2400000000000004E-2</v>
      </c>
      <c r="K66" s="7">
        <f t="shared" si="33"/>
        <v>3.335</v>
      </c>
      <c r="L66" s="7">
        <f t="shared" si="34"/>
        <v>143</v>
      </c>
      <c r="M66" s="7">
        <f t="shared" si="35"/>
        <v>92.5</v>
      </c>
      <c r="O66">
        <f t="shared" si="36"/>
        <v>3.5359459459459466E-2</v>
      </c>
      <c r="P66">
        <f t="shared" si="37"/>
        <v>35.359459459459465</v>
      </c>
      <c r="V66">
        <f t="shared" si="15"/>
        <v>310.21189207805787</v>
      </c>
      <c r="W66">
        <f t="shared" si="16"/>
        <v>149.09164084645155</v>
      </c>
      <c r="AE66">
        <f t="shared" si="23"/>
        <v>0.33676463891498354</v>
      </c>
      <c r="AF66">
        <f t="shared" si="24"/>
        <v>0.32892858598979668</v>
      </c>
      <c r="AG66">
        <f t="shared" si="25"/>
        <v>0.33077030514369465</v>
      </c>
      <c r="AI66">
        <f t="shared" si="26"/>
        <v>7.7205255527329042E-2</v>
      </c>
      <c r="AJ66">
        <f t="shared" si="27"/>
        <v>9.3603775397967137</v>
      </c>
      <c r="AL66">
        <f t="shared" si="28"/>
        <v>7.9044513330338878E-2</v>
      </c>
      <c r="AM66">
        <f t="shared" si="29"/>
        <v>9.8116736883782618</v>
      </c>
      <c r="AO66">
        <f t="shared" si="30"/>
        <v>7.8604395847157352E-2</v>
      </c>
      <c r="AP66">
        <f t="shared" si="31"/>
        <v>9.7027156621772175</v>
      </c>
    </row>
    <row r="67" spans="1:42" x14ac:dyDescent="0.2">
      <c r="A67" s="2">
        <v>65</v>
      </c>
      <c r="B67" s="3">
        <v>6.2999999999999995E-8</v>
      </c>
      <c r="C67" s="2">
        <v>3.3839999999999999E-3</v>
      </c>
      <c r="D67" s="3">
        <v>77100</v>
      </c>
      <c r="E67" s="3">
        <v>129000000000</v>
      </c>
      <c r="F67" s="3">
        <v>115000000000</v>
      </c>
      <c r="G67" s="3">
        <v>15200000000</v>
      </c>
      <c r="H67" s="3">
        <v>11000000000</v>
      </c>
      <c r="I67" s="2"/>
      <c r="J67" s="7">
        <f t="shared" si="32"/>
        <v>6.3E-2</v>
      </c>
      <c r="K67" s="7">
        <f t="shared" si="33"/>
        <v>3.3839999999999999</v>
      </c>
      <c r="L67" s="7">
        <f t="shared" si="34"/>
        <v>129</v>
      </c>
      <c r="M67" s="7">
        <f t="shared" si="35"/>
        <v>77.100000000000009</v>
      </c>
      <c r="O67">
        <f t="shared" si="36"/>
        <v>3.0081712062256814E-2</v>
      </c>
      <c r="P67">
        <f t="shared" si="37"/>
        <v>30.081712062256813</v>
      </c>
      <c r="V67">
        <f t="shared" si="15"/>
        <v>288.77332915980185</v>
      </c>
      <c r="W67">
        <f t="shared" si="16"/>
        <v>133.49570790406042</v>
      </c>
      <c r="AE67">
        <f t="shared" si="23"/>
        <v>0.28069787740913765</v>
      </c>
      <c r="AF67">
        <f t="shared" si="24"/>
        <v>0.27416642140338732</v>
      </c>
      <c r="AG67">
        <f t="shared" si="25"/>
        <v>0.27570151920625796</v>
      </c>
      <c r="AI67">
        <f t="shared" si="26"/>
        <v>9.3516916630397989E-2</v>
      </c>
      <c r="AJ67">
        <f t="shared" si="27"/>
        <v>13.671072654027265</v>
      </c>
      <c r="AL67">
        <f t="shared" si="28"/>
        <v>9.5744766502159559E-2</v>
      </c>
      <c r="AM67">
        <f t="shared" si="29"/>
        <v>14.330202310871751</v>
      </c>
      <c r="AO67">
        <f t="shared" si="30"/>
        <v>9.5211662509417802E-2</v>
      </c>
      <c r="AP67">
        <f t="shared" si="31"/>
        <v>14.171066305288557</v>
      </c>
    </row>
    <row r="68" spans="1:42" x14ac:dyDescent="0.2">
      <c r="A68" s="2">
        <v>66</v>
      </c>
      <c r="B68" s="3">
        <v>6.3699999999999995E-8</v>
      </c>
      <c r="C68" s="2">
        <v>3.4350000000000001E-3</v>
      </c>
      <c r="D68" s="3">
        <v>88900</v>
      </c>
      <c r="E68" s="3">
        <v>138000000000</v>
      </c>
      <c r="F68" s="3">
        <v>122000000000</v>
      </c>
      <c r="G68" s="2">
        <v>0</v>
      </c>
      <c r="H68" s="3">
        <v>9430000000</v>
      </c>
      <c r="I68" s="2"/>
      <c r="J68" s="7">
        <f t="shared" si="32"/>
        <v>6.3699999999999993E-2</v>
      </c>
      <c r="K68" s="7">
        <f t="shared" si="33"/>
        <v>3.4350000000000001</v>
      </c>
      <c r="L68" s="7">
        <f t="shared" si="34"/>
        <v>138</v>
      </c>
      <c r="M68" s="7">
        <f t="shared" si="35"/>
        <v>88.9</v>
      </c>
      <c r="O68">
        <f t="shared" si="36"/>
        <v>3.4720809898762653E-2</v>
      </c>
      <c r="P68">
        <f t="shared" si="37"/>
        <v>34.720809898762653</v>
      </c>
      <c r="V68">
        <f t="shared" si="15"/>
        <v>307.71707673094676</v>
      </c>
      <c r="W68">
        <f t="shared" si="16"/>
        <v>144.45087179501894</v>
      </c>
      <c r="AE68">
        <f t="shared" si="23"/>
        <v>0.32365812323829229</v>
      </c>
      <c r="AF68">
        <f t="shared" si="24"/>
        <v>0.31612704102154515</v>
      </c>
      <c r="AG68">
        <f t="shared" si="25"/>
        <v>0.31789708245702114</v>
      </c>
      <c r="AI68">
        <f t="shared" si="26"/>
        <v>8.2005254189543214E-2</v>
      </c>
      <c r="AJ68">
        <f t="shared" si="27"/>
        <v>10.437685635210263</v>
      </c>
      <c r="AL68">
        <f t="shared" si="28"/>
        <v>8.3958862174203439E-2</v>
      </c>
      <c r="AM68">
        <f t="shared" si="29"/>
        <v>10.94092253000945</v>
      </c>
      <c r="AO68">
        <f t="shared" si="30"/>
        <v>8.3491381743822798E-2</v>
      </c>
      <c r="AP68">
        <f t="shared" si="31"/>
        <v>10.819424265640917</v>
      </c>
    </row>
    <row r="69" spans="1:42" x14ac:dyDescent="0.2">
      <c r="A69" s="2">
        <v>67</v>
      </c>
      <c r="B69" s="3">
        <v>6.4599999999999996E-8</v>
      </c>
      <c r="C69" s="2">
        <v>3.4880000000000002E-3</v>
      </c>
      <c r="D69" s="3">
        <v>93200</v>
      </c>
      <c r="E69" s="3">
        <v>142000000000</v>
      </c>
      <c r="F69" s="3">
        <v>125000000000</v>
      </c>
      <c r="G69" s="2">
        <v>0</v>
      </c>
      <c r="H69" s="3">
        <v>9140000000</v>
      </c>
      <c r="I69" s="2"/>
      <c r="J69" s="7">
        <f t="shared" si="32"/>
        <v>6.4599999999999991E-2</v>
      </c>
      <c r="K69" s="7">
        <f t="shared" si="33"/>
        <v>3.4880000000000004</v>
      </c>
      <c r="L69" s="7">
        <f t="shared" si="34"/>
        <v>142</v>
      </c>
      <c r="M69" s="7">
        <f t="shared" si="35"/>
        <v>93.2</v>
      </c>
      <c r="O69">
        <f t="shared" si="36"/>
        <v>3.6531330472102996E-2</v>
      </c>
      <c r="P69">
        <f t="shared" si="37"/>
        <v>36.531330472102994</v>
      </c>
      <c r="V69">
        <f t="shared" ref="V69:V132" si="38">$S$3*(P69^$S$4)</f>
        <v>314.7252224658738</v>
      </c>
      <c r="W69">
        <f t="shared" ref="W69:W132" si="39">M69/(2*(V69/1000))</f>
        <v>148.06566704406069</v>
      </c>
      <c r="AE69">
        <f t="shared" si="23"/>
        <v>0.33931312807434016</v>
      </c>
      <c r="AF69">
        <f t="shared" si="24"/>
        <v>0.33141777528917893</v>
      </c>
      <c r="AG69">
        <f t="shared" si="25"/>
        <v>0.33327343177721452</v>
      </c>
      <c r="AI69">
        <f t="shared" si="26"/>
        <v>7.9326923834109622E-2</v>
      </c>
      <c r="AJ69">
        <f t="shared" si="27"/>
        <v>9.6432992648208327</v>
      </c>
      <c r="AL69">
        <f t="shared" si="28"/>
        <v>8.1216726058765246E-2</v>
      </c>
      <c r="AM69">
        <f t="shared" si="29"/>
        <v>10.108236047480501</v>
      </c>
      <c r="AO69">
        <f t="shared" si="30"/>
        <v>8.0764513760160223E-2</v>
      </c>
      <c r="AP69">
        <f t="shared" si="31"/>
        <v>9.9959847147224341</v>
      </c>
    </row>
    <row r="70" spans="1:42" x14ac:dyDescent="0.2">
      <c r="A70" s="2">
        <v>68</v>
      </c>
      <c r="B70" s="3">
        <v>6.4799999999999998E-8</v>
      </c>
      <c r="C70" s="2">
        <v>3.5400000000000002E-3</v>
      </c>
      <c r="D70" s="3">
        <v>90900</v>
      </c>
      <c r="E70" s="3">
        <v>140000000000</v>
      </c>
      <c r="F70" s="3">
        <v>124000000000</v>
      </c>
      <c r="G70" s="2">
        <v>0</v>
      </c>
      <c r="H70" s="3">
        <v>9500000000</v>
      </c>
      <c r="I70" s="2"/>
      <c r="J70" s="7">
        <f t="shared" si="32"/>
        <v>6.4799999999999996E-2</v>
      </c>
      <c r="K70" s="7">
        <f t="shared" si="33"/>
        <v>3.54</v>
      </c>
      <c r="L70" s="7">
        <f t="shared" si="34"/>
        <v>140</v>
      </c>
      <c r="M70" s="7">
        <f t="shared" si="35"/>
        <v>90.9</v>
      </c>
      <c r="O70">
        <f t="shared" si="36"/>
        <v>3.559207920792079E-2</v>
      </c>
      <c r="P70">
        <f t="shared" si="37"/>
        <v>35.59207920792079</v>
      </c>
      <c r="V70">
        <f t="shared" si="38"/>
        <v>311.11435433309373</v>
      </c>
      <c r="W70">
        <f t="shared" si="39"/>
        <v>146.08776280164523</v>
      </c>
      <c r="AE70">
        <f t="shared" si="23"/>
        <v>0.33093952083645412</v>
      </c>
      <c r="AF70">
        <f t="shared" si="24"/>
        <v>0.32323901044835157</v>
      </c>
      <c r="AG70">
        <f t="shared" si="25"/>
        <v>0.32504887283850648</v>
      </c>
      <c r="AI70">
        <f t="shared" si="26"/>
        <v>8.1585904070197279E-2</v>
      </c>
      <c r="AJ70">
        <f t="shared" si="27"/>
        <v>10.288604870670246</v>
      </c>
      <c r="AL70">
        <f t="shared" si="28"/>
        <v>8.3529521893256034E-2</v>
      </c>
      <c r="AM70">
        <f t="shared" si="29"/>
        <v>10.784654066620911</v>
      </c>
      <c r="AO70">
        <f t="shared" si="30"/>
        <v>8.3064432016702813E-2</v>
      </c>
      <c r="AP70">
        <f t="shared" si="31"/>
        <v>10.664891153821241</v>
      </c>
    </row>
    <row r="71" spans="1:42" x14ac:dyDescent="0.2">
      <c r="A71" s="2">
        <v>69</v>
      </c>
      <c r="B71" s="3">
        <v>6.5799999999999994E-8</v>
      </c>
      <c r="C71" s="2">
        <v>3.591E-3</v>
      </c>
      <c r="D71" s="3">
        <v>86700</v>
      </c>
      <c r="E71" s="3">
        <v>134000000000</v>
      </c>
      <c r="F71" s="3">
        <v>119000000000</v>
      </c>
      <c r="G71" s="3">
        <v>8410000000</v>
      </c>
      <c r="H71" s="3">
        <v>9860000000</v>
      </c>
      <c r="I71" s="2"/>
      <c r="J71" s="7">
        <f t="shared" si="32"/>
        <v>6.5799999999999997E-2</v>
      </c>
      <c r="K71" s="7">
        <f t="shared" si="33"/>
        <v>3.5910000000000002</v>
      </c>
      <c r="L71" s="7">
        <f t="shared" si="34"/>
        <v>134</v>
      </c>
      <c r="M71" s="7">
        <f t="shared" si="35"/>
        <v>86.7</v>
      </c>
      <c r="O71">
        <f t="shared" si="36"/>
        <v>3.4735986159169549E-2</v>
      </c>
      <c r="P71">
        <f t="shared" si="37"/>
        <v>34.735986159169549</v>
      </c>
      <c r="V71">
        <f t="shared" si="38"/>
        <v>307.77665625059359</v>
      </c>
      <c r="W71">
        <f t="shared" si="39"/>
        <v>140.84888869773206</v>
      </c>
      <c r="AE71">
        <f t="shared" si="23"/>
        <v>0.3156485858803143</v>
      </c>
      <c r="AF71">
        <f t="shared" si="24"/>
        <v>0.30830387465205805</v>
      </c>
      <c r="AG71">
        <f t="shared" si="25"/>
        <v>0.31003011303738731</v>
      </c>
      <c r="AI71">
        <f t="shared" si="26"/>
        <v>8.6858195769210098E-2</v>
      </c>
      <c r="AJ71">
        <f t="shared" si="27"/>
        <v>11.472503615876608</v>
      </c>
      <c r="AL71">
        <f t="shared" si="28"/>
        <v>8.8927415192586345E-2</v>
      </c>
      <c r="AM71">
        <f t="shared" si="29"/>
        <v>12.025632661625062</v>
      </c>
      <c r="AO71">
        <f t="shared" si="30"/>
        <v>8.8432270007786057E-2</v>
      </c>
      <c r="AP71">
        <f t="shared" si="31"/>
        <v>11.892088758694261</v>
      </c>
    </row>
    <row r="72" spans="1:42" x14ac:dyDescent="0.2">
      <c r="A72" s="2">
        <v>70</v>
      </c>
      <c r="B72" s="3">
        <v>6.6600000000000001E-8</v>
      </c>
      <c r="C72" s="2">
        <v>3.6449999999999998E-3</v>
      </c>
      <c r="D72" s="3">
        <v>82700</v>
      </c>
      <c r="E72" s="3">
        <v>130000000000</v>
      </c>
      <c r="F72" s="3">
        <v>116000000000</v>
      </c>
      <c r="G72" s="3">
        <v>13000000000</v>
      </c>
      <c r="H72" s="3">
        <v>10400000000</v>
      </c>
      <c r="I72" s="2"/>
      <c r="J72" s="7">
        <f t="shared" si="32"/>
        <v>6.6600000000000006E-2</v>
      </c>
      <c r="K72" s="7">
        <f t="shared" si="33"/>
        <v>3.645</v>
      </c>
      <c r="L72" s="7">
        <f t="shared" si="34"/>
        <v>130</v>
      </c>
      <c r="M72" s="7">
        <f t="shared" si="35"/>
        <v>82.7</v>
      </c>
      <c r="O72">
        <f t="shared" si="36"/>
        <v>3.3543772672309562E-2</v>
      </c>
      <c r="P72">
        <f t="shared" si="37"/>
        <v>33.543772672309565</v>
      </c>
      <c r="V72">
        <f t="shared" si="38"/>
        <v>303.05124373145088</v>
      </c>
      <c r="W72">
        <f t="shared" si="39"/>
        <v>136.44557102244511</v>
      </c>
      <c r="AE72">
        <f t="shared" si="23"/>
        <v>0.30108579068399072</v>
      </c>
      <c r="AF72">
        <f t="shared" si="24"/>
        <v>0.29407993579844527</v>
      </c>
      <c r="AG72">
        <f t="shared" si="25"/>
        <v>0.29572653227441675</v>
      </c>
      <c r="AI72">
        <f t="shared" si="26"/>
        <v>9.2166421859228326E-2</v>
      </c>
      <c r="AJ72">
        <f t="shared" si="27"/>
        <v>12.798748544628976</v>
      </c>
      <c r="AL72">
        <f t="shared" si="28"/>
        <v>9.4362098946522935E-2</v>
      </c>
      <c r="AM72">
        <f t="shared" si="29"/>
        <v>13.415820441600795</v>
      </c>
      <c r="AO72">
        <f t="shared" si="30"/>
        <v>9.3836693605326024E-2</v>
      </c>
      <c r="AP72">
        <f t="shared" si="31"/>
        <v>13.266838589817867</v>
      </c>
    </row>
    <row r="73" spans="1:42" x14ac:dyDescent="0.2">
      <c r="A73" s="2">
        <v>71</v>
      </c>
      <c r="B73" s="3">
        <v>6.7000000000000004E-8</v>
      </c>
      <c r="C73" s="2">
        <v>3.6949999999999999E-3</v>
      </c>
      <c r="D73" s="3">
        <v>91200</v>
      </c>
      <c r="E73" s="3">
        <v>138000000000</v>
      </c>
      <c r="F73" s="3">
        <v>123000000000</v>
      </c>
      <c r="G73" s="2">
        <v>0</v>
      </c>
      <c r="H73" s="3">
        <v>9650000000</v>
      </c>
      <c r="I73" s="2"/>
      <c r="J73" s="7">
        <f t="shared" si="32"/>
        <v>6.7000000000000004E-2</v>
      </c>
      <c r="K73" s="7">
        <f t="shared" si="33"/>
        <v>3.6949999999999998</v>
      </c>
      <c r="L73" s="7">
        <f t="shared" si="34"/>
        <v>138</v>
      </c>
      <c r="M73" s="7">
        <f t="shared" si="35"/>
        <v>91.2</v>
      </c>
      <c r="O73">
        <f t="shared" si="36"/>
        <v>3.6613486842105275E-2</v>
      </c>
      <c r="P73">
        <f t="shared" si="37"/>
        <v>36.613486842105274</v>
      </c>
      <c r="V73">
        <f t="shared" si="38"/>
        <v>315.03859351105916</v>
      </c>
      <c r="W73">
        <f t="shared" si="39"/>
        <v>144.74417083886343</v>
      </c>
      <c r="AE73">
        <f t="shared" si="23"/>
        <v>0.3320317304761784</v>
      </c>
      <c r="AF73">
        <f t="shared" si="24"/>
        <v>0.32430580586237251</v>
      </c>
      <c r="AG73">
        <f t="shared" si="25"/>
        <v>0.32612164139572924</v>
      </c>
      <c r="AI73">
        <f t="shared" si="26"/>
        <v>8.407830970440805E-2</v>
      </c>
      <c r="AJ73">
        <f t="shared" si="27"/>
        <v>10.668558897434519</v>
      </c>
      <c r="AL73">
        <f t="shared" si="28"/>
        <v>8.608130401006088E-2</v>
      </c>
      <c r="AM73">
        <f t="shared" si="29"/>
        <v>11.182926990052307</v>
      </c>
      <c r="AO73">
        <f t="shared" si="30"/>
        <v>8.5602005887096141E-2</v>
      </c>
      <c r="AP73">
        <f t="shared" si="31"/>
        <v>11.058741281203291</v>
      </c>
    </row>
    <row r="74" spans="1:42" x14ac:dyDescent="0.2">
      <c r="A74" s="2">
        <v>72</v>
      </c>
      <c r="B74" s="3">
        <v>6.8E-8</v>
      </c>
      <c r="C74" s="2">
        <v>3.7469999999999999E-3</v>
      </c>
      <c r="D74" s="3">
        <v>80800</v>
      </c>
      <c r="E74" s="3">
        <v>127000000000</v>
      </c>
      <c r="F74" s="3">
        <v>114000000000</v>
      </c>
      <c r="G74" s="3">
        <v>9170000000</v>
      </c>
      <c r="H74" s="3">
        <v>10800000000</v>
      </c>
      <c r="I74" s="2"/>
      <c r="J74" s="7">
        <f t="shared" si="32"/>
        <v>6.8000000000000005E-2</v>
      </c>
      <c r="K74" s="7">
        <f t="shared" si="33"/>
        <v>3.7469999999999999</v>
      </c>
      <c r="L74" s="7">
        <f t="shared" si="34"/>
        <v>127.00000000000001</v>
      </c>
      <c r="M74" s="7">
        <f t="shared" si="35"/>
        <v>80.8</v>
      </c>
      <c r="O74">
        <f t="shared" si="36"/>
        <v>3.3219678217821791E-2</v>
      </c>
      <c r="P74">
        <f t="shared" si="37"/>
        <v>33.219678217821794</v>
      </c>
      <c r="V74">
        <f t="shared" si="38"/>
        <v>301.75055920056036</v>
      </c>
      <c r="W74">
        <f t="shared" si="39"/>
        <v>133.88541882750212</v>
      </c>
      <c r="AE74">
        <f t="shared" si="23"/>
        <v>0.29416846296573695</v>
      </c>
      <c r="AF74">
        <f t="shared" si="24"/>
        <v>0.28732356484297911</v>
      </c>
      <c r="AG74">
        <f t="shared" si="25"/>
        <v>0.28893233141200569</v>
      </c>
      <c r="AI74">
        <f t="shared" si="26"/>
        <v>9.6316692305094043E-2</v>
      </c>
      <c r="AJ74">
        <f t="shared" si="27"/>
        <v>13.782943143019576</v>
      </c>
      <c r="AL74">
        <f t="shared" si="28"/>
        <v>9.8611241123982868E-2</v>
      </c>
      <c r="AM74">
        <f t="shared" si="29"/>
        <v>14.447466462737973</v>
      </c>
      <c r="AO74">
        <f t="shared" si="30"/>
        <v>9.8062176686385297E-2</v>
      </c>
      <c r="AP74">
        <f t="shared" si="31"/>
        <v>14.287028246040007</v>
      </c>
    </row>
    <row r="75" spans="1:42" x14ac:dyDescent="0.2">
      <c r="A75" s="2">
        <v>73</v>
      </c>
      <c r="B75" s="3">
        <v>6.87E-8</v>
      </c>
      <c r="C75" s="2">
        <v>3.7989999999999999E-3</v>
      </c>
      <c r="D75" s="3">
        <v>80600</v>
      </c>
      <c r="E75" s="3">
        <v>127000000000</v>
      </c>
      <c r="F75" s="3">
        <v>114000000000</v>
      </c>
      <c r="G75" s="3">
        <v>6790000000</v>
      </c>
      <c r="H75" s="3">
        <v>10900000000</v>
      </c>
      <c r="I75" s="2"/>
      <c r="J75" s="7">
        <f t="shared" si="32"/>
        <v>6.8699999999999997E-2</v>
      </c>
      <c r="K75" s="7">
        <f t="shared" si="33"/>
        <v>3.7989999999999999</v>
      </c>
      <c r="L75" s="7">
        <f t="shared" si="34"/>
        <v>127.00000000000001</v>
      </c>
      <c r="M75" s="7">
        <f t="shared" si="35"/>
        <v>80.600000000000009</v>
      </c>
      <c r="O75">
        <f t="shared" si="36"/>
        <v>3.3349503722084367E-2</v>
      </c>
      <c r="P75">
        <f t="shared" si="37"/>
        <v>33.349503722084364</v>
      </c>
      <c r="V75">
        <f t="shared" si="38"/>
        <v>302.27243125620305</v>
      </c>
      <c r="W75">
        <f t="shared" si="39"/>
        <v>133.3234388346919</v>
      </c>
      <c r="AE75">
        <f t="shared" si="23"/>
        <v>0.29344032320592084</v>
      </c>
      <c r="AF75">
        <f t="shared" si="24"/>
        <v>0.28661236790029854</v>
      </c>
      <c r="AG75">
        <f t="shared" si="25"/>
        <v>0.2882171523738572</v>
      </c>
      <c r="AI75">
        <f t="shared" si="26"/>
        <v>9.7549647189805258E-2</v>
      </c>
      <c r="AJ75">
        <f t="shared" si="27"/>
        <v>14.043656651818681</v>
      </c>
      <c r="AL75">
        <f t="shared" si="28"/>
        <v>9.9873568645012345E-2</v>
      </c>
      <c r="AM75">
        <f t="shared" si="29"/>
        <v>14.720749870764324</v>
      </c>
      <c r="AO75">
        <f t="shared" si="30"/>
        <v>9.9317475605578964E-2</v>
      </c>
      <c r="AP75">
        <f t="shared" si="31"/>
        <v>14.557276858813511</v>
      </c>
    </row>
    <row r="76" spans="1:42" x14ac:dyDescent="0.2">
      <c r="A76" s="2">
        <v>74</v>
      </c>
      <c r="B76" s="3">
        <v>6.8900000000000002E-8</v>
      </c>
      <c r="C76" s="2">
        <v>3.852E-3</v>
      </c>
      <c r="D76" s="3">
        <v>94700</v>
      </c>
      <c r="E76" s="3">
        <v>141000000000</v>
      </c>
      <c r="F76" s="3">
        <v>124000000000</v>
      </c>
      <c r="G76" s="3">
        <v>9250000000</v>
      </c>
      <c r="H76" s="3">
        <v>9640000000</v>
      </c>
      <c r="I76" s="2"/>
      <c r="J76" s="7">
        <f t="shared" si="32"/>
        <v>6.8900000000000003E-2</v>
      </c>
      <c r="K76" s="7">
        <f t="shared" si="33"/>
        <v>3.8519999999999999</v>
      </c>
      <c r="L76" s="7">
        <f t="shared" si="34"/>
        <v>141</v>
      </c>
      <c r="M76" s="7">
        <f t="shared" si="35"/>
        <v>94.7</v>
      </c>
      <c r="O76">
        <f t="shared" si="36"/>
        <v>3.839313621964098E-2</v>
      </c>
      <c r="P76">
        <f t="shared" si="37"/>
        <v>38.393136219640979</v>
      </c>
      <c r="V76">
        <f t="shared" si="38"/>
        <v>321.73292652050088</v>
      </c>
      <c r="W76">
        <f t="shared" si="39"/>
        <v>147.17175674894079</v>
      </c>
      <c r="AE76">
        <f t="shared" si="23"/>
        <v>0.34477417627296153</v>
      </c>
      <c r="AF76">
        <f t="shared" si="24"/>
        <v>0.33675175235928373</v>
      </c>
      <c r="AG76">
        <f t="shared" si="25"/>
        <v>0.33863727456332848</v>
      </c>
      <c r="AI76">
        <f t="shared" si="26"/>
        <v>8.3267063802959049E-2</v>
      </c>
      <c r="AJ76">
        <f t="shared" si="27"/>
        <v>10.314954426596524</v>
      </c>
      <c r="AL76">
        <f t="shared" si="28"/>
        <v>8.5250731829018475E-2</v>
      </c>
      <c r="AM76">
        <f t="shared" si="29"/>
        <v>10.812274025696617</v>
      </c>
      <c r="AO76">
        <f t="shared" si="30"/>
        <v>8.4776058307085733E-2</v>
      </c>
      <c r="AP76">
        <f t="shared" si="31"/>
        <v>10.692204394968869</v>
      </c>
    </row>
    <row r="77" spans="1:42" x14ac:dyDescent="0.2">
      <c r="A77" s="2">
        <v>75</v>
      </c>
      <c r="B77" s="3">
        <v>6.9699999999999995E-8</v>
      </c>
      <c r="C77" s="2">
        <v>3.9039999999999999E-3</v>
      </c>
      <c r="D77" s="3">
        <v>89700</v>
      </c>
      <c r="E77" s="3">
        <v>135000000000</v>
      </c>
      <c r="F77" s="3">
        <v>120000000000</v>
      </c>
      <c r="G77" s="3">
        <v>10100000000</v>
      </c>
      <c r="H77" s="3">
        <v>10100000000</v>
      </c>
      <c r="I77" s="2"/>
      <c r="J77" s="7">
        <f t="shared" si="32"/>
        <v>6.9699999999999998E-2</v>
      </c>
      <c r="K77" s="7">
        <f t="shared" si="33"/>
        <v>3.9039999999999999</v>
      </c>
      <c r="L77" s="7">
        <f t="shared" si="34"/>
        <v>135</v>
      </c>
      <c r="M77" s="7">
        <f t="shared" si="35"/>
        <v>89.7</v>
      </c>
      <c r="O77">
        <f t="shared" si="36"/>
        <v>3.7057859531772576E-2</v>
      </c>
      <c r="P77">
        <f t="shared" si="37"/>
        <v>37.057859531772579</v>
      </c>
      <c r="V77">
        <f t="shared" si="38"/>
        <v>316.72682567331111</v>
      </c>
      <c r="W77">
        <f t="shared" si="39"/>
        <v>141.60467748399901</v>
      </c>
      <c r="AE77">
        <f t="shared" ref="AE77:AE140" si="40">M77/(2*$Y$5)</f>
        <v>0.32657068227755703</v>
      </c>
      <c r="AF77">
        <f t="shared" ref="AF77:AF140" si="41">M77/(2*$Y$8)</f>
        <v>0.31897182879226771</v>
      </c>
      <c r="AG77">
        <f t="shared" ref="AG77:AG140" si="42">M77/(2*$Y$11)</f>
        <v>0.32075779860961529</v>
      </c>
      <c r="AI77">
        <f t="shared" ref="AI77:AI140" si="43">J77/(2.4*AE77)</f>
        <v>8.8929191267646451E-2</v>
      </c>
      <c r="AJ77">
        <f t="shared" ref="AJ77:AJ140" si="44">K77/(3.14159*(AE77^2))</f>
        <v>11.652145955238076</v>
      </c>
      <c r="AL77">
        <f t="shared" ref="AL77:AL140" si="45">J77/(2.4*AF77)</f>
        <v>9.1047747936323947E-2</v>
      </c>
      <c r="AM77">
        <f t="shared" ref="AM77:AM140" si="46">K77/(3.14159*(AF77^2))</f>
        <v>12.213936178971213</v>
      </c>
      <c r="AO77">
        <f t="shared" ref="AO77:AO140" si="47">J77/(2.4*AG77)</f>
        <v>9.0540796802301315E-2</v>
      </c>
      <c r="AP77">
        <f t="shared" ref="AP77:AP140" si="48">K77/(3.14159*(AG77^2))</f>
        <v>12.078301177189351</v>
      </c>
    </row>
    <row r="78" spans="1:42" x14ac:dyDescent="0.2">
      <c r="A78" s="2">
        <v>76</v>
      </c>
      <c r="B78" s="3">
        <v>7.0500000000000003E-8</v>
      </c>
      <c r="C78" s="2">
        <v>3.9550000000000002E-3</v>
      </c>
      <c r="D78" s="3">
        <v>87000</v>
      </c>
      <c r="E78" s="3">
        <v>131000000000</v>
      </c>
      <c r="F78" s="3">
        <v>117000000000</v>
      </c>
      <c r="G78" s="3">
        <v>10500000000</v>
      </c>
      <c r="H78" s="3">
        <v>10400000000</v>
      </c>
      <c r="I78" s="2"/>
      <c r="J78" s="7">
        <f t="shared" ref="J78:J141" si="49">B78*(10^6)</f>
        <v>7.0500000000000007E-2</v>
      </c>
      <c r="K78" s="7">
        <f t="shared" ref="K78:K141" si="50">C78*1000</f>
        <v>3.9550000000000001</v>
      </c>
      <c r="L78" s="7">
        <f t="shared" ref="L78:L141" si="51">E78*(10^-9)</f>
        <v>131</v>
      </c>
      <c r="M78" s="7">
        <f t="shared" ref="M78:M141" si="52">D78*(10^-3)</f>
        <v>87</v>
      </c>
      <c r="O78">
        <f t="shared" ref="O78:O141" si="53">J78-(0.75*(K78/M78))</f>
        <v>3.640517241379311E-2</v>
      </c>
      <c r="P78">
        <f t="shared" ref="P78:P141" si="54">O78*1000</f>
        <v>36.40517241379311</v>
      </c>
      <c r="V78">
        <f t="shared" si="38"/>
        <v>314.24324956871703</v>
      </c>
      <c r="W78">
        <f t="shared" si="39"/>
        <v>138.42779458175013</v>
      </c>
      <c r="AE78">
        <f t="shared" si="40"/>
        <v>0.31674079552003859</v>
      </c>
      <c r="AF78">
        <f t="shared" si="41"/>
        <v>0.30937067006607905</v>
      </c>
      <c r="AG78">
        <f t="shared" si="42"/>
        <v>0.31110288159461014</v>
      </c>
      <c r="AI78">
        <f t="shared" si="43"/>
        <v>9.2741447945696012E-2</v>
      </c>
      <c r="AJ78">
        <f t="shared" si="44"/>
        <v>12.548417960457845</v>
      </c>
      <c r="AL78">
        <f t="shared" si="45"/>
        <v>9.4950823857108832E-2</v>
      </c>
      <c r="AM78">
        <f t="shared" si="46"/>
        <v>13.153420554879819</v>
      </c>
      <c r="AO78">
        <f t="shared" si="47"/>
        <v>9.442214051323955E-2</v>
      </c>
      <c r="AP78">
        <f t="shared" si="48"/>
        <v>13.007352637522402</v>
      </c>
    </row>
    <row r="79" spans="1:42" x14ac:dyDescent="0.2">
      <c r="A79" s="2">
        <v>77</v>
      </c>
      <c r="B79" s="3">
        <v>7.1E-8</v>
      </c>
      <c r="C79" s="2">
        <v>4.0099999999999997E-3</v>
      </c>
      <c r="D79" s="3">
        <v>108000</v>
      </c>
      <c r="E79" s="3">
        <v>155000000000</v>
      </c>
      <c r="F79" s="3">
        <v>135000000000</v>
      </c>
      <c r="G79" s="3">
        <v>20600000000</v>
      </c>
      <c r="H79" s="3">
        <v>9080000000</v>
      </c>
      <c r="I79" s="2"/>
      <c r="J79" s="7">
        <f t="shared" si="49"/>
        <v>7.0999999999999994E-2</v>
      </c>
      <c r="K79" s="7">
        <f t="shared" si="50"/>
        <v>4.01</v>
      </c>
      <c r="L79" s="7">
        <f t="shared" si="51"/>
        <v>155</v>
      </c>
      <c r="M79" s="7">
        <f t="shared" si="52"/>
        <v>108</v>
      </c>
      <c r="O79">
        <f t="shared" si="53"/>
        <v>4.3152777777777769E-2</v>
      </c>
      <c r="P79">
        <f t="shared" si="54"/>
        <v>43.152777777777771</v>
      </c>
      <c r="V79">
        <f t="shared" si="38"/>
        <v>338.82938185942083</v>
      </c>
      <c r="W79">
        <f t="shared" si="39"/>
        <v>159.3722471872419</v>
      </c>
      <c r="AE79">
        <f t="shared" si="40"/>
        <v>0.39319547030073754</v>
      </c>
      <c r="AF79">
        <f t="shared" si="41"/>
        <v>0.38404634904754636</v>
      </c>
      <c r="AG79">
        <f t="shared" si="42"/>
        <v>0.38619668060020568</v>
      </c>
      <c r="AI79">
        <f t="shared" si="43"/>
        <v>7.5238235350743921E-2</v>
      </c>
      <c r="AJ79">
        <f t="shared" si="44"/>
        <v>8.2561553226162481</v>
      </c>
      <c r="AL79">
        <f t="shared" si="45"/>
        <v>7.703063290850555E-2</v>
      </c>
      <c r="AM79">
        <f t="shared" si="46"/>
        <v>8.6542131021605435</v>
      </c>
      <c r="AO79">
        <f t="shared" si="47"/>
        <v>7.660172865120575E-2</v>
      </c>
      <c r="AP79">
        <f t="shared" si="48"/>
        <v>8.5581086037963594</v>
      </c>
    </row>
    <row r="80" spans="1:42" x14ac:dyDescent="0.2">
      <c r="A80" s="2">
        <v>78</v>
      </c>
      <c r="B80" s="3">
        <v>7.1799999999999994E-8</v>
      </c>
      <c r="C80" s="2">
        <v>4.0610000000000004E-3</v>
      </c>
      <c r="D80" s="3">
        <v>98300</v>
      </c>
      <c r="E80" s="3">
        <v>143000000000</v>
      </c>
      <c r="F80" s="3">
        <v>126000000000</v>
      </c>
      <c r="G80" s="2">
        <v>0</v>
      </c>
      <c r="H80" s="3">
        <v>9640000000</v>
      </c>
      <c r="I80" s="2"/>
      <c r="J80" s="7">
        <f t="shared" si="49"/>
        <v>7.1799999999999989E-2</v>
      </c>
      <c r="K80" s="7">
        <f t="shared" si="50"/>
        <v>4.0609999999999999</v>
      </c>
      <c r="L80" s="7">
        <f t="shared" si="51"/>
        <v>143</v>
      </c>
      <c r="M80" s="7">
        <f t="shared" si="52"/>
        <v>98.3</v>
      </c>
      <c r="O80">
        <f t="shared" si="53"/>
        <v>4.0815768056968453E-2</v>
      </c>
      <c r="P80">
        <f t="shared" si="54"/>
        <v>40.815768056968452</v>
      </c>
      <c r="V80">
        <f t="shared" si="38"/>
        <v>330.57384770561646</v>
      </c>
      <c r="W80">
        <f t="shared" si="39"/>
        <v>148.68084798943076</v>
      </c>
      <c r="AE80">
        <f t="shared" si="40"/>
        <v>0.35788069194965277</v>
      </c>
      <c r="AF80">
        <f t="shared" si="41"/>
        <v>0.34955329732753526</v>
      </c>
      <c r="AG80">
        <f t="shared" si="42"/>
        <v>0.351510497250002</v>
      </c>
      <c r="AI80">
        <f t="shared" si="43"/>
        <v>8.359396675938971E-2</v>
      </c>
      <c r="AJ80">
        <f t="shared" si="44"/>
        <v>10.092690300388373</v>
      </c>
      <c r="AL80">
        <f t="shared" si="45"/>
        <v>8.5585422581880025E-2</v>
      </c>
      <c r="AM80">
        <f t="shared" si="46"/>
        <v>10.579293777868466</v>
      </c>
      <c r="AO80">
        <f t="shared" si="47"/>
        <v>8.5108885511857912E-2</v>
      </c>
      <c r="AP80">
        <f t="shared" si="48"/>
        <v>10.461811378305699</v>
      </c>
    </row>
    <row r="81" spans="1:42" x14ac:dyDescent="0.2">
      <c r="A81" s="2">
        <v>79</v>
      </c>
      <c r="B81" s="3">
        <v>7.2300000000000006E-8</v>
      </c>
      <c r="C81" s="2">
        <v>4.1120000000000002E-3</v>
      </c>
      <c r="D81" s="3">
        <v>94000</v>
      </c>
      <c r="E81" s="3">
        <v>138000000000</v>
      </c>
      <c r="F81" s="3">
        <v>122000000000</v>
      </c>
      <c r="G81" s="2">
        <v>0</v>
      </c>
      <c r="H81" s="3">
        <v>10000000000</v>
      </c>
      <c r="I81" s="2"/>
      <c r="J81" s="7">
        <f t="shared" si="49"/>
        <v>7.2300000000000003E-2</v>
      </c>
      <c r="K81" s="7">
        <f t="shared" si="50"/>
        <v>4.1120000000000001</v>
      </c>
      <c r="L81" s="7">
        <f t="shared" si="51"/>
        <v>138</v>
      </c>
      <c r="M81" s="7">
        <f t="shared" si="52"/>
        <v>94</v>
      </c>
      <c r="O81">
        <f t="shared" si="53"/>
        <v>3.9491489361702131E-2</v>
      </c>
      <c r="P81">
        <f t="shared" si="54"/>
        <v>39.491489361702129</v>
      </c>
      <c r="V81">
        <f t="shared" si="38"/>
        <v>325.77853822233732</v>
      </c>
      <c r="W81">
        <f t="shared" si="39"/>
        <v>144.26978602231753</v>
      </c>
      <c r="AE81">
        <f t="shared" si="40"/>
        <v>0.3422256871136049</v>
      </c>
      <c r="AF81">
        <f t="shared" si="41"/>
        <v>0.33426256305990149</v>
      </c>
      <c r="AG81">
        <f t="shared" si="42"/>
        <v>0.33613414792980861</v>
      </c>
      <c r="AI81">
        <f t="shared" si="43"/>
        <v>8.8026706160136178E-2</v>
      </c>
      <c r="AJ81">
        <f t="shared" si="44"/>
        <v>11.175794100321829</v>
      </c>
      <c r="AL81">
        <f t="shared" si="45"/>
        <v>9.012376296115894E-2</v>
      </c>
      <c r="AM81">
        <f t="shared" si="46"/>
        <v>11.714617754963134</v>
      </c>
      <c r="AO81">
        <f t="shared" si="47"/>
        <v>8.9621956547808676E-2</v>
      </c>
      <c r="AP81">
        <f t="shared" si="48"/>
        <v>11.584527653231319</v>
      </c>
    </row>
    <row r="82" spans="1:42" x14ac:dyDescent="0.2">
      <c r="A82" s="2">
        <v>80</v>
      </c>
      <c r="B82" s="3">
        <v>7.2899999999999998E-8</v>
      </c>
      <c r="C82" s="2">
        <v>4.1640000000000002E-3</v>
      </c>
      <c r="D82" s="3">
        <v>94500</v>
      </c>
      <c r="E82" s="3">
        <v>138000000000</v>
      </c>
      <c r="F82" s="3">
        <v>122000000000</v>
      </c>
      <c r="G82" s="3">
        <v>9380000000</v>
      </c>
      <c r="H82" s="3">
        <v>10100000000</v>
      </c>
      <c r="I82" s="2"/>
      <c r="J82" s="7">
        <f t="shared" si="49"/>
        <v>7.2899999999999993E-2</v>
      </c>
      <c r="K82" s="7">
        <f t="shared" si="50"/>
        <v>4.1640000000000006</v>
      </c>
      <c r="L82" s="7">
        <f t="shared" si="51"/>
        <v>138</v>
      </c>
      <c r="M82" s="7">
        <f t="shared" si="52"/>
        <v>94.5</v>
      </c>
      <c r="O82">
        <f t="shared" si="53"/>
        <v>3.9852380952380945E-2</v>
      </c>
      <c r="P82">
        <f t="shared" si="54"/>
        <v>39.852380952380948</v>
      </c>
      <c r="V82">
        <f t="shared" si="38"/>
        <v>327.0941192502296</v>
      </c>
      <c r="W82">
        <f t="shared" si="39"/>
        <v>144.4538352089827</v>
      </c>
      <c r="AE82">
        <f t="shared" si="40"/>
        <v>0.34404603651314536</v>
      </c>
      <c r="AF82">
        <f t="shared" si="41"/>
        <v>0.3360405554166031</v>
      </c>
      <c r="AG82">
        <f t="shared" si="42"/>
        <v>0.33792209552517993</v>
      </c>
      <c r="AI82">
        <f t="shared" si="43"/>
        <v>8.828760333310634E-2</v>
      </c>
      <c r="AJ82">
        <f t="shared" si="44"/>
        <v>11.197681148434727</v>
      </c>
      <c r="AL82">
        <f t="shared" si="45"/>
        <v>9.0390875477344923E-2</v>
      </c>
      <c r="AM82">
        <f t="shared" si="46"/>
        <v>11.737560053302337</v>
      </c>
      <c r="AO82">
        <f t="shared" si="47"/>
        <v>8.9887581789503415E-2</v>
      </c>
      <c r="AP82">
        <f t="shared" si="48"/>
        <v>11.607215178774062</v>
      </c>
    </row>
    <row r="83" spans="1:42" x14ac:dyDescent="0.2">
      <c r="A83" s="2">
        <v>81</v>
      </c>
      <c r="B83" s="3">
        <v>7.3799999999999999E-8</v>
      </c>
      <c r="C83" s="2">
        <v>4.2160000000000001E-3</v>
      </c>
      <c r="D83" s="3">
        <v>82400</v>
      </c>
      <c r="E83" s="3">
        <v>126000000000</v>
      </c>
      <c r="F83" s="3">
        <v>113000000000</v>
      </c>
      <c r="G83" s="3">
        <v>17700000000</v>
      </c>
      <c r="H83" s="3">
        <v>11400000000</v>
      </c>
      <c r="I83" s="2"/>
      <c r="J83" s="7">
        <f t="shared" si="49"/>
        <v>7.3800000000000004E-2</v>
      </c>
      <c r="K83" s="7">
        <f t="shared" si="50"/>
        <v>4.2160000000000002</v>
      </c>
      <c r="L83" s="7">
        <f t="shared" si="51"/>
        <v>126.00000000000001</v>
      </c>
      <c r="M83" s="7">
        <f t="shared" si="52"/>
        <v>82.4</v>
      </c>
      <c r="O83">
        <f t="shared" si="53"/>
        <v>3.5426213592233011E-2</v>
      </c>
      <c r="P83">
        <f t="shared" si="54"/>
        <v>35.426213592233012</v>
      </c>
      <c r="V83">
        <f t="shared" si="38"/>
        <v>310.47120618768042</v>
      </c>
      <c r="W83">
        <f t="shared" si="39"/>
        <v>132.70151685207975</v>
      </c>
      <c r="AE83">
        <f t="shared" si="40"/>
        <v>0.29999358104426643</v>
      </c>
      <c r="AF83">
        <f t="shared" si="41"/>
        <v>0.29301314038442428</v>
      </c>
      <c r="AG83">
        <f t="shared" si="42"/>
        <v>0.29465376371719398</v>
      </c>
      <c r="AI83">
        <f t="shared" si="43"/>
        <v>0.10250219319013561</v>
      </c>
      <c r="AJ83">
        <f t="shared" si="44"/>
        <v>14.911700484431666</v>
      </c>
      <c r="AL83">
        <f t="shared" si="45"/>
        <v>0.10494409895630259</v>
      </c>
      <c r="AM83">
        <f t="shared" si="46"/>
        <v>15.630645096314469</v>
      </c>
      <c r="AO83">
        <f t="shared" si="47"/>
        <v>0.10435977335593641</v>
      </c>
      <c r="AP83">
        <f t="shared" si="48"/>
        <v>15.457067754462917</v>
      </c>
    </row>
    <row r="84" spans="1:42" x14ac:dyDescent="0.2">
      <c r="A84" s="2">
        <v>82</v>
      </c>
      <c r="B84" s="3">
        <v>7.3900000000000007E-8</v>
      </c>
      <c r="C84" s="2">
        <v>4.2680000000000001E-3</v>
      </c>
      <c r="D84" s="3">
        <v>94900</v>
      </c>
      <c r="E84" s="3">
        <v>138000000000</v>
      </c>
      <c r="F84" s="3">
        <v>122000000000</v>
      </c>
      <c r="G84" s="2">
        <v>0</v>
      </c>
      <c r="H84" s="3">
        <v>10300000000</v>
      </c>
      <c r="I84" s="2"/>
      <c r="J84" s="7">
        <f t="shared" si="49"/>
        <v>7.3900000000000007E-2</v>
      </c>
      <c r="K84" s="7">
        <f t="shared" si="50"/>
        <v>4.2679999999999998</v>
      </c>
      <c r="L84" s="7">
        <f t="shared" si="51"/>
        <v>138</v>
      </c>
      <c r="M84" s="7">
        <f t="shared" si="52"/>
        <v>94.9</v>
      </c>
      <c r="O84">
        <f t="shared" si="53"/>
        <v>4.0169757639620662E-2</v>
      </c>
      <c r="P84">
        <f t="shared" si="54"/>
        <v>40.169757639620663</v>
      </c>
      <c r="V84">
        <f t="shared" si="38"/>
        <v>328.24559957715809</v>
      </c>
      <c r="W84">
        <f t="shared" si="39"/>
        <v>144.5563933259867</v>
      </c>
      <c r="AE84">
        <f t="shared" si="40"/>
        <v>0.34550231603277776</v>
      </c>
      <c r="AF84">
        <f t="shared" si="41"/>
        <v>0.33746294930196435</v>
      </c>
      <c r="AG84">
        <f t="shared" si="42"/>
        <v>0.33935245360147703</v>
      </c>
      <c r="AI84">
        <f t="shared" si="43"/>
        <v>8.9121447926113082E-2</v>
      </c>
      <c r="AJ84">
        <f t="shared" si="44"/>
        <v>11.380804916554641</v>
      </c>
      <c r="AL84">
        <f t="shared" si="45"/>
        <v>9.1244584717696101E-2</v>
      </c>
      <c r="AM84">
        <f t="shared" si="46"/>
        <v>11.929512851118428</v>
      </c>
      <c r="AO84">
        <f t="shared" si="47"/>
        <v>9.0736537602369202E-2</v>
      </c>
      <c r="AP84">
        <f t="shared" si="48"/>
        <v>11.797036352706387</v>
      </c>
    </row>
    <row r="85" spans="1:42" x14ac:dyDescent="0.2">
      <c r="A85" s="2">
        <v>83</v>
      </c>
      <c r="B85" s="3">
        <v>7.4799999999999995E-8</v>
      </c>
      <c r="C85" s="2">
        <v>4.3189999999999999E-3</v>
      </c>
      <c r="D85" s="3">
        <v>78000</v>
      </c>
      <c r="E85" s="3">
        <v>122000000000</v>
      </c>
      <c r="F85" s="3">
        <v>110000000000</v>
      </c>
      <c r="G85" s="3">
        <v>4040000000</v>
      </c>
      <c r="H85" s="3">
        <v>12400000000</v>
      </c>
      <c r="I85" s="2"/>
      <c r="J85" s="7">
        <f t="shared" si="49"/>
        <v>7.4799999999999991E-2</v>
      </c>
      <c r="K85" s="7">
        <f t="shared" si="50"/>
        <v>4.319</v>
      </c>
      <c r="L85" s="7">
        <f t="shared" si="51"/>
        <v>122.00000000000001</v>
      </c>
      <c r="M85" s="7">
        <f t="shared" si="52"/>
        <v>78</v>
      </c>
      <c r="O85">
        <f t="shared" si="53"/>
        <v>3.3271153846153839E-2</v>
      </c>
      <c r="P85">
        <f t="shared" si="54"/>
        <v>33.271153846153837</v>
      </c>
      <c r="V85">
        <f t="shared" si="38"/>
        <v>301.95761640612722</v>
      </c>
      <c r="W85">
        <f t="shared" si="39"/>
        <v>129.15719915985079</v>
      </c>
      <c r="AE85">
        <f t="shared" si="40"/>
        <v>0.28397450632831045</v>
      </c>
      <c r="AF85">
        <f t="shared" si="41"/>
        <v>0.27736680764545019</v>
      </c>
      <c r="AG85">
        <f t="shared" si="42"/>
        <v>0.27891982487792633</v>
      </c>
      <c r="AI85">
        <f t="shared" si="43"/>
        <v>0.10975163605226611</v>
      </c>
      <c r="AJ85">
        <f t="shared" si="44"/>
        <v>17.048061042120999</v>
      </c>
      <c r="AL85">
        <f t="shared" si="45"/>
        <v>0.11236624501409734</v>
      </c>
      <c r="AM85">
        <f t="shared" si="46"/>
        <v>17.870006979278088</v>
      </c>
      <c r="AO85">
        <f t="shared" si="47"/>
        <v>0.1117405931267426</v>
      </c>
      <c r="AP85">
        <f t="shared" si="48"/>
        <v>17.671561662963978</v>
      </c>
    </row>
    <row r="86" spans="1:42" x14ac:dyDescent="0.2">
      <c r="A86" s="2">
        <v>84</v>
      </c>
      <c r="B86" s="3">
        <v>7.5100000000000004E-8</v>
      </c>
      <c r="C86" s="2">
        <v>4.3730000000000002E-3</v>
      </c>
      <c r="D86" s="3">
        <v>87300</v>
      </c>
      <c r="E86" s="3">
        <v>130000000000</v>
      </c>
      <c r="F86" s="3">
        <v>116000000000</v>
      </c>
      <c r="G86" s="3">
        <v>14500000000</v>
      </c>
      <c r="H86" s="3">
        <v>11200000000</v>
      </c>
      <c r="I86" s="2"/>
      <c r="J86" s="7">
        <f t="shared" si="49"/>
        <v>7.51E-2</v>
      </c>
      <c r="K86" s="7">
        <f t="shared" si="50"/>
        <v>4.3730000000000002</v>
      </c>
      <c r="L86" s="7">
        <f t="shared" si="51"/>
        <v>130</v>
      </c>
      <c r="M86" s="7">
        <f t="shared" si="52"/>
        <v>87.3</v>
      </c>
      <c r="O86">
        <f t="shared" si="53"/>
        <v>3.7531271477663226E-2</v>
      </c>
      <c r="P86">
        <f t="shared" si="54"/>
        <v>37.531271477663225</v>
      </c>
      <c r="V86">
        <f t="shared" si="38"/>
        <v>318.5130229321021</v>
      </c>
      <c r="W86">
        <f t="shared" si="39"/>
        <v>137.04306215857596</v>
      </c>
      <c r="AE86">
        <f t="shared" si="40"/>
        <v>0.31783300515976282</v>
      </c>
      <c r="AF86">
        <f t="shared" si="41"/>
        <v>0.31043746548009998</v>
      </c>
      <c r="AG86">
        <f t="shared" si="42"/>
        <v>0.31217565015183291</v>
      </c>
      <c r="AI86">
        <f t="shared" si="43"/>
        <v>9.8453169301713994E-2</v>
      </c>
      <c r="AJ86">
        <f t="shared" si="44"/>
        <v>13.779453164610324</v>
      </c>
      <c r="AL86">
        <f t="shared" si="45"/>
        <v>0.10079861532909135</v>
      </c>
      <c r="AM86">
        <f t="shared" si="46"/>
        <v>14.443808220409018</v>
      </c>
      <c r="AO86">
        <f t="shared" si="47"/>
        <v>0.10023737165742215</v>
      </c>
      <c r="AP86">
        <f t="shared" si="48"/>
        <v>14.28341062826464</v>
      </c>
    </row>
    <row r="87" spans="1:42" x14ac:dyDescent="0.2">
      <c r="A87" s="2">
        <v>85</v>
      </c>
      <c r="B87" s="3">
        <v>7.6000000000000006E-8</v>
      </c>
      <c r="C87" s="2">
        <v>4.424E-3</v>
      </c>
      <c r="D87" s="3">
        <v>90600</v>
      </c>
      <c r="E87" s="3">
        <v>132000000000</v>
      </c>
      <c r="F87" s="3">
        <v>118000000000</v>
      </c>
      <c r="G87" s="3">
        <v>1840000000</v>
      </c>
      <c r="H87" s="3">
        <v>10800000000</v>
      </c>
      <c r="I87" s="2"/>
      <c r="J87" s="7">
        <f t="shared" si="49"/>
        <v>7.6000000000000012E-2</v>
      </c>
      <c r="K87" s="7">
        <f t="shared" si="50"/>
        <v>4.4240000000000004</v>
      </c>
      <c r="L87" s="7">
        <f t="shared" si="51"/>
        <v>132</v>
      </c>
      <c r="M87" s="7">
        <f t="shared" si="52"/>
        <v>90.600000000000009</v>
      </c>
      <c r="O87">
        <f t="shared" si="53"/>
        <v>3.9377483443708623E-2</v>
      </c>
      <c r="P87">
        <f t="shared" si="54"/>
        <v>39.37748344370862</v>
      </c>
      <c r="V87">
        <f t="shared" si="38"/>
        <v>325.36155438257379</v>
      </c>
      <c r="W87">
        <f t="shared" si="39"/>
        <v>139.22972579217014</v>
      </c>
      <c r="AE87">
        <f t="shared" si="40"/>
        <v>0.32984731119672989</v>
      </c>
      <c r="AF87">
        <f t="shared" si="41"/>
        <v>0.32217221503433058</v>
      </c>
      <c r="AG87">
        <f t="shared" si="42"/>
        <v>0.32397610428128365</v>
      </c>
      <c r="AI87">
        <f t="shared" si="43"/>
        <v>9.6004016378899062E-2</v>
      </c>
      <c r="AJ87">
        <f t="shared" si="44"/>
        <v>12.943142004326912</v>
      </c>
      <c r="AL87">
        <f t="shared" si="45"/>
        <v>9.8291116331345588E-2</v>
      </c>
      <c r="AM87">
        <f t="shared" si="46"/>
        <v>13.567175608982533</v>
      </c>
      <c r="AO87">
        <f t="shared" si="47"/>
        <v>9.7743834339007088E-2</v>
      </c>
      <c r="AP87">
        <f t="shared" si="48"/>
        <v>13.416512967477376</v>
      </c>
    </row>
    <row r="88" spans="1:42" x14ac:dyDescent="0.2">
      <c r="A88" s="2">
        <v>86</v>
      </c>
      <c r="B88" s="3">
        <v>7.6700000000000005E-8</v>
      </c>
      <c r="C88" s="2">
        <v>4.4759999999999999E-3</v>
      </c>
      <c r="D88" s="3">
        <v>93100</v>
      </c>
      <c r="E88" s="3">
        <v>134000000000</v>
      </c>
      <c r="F88" s="3">
        <v>119000000000</v>
      </c>
      <c r="G88" s="3">
        <v>99500000</v>
      </c>
      <c r="H88" s="3">
        <v>10700000000</v>
      </c>
      <c r="I88" s="2"/>
      <c r="J88" s="7">
        <f t="shared" si="49"/>
        <v>7.6700000000000004E-2</v>
      </c>
      <c r="K88" s="7">
        <f t="shared" si="50"/>
        <v>4.476</v>
      </c>
      <c r="L88" s="7">
        <f t="shared" si="51"/>
        <v>134</v>
      </c>
      <c r="M88" s="7">
        <f t="shared" si="52"/>
        <v>93.100000000000009</v>
      </c>
      <c r="O88">
        <f t="shared" si="53"/>
        <v>4.0641997851772291E-2</v>
      </c>
      <c r="P88">
        <f t="shared" si="54"/>
        <v>40.641997851772288</v>
      </c>
      <c r="V88">
        <f t="shared" si="38"/>
        <v>329.94960292128684</v>
      </c>
      <c r="W88">
        <f t="shared" si="39"/>
        <v>141.08215190398343</v>
      </c>
      <c r="AE88">
        <f t="shared" si="40"/>
        <v>0.33894905819443211</v>
      </c>
      <c r="AF88">
        <f t="shared" si="41"/>
        <v>0.33106217681783862</v>
      </c>
      <c r="AG88">
        <f t="shared" si="42"/>
        <v>0.3329158422581403</v>
      </c>
      <c r="AI88">
        <f t="shared" si="43"/>
        <v>9.4286538229591432E-2</v>
      </c>
      <c r="AJ88">
        <f t="shared" si="44"/>
        <v>12.401428364682122</v>
      </c>
      <c r="AL88">
        <f t="shared" si="45"/>
        <v>9.653272276681088E-2</v>
      </c>
      <c r="AM88">
        <f t="shared" si="46"/>
        <v>12.999344082728317</v>
      </c>
      <c r="AO88">
        <f t="shared" si="47"/>
        <v>9.5995231457183403E-2</v>
      </c>
      <c r="AP88">
        <f t="shared" si="48"/>
        <v>12.854987175013378</v>
      </c>
    </row>
    <row r="89" spans="1:42" x14ac:dyDescent="0.2">
      <c r="A89" s="2">
        <v>87</v>
      </c>
      <c r="B89" s="3">
        <v>7.7099999999999996E-8</v>
      </c>
      <c r="C89" s="2">
        <v>4.5279999999999999E-3</v>
      </c>
      <c r="D89" s="3">
        <v>94600</v>
      </c>
      <c r="E89" s="3">
        <v>136000000000</v>
      </c>
      <c r="F89" s="3">
        <v>121000000000</v>
      </c>
      <c r="G89" s="3">
        <v>6120000000</v>
      </c>
      <c r="H89" s="3">
        <v>10700000000</v>
      </c>
      <c r="I89" s="2"/>
      <c r="J89" s="7">
        <f t="shared" si="49"/>
        <v>7.7100000000000002E-2</v>
      </c>
      <c r="K89" s="7">
        <f t="shared" si="50"/>
        <v>4.5279999999999996</v>
      </c>
      <c r="L89" s="7">
        <f t="shared" si="51"/>
        <v>136</v>
      </c>
      <c r="M89" s="7">
        <f t="shared" si="52"/>
        <v>94.600000000000009</v>
      </c>
      <c r="O89">
        <f t="shared" si="53"/>
        <v>4.1201479915433416E-2</v>
      </c>
      <c r="P89">
        <f t="shared" si="54"/>
        <v>41.201479915433417</v>
      </c>
      <c r="V89">
        <f t="shared" si="38"/>
        <v>331.95419373065681</v>
      </c>
      <c r="W89">
        <f t="shared" si="39"/>
        <v>142.48953889818483</v>
      </c>
      <c r="AE89">
        <f t="shared" si="40"/>
        <v>0.34441010639305347</v>
      </c>
      <c r="AF89">
        <f t="shared" si="41"/>
        <v>0.33639615388794342</v>
      </c>
      <c r="AG89">
        <f t="shared" si="42"/>
        <v>0.33827968504425426</v>
      </c>
      <c r="AI89">
        <f t="shared" si="43"/>
        <v>9.3275427763835045E-2</v>
      </c>
      <c r="AJ89">
        <f t="shared" si="44"/>
        <v>12.150807440404229</v>
      </c>
      <c r="AL89">
        <f t="shared" si="45"/>
        <v>9.549752465571032E-2</v>
      </c>
      <c r="AM89">
        <f t="shared" si="46"/>
        <v>12.736639857600682</v>
      </c>
      <c r="AO89">
        <f t="shared" si="47"/>
        <v>9.4965797298165747E-2</v>
      </c>
      <c r="AP89">
        <f t="shared" si="48"/>
        <v>12.595200263970337</v>
      </c>
    </row>
    <row r="90" spans="1:42" x14ac:dyDescent="0.2">
      <c r="A90" s="2">
        <v>88</v>
      </c>
      <c r="B90" s="3">
        <v>7.7999999999999997E-8</v>
      </c>
      <c r="C90" s="2">
        <v>4.5799999999999999E-3</v>
      </c>
      <c r="D90" s="3">
        <v>100000</v>
      </c>
      <c r="E90" s="3">
        <v>141000000000</v>
      </c>
      <c r="F90" s="3">
        <v>125000000000</v>
      </c>
      <c r="G90" s="3">
        <v>5620000000</v>
      </c>
      <c r="H90" s="3">
        <v>10300000000</v>
      </c>
      <c r="I90" s="2"/>
      <c r="J90" s="7">
        <f t="shared" si="49"/>
        <v>7.8E-2</v>
      </c>
      <c r="K90" s="7">
        <f t="shared" si="50"/>
        <v>4.58</v>
      </c>
      <c r="L90" s="7">
        <f t="shared" si="51"/>
        <v>141</v>
      </c>
      <c r="M90" s="7">
        <f t="shared" si="52"/>
        <v>100</v>
      </c>
      <c r="O90">
        <f t="shared" si="53"/>
        <v>4.3650000000000001E-2</v>
      </c>
      <c r="P90">
        <f t="shared" si="54"/>
        <v>43.65</v>
      </c>
      <c r="V90">
        <f t="shared" si="38"/>
        <v>340.55346671160612</v>
      </c>
      <c r="W90">
        <f t="shared" si="39"/>
        <v>146.8198238673105</v>
      </c>
      <c r="AE90">
        <f t="shared" si="40"/>
        <v>0.36406987990809031</v>
      </c>
      <c r="AF90">
        <f t="shared" si="41"/>
        <v>0.35559847134032074</v>
      </c>
      <c r="AG90">
        <f t="shared" si="42"/>
        <v>0.35758951907426451</v>
      </c>
      <c r="AI90">
        <f t="shared" si="43"/>
        <v>8.9268576703474198E-2</v>
      </c>
      <c r="AJ90">
        <f t="shared" si="44"/>
        <v>10.99882953187335</v>
      </c>
      <c r="AL90">
        <f t="shared" si="45"/>
        <v>9.1395218538204329E-2</v>
      </c>
      <c r="AM90">
        <f t="shared" si="46"/>
        <v>11.529121113119466</v>
      </c>
      <c r="AO90">
        <f t="shared" si="47"/>
        <v>9.0886332698275674E-2</v>
      </c>
      <c r="AP90">
        <f t="shared" si="48"/>
        <v>11.401090940060794</v>
      </c>
    </row>
    <row r="91" spans="1:42" x14ac:dyDescent="0.2">
      <c r="A91" s="2">
        <v>89</v>
      </c>
      <c r="B91" s="3">
        <v>7.9000000000000006E-8</v>
      </c>
      <c r="C91" s="2">
        <v>4.6299999999999996E-3</v>
      </c>
      <c r="D91" s="3">
        <v>89900</v>
      </c>
      <c r="E91" s="3">
        <v>130000000000</v>
      </c>
      <c r="F91" s="3">
        <v>116000000000</v>
      </c>
      <c r="G91" s="3">
        <v>7230000000</v>
      </c>
      <c r="H91" s="3">
        <v>11100000000</v>
      </c>
      <c r="I91" s="2"/>
      <c r="J91" s="7">
        <f t="shared" si="49"/>
        <v>7.9000000000000001E-2</v>
      </c>
      <c r="K91" s="7">
        <f t="shared" si="50"/>
        <v>4.63</v>
      </c>
      <c r="L91" s="7">
        <f t="shared" si="51"/>
        <v>130</v>
      </c>
      <c r="M91" s="7">
        <f t="shared" si="52"/>
        <v>89.9</v>
      </c>
      <c r="O91">
        <f t="shared" si="53"/>
        <v>4.037374860956619E-2</v>
      </c>
      <c r="P91">
        <f t="shared" si="54"/>
        <v>40.373748609566192</v>
      </c>
      <c r="V91">
        <f t="shared" si="38"/>
        <v>328.98302985290928</v>
      </c>
      <c r="W91">
        <f t="shared" si="39"/>
        <v>136.63318749328036</v>
      </c>
      <c r="AE91">
        <f t="shared" si="40"/>
        <v>0.3272988220373732</v>
      </c>
      <c r="AF91">
        <f t="shared" si="41"/>
        <v>0.31968302573494833</v>
      </c>
      <c r="AG91">
        <f t="shared" si="42"/>
        <v>0.32147297764776378</v>
      </c>
      <c r="AI91">
        <f t="shared" si="43"/>
        <v>0.10057068480041159</v>
      </c>
      <c r="AJ91">
        <f t="shared" si="44"/>
        <v>13.757597540811718</v>
      </c>
      <c r="AL91">
        <f t="shared" si="45"/>
        <v>0.10296657631724911</v>
      </c>
      <c r="AM91">
        <f t="shared" si="46"/>
        <v>14.420898861458896</v>
      </c>
      <c r="AO91">
        <f t="shared" si="47"/>
        <v>0.10239326150371893</v>
      </c>
      <c r="AP91">
        <f t="shared" si="48"/>
        <v>14.260755676321114</v>
      </c>
    </row>
    <row r="92" spans="1:42" x14ac:dyDescent="0.2">
      <c r="A92" s="2">
        <v>90</v>
      </c>
      <c r="B92" s="3">
        <v>7.9399999999999996E-8</v>
      </c>
      <c r="C92" s="2">
        <v>4.6839999999999998E-3</v>
      </c>
      <c r="D92" s="3">
        <v>96200</v>
      </c>
      <c r="E92" s="3">
        <v>136000000000</v>
      </c>
      <c r="F92" s="3">
        <v>121000000000</v>
      </c>
      <c r="G92" s="3">
        <v>3110000000</v>
      </c>
      <c r="H92" s="3">
        <v>10700000000</v>
      </c>
      <c r="I92" s="2"/>
      <c r="J92" s="7">
        <f t="shared" si="49"/>
        <v>7.9399999999999998E-2</v>
      </c>
      <c r="K92" s="7">
        <f t="shared" si="50"/>
        <v>4.6840000000000002</v>
      </c>
      <c r="L92" s="7">
        <f t="shared" si="51"/>
        <v>136</v>
      </c>
      <c r="M92" s="7">
        <f t="shared" si="52"/>
        <v>96.2</v>
      </c>
      <c r="O92">
        <f t="shared" si="53"/>
        <v>4.288232848232848E-2</v>
      </c>
      <c r="P92">
        <f t="shared" si="54"/>
        <v>42.882328482328482</v>
      </c>
      <c r="V92">
        <f t="shared" si="38"/>
        <v>337.88696877466145</v>
      </c>
      <c r="W92">
        <f t="shared" si="39"/>
        <v>142.35529761456453</v>
      </c>
      <c r="AE92">
        <f t="shared" si="40"/>
        <v>0.3502352244715829</v>
      </c>
      <c r="AF92">
        <f t="shared" si="41"/>
        <v>0.34208572942938853</v>
      </c>
      <c r="AG92">
        <f t="shared" si="42"/>
        <v>0.34400111734944244</v>
      </c>
      <c r="AI92">
        <f t="shared" si="43"/>
        <v>9.4460325580466062E-2</v>
      </c>
      <c r="AJ92">
        <f t="shared" si="44"/>
        <v>12.15479771109484</v>
      </c>
      <c r="AL92">
        <f t="shared" si="45"/>
        <v>9.6710650246993754E-2</v>
      </c>
      <c r="AM92">
        <f t="shared" si="46"/>
        <v>12.740822513030777</v>
      </c>
      <c r="AO92">
        <f t="shared" si="47"/>
        <v>9.6172168242484798E-2</v>
      </c>
      <c r="AP92">
        <f t="shared" si="48"/>
        <v>12.59933647127197</v>
      </c>
    </row>
    <row r="93" spans="1:42" x14ac:dyDescent="0.2">
      <c r="A93" s="2">
        <v>91</v>
      </c>
      <c r="B93" s="3">
        <v>8.0400000000000005E-8</v>
      </c>
      <c r="C93" s="2">
        <v>4.7349999999999996E-3</v>
      </c>
      <c r="D93" s="3">
        <v>86300</v>
      </c>
      <c r="E93" s="3">
        <v>125000000000</v>
      </c>
      <c r="F93" s="3">
        <v>112000000000</v>
      </c>
      <c r="G93" s="3">
        <v>12200000000</v>
      </c>
      <c r="H93" s="3">
        <v>11600000000</v>
      </c>
      <c r="I93" s="2"/>
      <c r="J93" s="7">
        <f t="shared" si="49"/>
        <v>8.0399999999999999E-2</v>
      </c>
      <c r="K93" s="7">
        <f t="shared" si="50"/>
        <v>4.7349999999999994</v>
      </c>
      <c r="L93" s="7">
        <f t="shared" si="51"/>
        <v>125.00000000000001</v>
      </c>
      <c r="M93" s="7">
        <f t="shared" si="52"/>
        <v>86.3</v>
      </c>
      <c r="O93">
        <f t="shared" si="53"/>
        <v>3.9249942062572422E-2</v>
      </c>
      <c r="P93">
        <f t="shared" si="54"/>
        <v>39.249942062572423</v>
      </c>
      <c r="V93">
        <f t="shared" si="38"/>
        <v>324.89426603987374</v>
      </c>
      <c r="W93">
        <f t="shared" si="39"/>
        <v>132.81243933897025</v>
      </c>
      <c r="AE93">
        <f t="shared" si="40"/>
        <v>0.31419230636068196</v>
      </c>
      <c r="AF93">
        <f t="shared" si="41"/>
        <v>0.30688148076669675</v>
      </c>
      <c r="AG93">
        <f t="shared" si="42"/>
        <v>0.30859975496109027</v>
      </c>
      <c r="AI93">
        <f t="shared" si="43"/>
        <v>0.10662259807706161</v>
      </c>
      <c r="AJ93">
        <f t="shared" si="44"/>
        <v>15.267902748797066</v>
      </c>
      <c r="AL93">
        <f t="shared" si="45"/>
        <v>0.10916266408877245</v>
      </c>
      <c r="AM93">
        <f t="shared" si="46"/>
        <v>16.00402110280092</v>
      </c>
      <c r="AO93">
        <f t="shared" si="47"/>
        <v>0.10855484964407648</v>
      </c>
      <c r="AP93">
        <f t="shared" si="48"/>
        <v>15.82629744361456</v>
      </c>
    </row>
    <row r="94" spans="1:42" x14ac:dyDescent="0.2">
      <c r="A94" s="2">
        <v>92</v>
      </c>
      <c r="B94" s="3">
        <v>8.0999999999999997E-8</v>
      </c>
      <c r="C94" s="2">
        <v>4.7910000000000001E-3</v>
      </c>
      <c r="D94" s="3">
        <v>78100</v>
      </c>
      <c r="E94" s="3">
        <v>119000000000</v>
      </c>
      <c r="F94" s="3">
        <v>107000000000</v>
      </c>
      <c r="G94" s="2">
        <v>0</v>
      </c>
      <c r="H94" s="3">
        <v>13000000000</v>
      </c>
      <c r="I94" s="2"/>
      <c r="J94" s="7">
        <f t="shared" si="49"/>
        <v>8.1000000000000003E-2</v>
      </c>
      <c r="K94" s="7">
        <f t="shared" si="50"/>
        <v>4.7910000000000004</v>
      </c>
      <c r="L94" s="7">
        <f t="shared" si="51"/>
        <v>119.00000000000001</v>
      </c>
      <c r="M94" s="7">
        <f t="shared" si="52"/>
        <v>78.100000000000009</v>
      </c>
      <c r="O94">
        <f t="shared" si="53"/>
        <v>3.4991677336747767E-2</v>
      </c>
      <c r="P94">
        <f t="shared" si="54"/>
        <v>34.99167733674777</v>
      </c>
      <c r="V94">
        <f t="shared" si="38"/>
        <v>308.77828622243817</v>
      </c>
      <c r="W94">
        <f t="shared" si="39"/>
        <v>126.46614656015386</v>
      </c>
      <c r="AE94">
        <f t="shared" si="40"/>
        <v>0.28433857620821856</v>
      </c>
      <c r="AF94">
        <f t="shared" si="41"/>
        <v>0.2777224061167905</v>
      </c>
      <c r="AG94">
        <f t="shared" si="42"/>
        <v>0.2792774143970006</v>
      </c>
      <c r="AI94">
        <f t="shared" si="43"/>
        <v>0.11869652176666026</v>
      </c>
      <c r="AJ94">
        <f t="shared" si="44"/>
        <v>18.862753794934516</v>
      </c>
      <c r="AL94">
        <f t="shared" si="45"/>
        <v>0.12152422439335747</v>
      </c>
      <c r="AM94">
        <f t="shared" si="46"/>
        <v>19.772192340880267</v>
      </c>
      <c r="AO94">
        <f t="shared" si="47"/>
        <v>0.12084758115106092</v>
      </c>
      <c r="AP94">
        <f t="shared" si="48"/>
        <v>19.552623374407041</v>
      </c>
    </row>
    <row r="95" spans="1:42" x14ac:dyDescent="0.2">
      <c r="A95" s="2">
        <v>93</v>
      </c>
      <c r="B95" s="3">
        <v>8.1600000000000003E-8</v>
      </c>
      <c r="C95" s="2">
        <v>4.8430000000000001E-3</v>
      </c>
      <c r="D95" s="3">
        <v>86800</v>
      </c>
      <c r="E95" s="3">
        <v>126000000000</v>
      </c>
      <c r="F95" s="3">
        <v>112000000000</v>
      </c>
      <c r="G95" s="2">
        <v>0</v>
      </c>
      <c r="H95" s="3">
        <v>11800000000</v>
      </c>
      <c r="I95" s="2"/>
      <c r="J95" s="7">
        <f t="shared" si="49"/>
        <v>8.1600000000000006E-2</v>
      </c>
      <c r="K95" s="7">
        <f t="shared" si="50"/>
        <v>4.843</v>
      </c>
      <c r="L95" s="7">
        <f t="shared" si="51"/>
        <v>126.00000000000001</v>
      </c>
      <c r="M95" s="7">
        <f t="shared" si="52"/>
        <v>86.8</v>
      </c>
      <c r="O95">
        <f t="shared" si="53"/>
        <v>3.9753801843317976E-2</v>
      </c>
      <c r="P95">
        <f t="shared" si="54"/>
        <v>39.753801843317973</v>
      </c>
      <c r="V95">
        <f t="shared" si="38"/>
        <v>326.73542357502981</v>
      </c>
      <c r="W95">
        <f t="shared" si="39"/>
        <v>132.82918492623696</v>
      </c>
      <c r="AE95">
        <f t="shared" si="40"/>
        <v>0.31601265576022236</v>
      </c>
      <c r="AF95">
        <f t="shared" si="41"/>
        <v>0.30865947312339836</v>
      </c>
      <c r="AG95">
        <f t="shared" si="42"/>
        <v>0.31038770255646159</v>
      </c>
      <c r="AI95">
        <f t="shared" si="43"/>
        <v>0.10759062771776404</v>
      </c>
      <c r="AJ95">
        <f t="shared" si="44"/>
        <v>15.436755011850714</v>
      </c>
      <c r="AL95">
        <f t="shared" si="45"/>
        <v>0.11015375506199744</v>
      </c>
      <c r="AM95">
        <f t="shared" si="46"/>
        <v>16.181014316972334</v>
      </c>
      <c r="AO95">
        <f t="shared" si="47"/>
        <v>0.10954042225244144</v>
      </c>
      <c r="AP95">
        <f t="shared" si="48"/>
        <v>16.001325159148376</v>
      </c>
    </row>
    <row r="96" spans="1:42" x14ac:dyDescent="0.2">
      <c r="A96" s="2">
        <v>94</v>
      </c>
      <c r="B96" s="3">
        <v>8.2100000000000001E-8</v>
      </c>
      <c r="C96" s="2">
        <v>4.8939999999999999E-3</v>
      </c>
      <c r="D96" s="3">
        <v>107000</v>
      </c>
      <c r="E96" s="3">
        <v>149000000000</v>
      </c>
      <c r="F96" s="3">
        <v>131000000000</v>
      </c>
      <c r="G96" s="3">
        <v>4190000000</v>
      </c>
      <c r="H96" s="3">
        <v>10600000000</v>
      </c>
      <c r="I96" s="2"/>
      <c r="J96" s="7">
        <f t="shared" si="49"/>
        <v>8.2100000000000006E-2</v>
      </c>
      <c r="K96" s="7">
        <f t="shared" si="50"/>
        <v>4.8940000000000001</v>
      </c>
      <c r="L96" s="7">
        <f t="shared" si="51"/>
        <v>149</v>
      </c>
      <c r="M96" s="7">
        <f t="shared" si="52"/>
        <v>107</v>
      </c>
      <c r="O96">
        <f t="shared" si="53"/>
        <v>4.7796261682242998E-2</v>
      </c>
      <c r="P96">
        <f t="shared" si="54"/>
        <v>47.796261682242999</v>
      </c>
      <c r="V96">
        <f t="shared" si="38"/>
        <v>354.5231365820631</v>
      </c>
      <c r="W96">
        <f t="shared" si="39"/>
        <v>150.90693520256642</v>
      </c>
      <c r="AE96">
        <f t="shared" si="40"/>
        <v>0.38955477150165663</v>
      </c>
      <c r="AF96">
        <f t="shared" si="41"/>
        <v>0.38049036433414318</v>
      </c>
      <c r="AG96">
        <f t="shared" si="42"/>
        <v>0.38262078540946304</v>
      </c>
      <c r="AI96">
        <f t="shared" si="43"/>
        <v>8.7813924602866439E-2</v>
      </c>
      <c r="AJ96">
        <f t="shared" si="44"/>
        <v>10.265436070766876</v>
      </c>
      <c r="AL96">
        <f t="shared" si="45"/>
        <v>8.9905912317116893E-2</v>
      </c>
      <c r="AM96">
        <f t="shared" si="46"/>
        <v>10.760368218807972</v>
      </c>
      <c r="AO96">
        <f t="shared" si="47"/>
        <v>8.9405318889628965E-2</v>
      </c>
      <c r="AP96">
        <f t="shared" si="48"/>
        <v>10.640874998838122</v>
      </c>
    </row>
    <row r="97" spans="1:42" x14ac:dyDescent="0.2">
      <c r="A97" s="2">
        <v>95</v>
      </c>
      <c r="B97" s="3">
        <v>8.28E-8</v>
      </c>
      <c r="C97" s="2">
        <v>4.9439999999999996E-3</v>
      </c>
      <c r="D97" s="3">
        <v>101000</v>
      </c>
      <c r="E97" s="3">
        <v>140000000000</v>
      </c>
      <c r="F97" s="3">
        <v>124000000000</v>
      </c>
      <c r="G97" s="2">
        <v>0</v>
      </c>
      <c r="H97" s="3">
        <v>10900000000</v>
      </c>
      <c r="I97" s="2"/>
      <c r="J97" s="7">
        <f t="shared" si="49"/>
        <v>8.2799999999999999E-2</v>
      </c>
      <c r="K97" s="7">
        <f t="shared" si="50"/>
        <v>4.944</v>
      </c>
      <c r="L97" s="7">
        <f t="shared" si="51"/>
        <v>140</v>
      </c>
      <c r="M97" s="7">
        <f t="shared" si="52"/>
        <v>101</v>
      </c>
      <c r="O97">
        <f t="shared" si="53"/>
        <v>4.6087128712871281E-2</v>
      </c>
      <c r="P97">
        <f t="shared" si="54"/>
        <v>46.087128712871284</v>
      </c>
      <c r="V97">
        <f t="shared" si="38"/>
        <v>348.8498506659177</v>
      </c>
      <c r="W97">
        <f t="shared" si="39"/>
        <v>144.76142071897351</v>
      </c>
      <c r="AE97">
        <f t="shared" si="40"/>
        <v>0.36771057870717122</v>
      </c>
      <c r="AF97">
        <f t="shared" si="41"/>
        <v>0.35915445605372393</v>
      </c>
      <c r="AG97">
        <f t="shared" si="42"/>
        <v>0.36116541426500715</v>
      </c>
      <c r="AI97">
        <f t="shared" si="43"/>
        <v>9.3823789680726882E-2</v>
      </c>
      <c r="AJ97">
        <f t="shared" si="44"/>
        <v>11.639027855729067</v>
      </c>
      <c r="AL97">
        <f t="shared" si="45"/>
        <v>9.6058950177244459E-2</v>
      </c>
      <c r="AM97">
        <f t="shared" si="46"/>
        <v>12.200185610551635</v>
      </c>
      <c r="AO97">
        <f t="shared" si="47"/>
        <v>9.552409681920826E-2</v>
      </c>
      <c r="AP97">
        <f t="shared" si="48"/>
        <v>12.064703307977036</v>
      </c>
    </row>
    <row r="98" spans="1:42" x14ac:dyDescent="0.2">
      <c r="A98" s="2">
        <v>96</v>
      </c>
      <c r="B98" s="3">
        <v>8.3299999999999998E-8</v>
      </c>
      <c r="C98" s="2">
        <v>4.9969999999999997E-3</v>
      </c>
      <c r="D98" s="3">
        <v>110000</v>
      </c>
      <c r="E98" s="3">
        <v>153000000000</v>
      </c>
      <c r="F98" s="3">
        <v>134000000000</v>
      </c>
      <c r="G98" s="2">
        <v>0</v>
      </c>
      <c r="H98" s="3">
        <v>10700000000</v>
      </c>
      <c r="I98" s="2"/>
      <c r="J98" s="7">
        <f t="shared" si="49"/>
        <v>8.3299999999999999E-2</v>
      </c>
      <c r="K98" s="7">
        <f t="shared" si="50"/>
        <v>4.9969999999999999</v>
      </c>
      <c r="L98" s="7">
        <f t="shared" si="51"/>
        <v>153</v>
      </c>
      <c r="M98" s="7">
        <f t="shared" si="52"/>
        <v>110</v>
      </c>
      <c r="O98">
        <f t="shared" si="53"/>
        <v>4.9229545454545456E-2</v>
      </c>
      <c r="P98">
        <f t="shared" si="54"/>
        <v>49.229545454545459</v>
      </c>
      <c r="V98">
        <f t="shared" si="38"/>
        <v>359.19424468163089</v>
      </c>
      <c r="W98">
        <f t="shared" si="39"/>
        <v>153.1204934776971</v>
      </c>
      <c r="AE98">
        <f t="shared" si="40"/>
        <v>0.40047686789889936</v>
      </c>
      <c r="AF98">
        <f t="shared" si="41"/>
        <v>0.39115831847435278</v>
      </c>
      <c r="AG98">
        <f t="shared" si="42"/>
        <v>0.39334847098169096</v>
      </c>
      <c r="AI98">
        <f t="shared" si="43"/>
        <v>8.666751094871096E-2</v>
      </c>
      <c r="AJ98">
        <f t="shared" si="44"/>
        <v>9.9175630969668909</v>
      </c>
      <c r="AL98">
        <f t="shared" si="45"/>
        <v>8.8732187695016548E-2</v>
      </c>
      <c r="AM98">
        <f t="shared" si="46"/>
        <v>10.395723086769276</v>
      </c>
      <c r="AO98">
        <f t="shared" si="47"/>
        <v>8.8238129531076501E-2</v>
      </c>
      <c r="AP98">
        <f t="shared" si="48"/>
        <v>10.280279228316394</v>
      </c>
    </row>
    <row r="99" spans="1:42" x14ac:dyDescent="0.2">
      <c r="A99" s="2">
        <v>97</v>
      </c>
      <c r="B99" s="3">
        <v>8.42E-8</v>
      </c>
      <c r="C99" s="2">
        <v>5.0489999999999997E-3</v>
      </c>
      <c r="D99" s="3">
        <v>88400</v>
      </c>
      <c r="E99" s="3">
        <v>126000000000</v>
      </c>
      <c r="F99" s="3">
        <v>112000000000</v>
      </c>
      <c r="G99" s="3">
        <v>2390000000</v>
      </c>
      <c r="H99" s="3">
        <v>11800000000</v>
      </c>
      <c r="I99" s="2"/>
      <c r="J99" s="7">
        <f t="shared" si="49"/>
        <v>8.4199999999999997E-2</v>
      </c>
      <c r="K99" s="7">
        <f t="shared" si="50"/>
        <v>5.0489999999999995</v>
      </c>
      <c r="L99" s="7">
        <f t="shared" si="51"/>
        <v>126.00000000000001</v>
      </c>
      <c r="M99" s="7">
        <f t="shared" si="52"/>
        <v>88.4</v>
      </c>
      <c r="O99">
        <f t="shared" si="53"/>
        <v>4.1363461538461543E-2</v>
      </c>
      <c r="P99">
        <f t="shared" si="54"/>
        <v>41.363461538461543</v>
      </c>
      <c r="V99">
        <f t="shared" si="38"/>
        <v>332.53173049481165</v>
      </c>
      <c r="W99">
        <f t="shared" si="39"/>
        <v>132.91964629730165</v>
      </c>
      <c r="AE99">
        <f t="shared" si="40"/>
        <v>0.32183777383875184</v>
      </c>
      <c r="AF99">
        <f t="shared" si="41"/>
        <v>0.31434904866484353</v>
      </c>
      <c r="AG99">
        <f t="shared" si="42"/>
        <v>0.31610913486164982</v>
      </c>
      <c r="AI99">
        <f t="shared" si="43"/>
        <v>0.10900937113401392</v>
      </c>
      <c r="AJ99">
        <f t="shared" si="44"/>
        <v>15.516073698156379</v>
      </c>
      <c r="AL99">
        <f t="shared" si="45"/>
        <v>0.11160629714753457</v>
      </c>
      <c r="AM99">
        <f t="shared" si="46"/>
        <v>16.264157231252579</v>
      </c>
      <c r="AO99">
        <f t="shared" si="47"/>
        <v>0.11098487662714369</v>
      </c>
      <c r="AP99">
        <f t="shared" si="48"/>
        <v>16.083544776535526</v>
      </c>
    </row>
    <row r="100" spans="1:42" x14ac:dyDescent="0.2">
      <c r="A100" s="2">
        <v>98</v>
      </c>
      <c r="B100" s="3">
        <v>8.4800000000000005E-8</v>
      </c>
      <c r="C100" s="2">
        <v>5.1009999999999996E-3</v>
      </c>
      <c r="D100" s="3">
        <v>91900</v>
      </c>
      <c r="E100" s="3">
        <v>129000000000</v>
      </c>
      <c r="F100" s="3">
        <v>115000000000</v>
      </c>
      <c r="G100" s="3">
        <v>5210000000</v>
      </c>
      <c r="H100" s="3">
        <v>11600000000</v>
      </c>
      <c r="I100" s="2"/>
      <c r="J100" s="7">
        <f t="shared" si="49"/>
        <v>8.48E-2</v>
      </c>
      <c r="K100" s="7">
        <f t="shared" si="50"/>
        <v>5.101</v>
      </c>
      <c r="L100" s="7">
        <f t="shared" si="51"/>
        <v>129</v>
      </c>
      <c r="M100" s="7">
        <f t="shared" si="52"/>
        <v>91.9</v>
      </c>
      <c r="O100">
        <f t="shared" si="53"/>
        <v>4.3170511425462466E-2</v>
      </c>
      <c r="P100">
        <f t="shared" si="54"/>
        <v>43.170511425462465</v>
      </c>
      <c r="V100">
        <f t="shared" si="38"/>
        <v>338.89106181043934</v>
      </c>
      <c r="W100">
        <f t="shared" si="39"/>
        <v>135.58929454947503</v>
      </c>
      <c r="AE100">
        <f t="shared" si="40"/>
        <v>0.33458021963553503</v>
      </c>
      <c r="AF100">
        <f t="shared" si="41"/>
        <v>0.32679499516175475</v>
      </c>
      <c r="AG100">
        <f t="shared" si="42"/>
        <v>0.32862476802924911</v>
      </c>
      <c r="AI100">
        <f t="shared" si="43"/>
        <v>0.10560496783648073</v>
      </c>
      <c r="AJ100">
        <f t="shared" si="44"/>
        <v>14.504584545584089</v>
      </c>
      <c r="AL100">
        <f t="shared" si="45"/>
        <v>0.10812079088250505</v>
      </c>
      <c r="AM100">
        <f t="shared" si="46"/>
        <v>15.203900691152695</v>
      </c>
      <c r="AO100">
        <f t="shared" si="47"/>
        <v>0.10751877755662198</v>
      </c>
      <c r="AP100">
        <f t="shared" si="48"/>
        <v>15.035062319384691</v>
      </c>
    </row>
    <row r="101" spans="1:42" x14ac:dyDescent="0.2">
      <c r="A101" s="2">
        <v>99</v>
      </c>
      <c r="B101" s="3">
        <v>8.5100000000000001E-8</v>
      </c>
      <c r="C101" s="2">
        <v>5.1529999999999996E-3</v>
      </c>
      <c r="D101" s="3">
        <v>90300</v>
      </c>
      <c r="E101" s="3">
        <v>127000000000</v>
      </c>
      <c r="F101" s="3">
        <v>114000000000</v>
      </c>
      <c r="G101" s="2">
        <v>0</v>
      </c>
      <c r="H101" s="3">
        <v>11900000000</v>
      </c>
      <c r="I101" s="2"/>
      <c r="J101" s="7">
        <f t="shared" si="49"/>
        <v>8.5099999999999995E-2</v>
      </c>
      <c r="K101" s="7">
        <f t="shared" si="50"/>
        <v>5.1529999999999996</v>
      </c>
      <c r="L101" s="7">
        <f t="shared" si="51"/>
        <v>127.00000000000001</v>
      </c>
      <c r="M101" s="7">
        <f t="shared" si="52"/>
        <v>90.3</v>
      </c>
      <c r="O101">
        <f t="shared" si="53"/>
        <v>4.2300996677740857E-2</v>
      </c>
      <c r="P101">
        <f t="shared" si="54"/>
        <v>42.300996677740855</v>
      </c>
      <c r="V101">
        <f t="shared" si="38"/>
        <v>335.8499801105641</v>
      </c>
      <c r="W101">
        <f t="shared" si="39"/>
        <v>134.43502359338032</v>
      </c>
      <c r="AE101">
        <f t="shared" si="40"/>
        <v>0.32875510155700555</v>
      </c>
      <c r="AF101">
        <f t="shared" si="41"/>
        <v>0.32110541962030958</v>
      </c>
      <c r="AG101">
        <f t="shared" si="42"/>
        <v>0.32290333572406082</v>
      </c>
      <c r="AI101">
        <f t="shared" si="43"/>
        <v>0.10785637444225309</v>
      </c>
      <c r="AJ101">
        <f t="shared" si="44"/>
        <v>15.176290633215476</v>
      </c>
      <c r="AL101">
        <f t="shared" si="45"/>
        <v>0.11042583266037977</v>
      </c>
      <c r="AM101">
        <f t="shared" si="46"/>
        <v>15.907992050535995</v>
      </c>
      <c r="AO101">
        <f t="shared" si="47"/>
        <v>0.10981098493090355</v>
      </c>
      <c r="AP101">
        <f t="shared" si="48"/>
        <v>15.731334788003775</v>
      </c>
    </row>
    <row r="102" spans="1:42" x14ac:dyDescent="0.2">
      <c r="A102" s="3">
        <v>100</v>
      </c>
      <c r="B102" s="3">
        <v>8.6200000000000004E-8</v>
      </c>
      <c r="C102" s="2">
        <v>5.2059999999999997E-3</v>
      </c>
      <c r="D102" s="3">
        <v>97000</v>
      </c>
      <c r="E102" s="3">
        <v>135000000000</v>
      </c>
      <c r="F102" s="3">
        <v>120000000000</v>
      </c>
      <c r="G102" s="3">
        <v>13200000000</v>
      </c>
      <c r="H102" s="3">
        <v>11500000000</v>
      </c>
      <c r="I102" s="2"/>
      <c r="J102" s="7">
        <f t="shared" si="49"/>
        <v>8.6199999999999999E-2</v>
      </c>
      <c r="K102" s="7">
        <f t="shared" si="50"/>
        <v>5.2059999999999995</v>
      </c>
      <c r="L102" s="7">
        <f t="shared" si="51"/>
        <v>135</v>
      </c>
      <c r="M102" s="7">
        <f t="shared" si="52"/>
        <v>97</v>
      </c>
      <c r="O102">
        <f t="shared" si="53"/>
        <v>4.5947422680412374E-2</v>
      </c>
      <c r="P102">
        <f t="shared" si="54"/>
        <v>45.947422680412373</v>
      </c>
      <c r="V102">
        <f t="shared" si="38"/>
        <v>348.38096772163635</v>
      </c>
      <c r="W102">
        <f t="shared" si="39"/>
        <v>139.21541213110274</v>
      </c>
      <c r="AE102">
        <f t="shared" si="40"/>
        <v>0.35314778351084763</v>
      </c>
      <c r="AF102">
        <f t="shared" si="41"/>
        <v>0.34493051720011109</v>
      </c>
      <c r="AG102">
        <f t="shared" si="42"/>
        <v>0.34686183350203659</v>
      </c>
      <c r="AI102">
        <f t="shared" si="43"/>
        <v>0.10170435252232983</v>
      </c>
      <c r="AJ102">
        <f t="shared" si="44"/>
        <v>13.287451377022334</v>
      </c>
      <c r="AL102">
        <f t="shared" si="45"/>
        <v>0.10412725136126372</v>
      </c>
      <c r="AM102">
        <f t="shared" si="46"/>
        <v>13.9280853263924</v>
      </c>
      <c r="AO102">
        <f t="shared" si="47"/>
        <v>0.10354747394384567</v>
      </c>
      <c r="AP102">
        <f t="shared" si="48"/>
        <v>13.773414804917453</v>
      </c>
    </row>
    <row r="103" spans="1:42" x14ac:dyDescent="0.2">
      <c r="A103" s="3">
        <v>100</v>
      </c>
      <c r="B103" s="3">
        <v>8.6200000000000004E-8</v>
      </c>
      <c r="C103" s="2">
        <v>5.2579999999999997E-3</v>
      </c>
      <c r="D103" s="3">
        <v>94500</v>
      </c>
      <c r="E103" s="3">
        <v>132000000000</v>
      </c>
      <c r="F103" s="3">
        <v>117000000000</v>
      </c>
      <c r="G103" s="2">
        <v>0</v>
      </c>
      <c r="H103" s="3">
        <v>11700000000</v>
      </c>
      <c r="I103" s="2"/>
      <c r="J103" s="7">
        <f t="shared" si="49"/>
        <v>8.6199999999999999E-2</v>
      </c>
      <c r="K103" s="7">
        <f t="shared" si="50"/>
        <v>5.258</v>
      </c>
      <c r="L103" s="7">
        <f t="shared" si="51"/>
        <v>132</v>
      </c>
      <c r="M103" s="7">
        <f t="shared" si="52"/>
        <v>94.5</v>
      </c>
      <c r="O103">
        <f t="shared" si="53"/>
        <v>4.446984126984127E-2</v>
      </c>
      <c r="P103">
        <f t="shared" si="54"/>
        <v>44.469841269841268</v>
      </c>
      <c r="V103">
        <f t="shared" si="38"/>
        <v>343.37248933256751</v>
      </c>
      <c r="W103">
        <f t="shared" si="39"/>
        <v>137.60566576501947</v>
      </c>
      <c r="AE103">
        <f t="shared" si="40"/>
        <v>0.34404603651314536</v>
      </c>
      <c r="AF103">
        <f t="shared" si="41"/>
        <v>0.3360405554166031</v>
      </c>
      <c r="AG103">
        <f t="shared" si="42"/>
        <v>0.33792209552517993</v>
      </c>
      <c r="AI103">
        <f t="shared" si="43"/>
        <v>0.10439494385889941</v>
      </c>
      <c r="AJ103">
        <f t="shared" si="44"/>
        <v>14.139627156212725</v>
      </c>
      <c r="AL103">
        <f t="shared" si="45"/>
        <v>0.10688194055071513</v>
      </c>
      <c r="AM103">
        <f t="shared" si="46"/>
        <v>14.821347444827973</v>
      </c>
      <c r="AO103">
        <f t="shared" si="47"/>
        <v>0.10628682510638128</v>
      </c>
      <c r="AP103">
        <f t="shared" si="48"/>
        <v>14.65675730307253</v>
      </c>
    </row>
    <row r="104" spans="1:42" x14ac:dyDescent="0.2">
      <c r="A104" s="3">
        <v>100</v>
      </c>
      <c r="B104" s="3">
        <v>8.7100000000000006E-8</v>
      </c>
      <c r="C104" s="2">
        <v>5.3090000000000004E-3</v>
      </c>
      <c r="D104" s="3">
        <v>92800</v>
      </c>
      <c r="E104" s="3">
        <v>129000000000</v>
      </c>
      <c r="F104" s="3">
        <v>115000000000</v>
      </c>
      <c r="G104" s="3">
        <v>3420000000</v>
      </c>
      <c r="H104" s="3">
        <v>11900000000</v>
      </c>
      <c r="I104" s="2"/>
      <c r="J104" s="7">
        <f t="shared" si="49"/>
        <v>8.7100000000000011E-2</v>
      </c>
      <c r="K104" s="7">
        <f t="shared" si="50"/>
        <v>5.3090000000000002</v>
      </c>
      <c r="L104" s="7">
        <f t="shared" si="51"/>
        <v>129</v>
      </c>
      <c r="M104" s="7">
        <f t="shared" si="52"/>
        <v>92.8</v>
      </c>
      <c r="O104">
        <f t="shared" si="53"/>
        <v>4.4193211206896559E-2</v>
      </c>
      <c r="P104">
        <f t="shared" si="54"/>
        <v>44.193211206896557</v>
      </c>
      <c r="V104">
        <f t="shared" si="38"/>
        <v>342.42455823028411</v>
      </c>
      <c r="W104">
        <f t="shared" si="39"/>
        <v>135.50429980782954</v>
      </c>
      <c r="AE104">
        <f t="shared" si="40"/>
        <v>0.33785684855470782</v>
      </c>
      <c r="AF104">
        <f t="shared" si="41"/>
        <v>0.32999538140381762</v>
      </c>
      <c r="AG104">
        <f t="shared" si="42"/>
        <v>0.33184307370091742</v>
      </c>
      <c r="AI104">
        <f t="shared" si="43"/>
        <v>0.10741728877752822</v>
      </c>
      <c r="AJ104">
        <f t="shared" si="44"/>
        <v>14.80463709329163</v>
      </c>
      <c r="AL104">
        <f t="shared" si="45"/>
        <v>0.10997628667492261</v>
      </c>
      <c r="AM104">
        <f t="shared" si="46"/>
        <v>15.518419809100246</v>
      </c>
      <c r="AO104">
        <f t="shared" si="47"/>
        <v>0.10936394200403146</v>
      </c>
      <c r="AP104">
        <f t="shared" si="48"/>
        <v>15.346088722084835</v>
      </c>
    </row>
    <row r="105" spans="1:42" x14ac:dyDescent="0.2">
      <c r="A105" s="3">
        <v>100</v>
      </c>
      <c r="B105" s="3">
        <v>8.7600000000000004E-8</v>
      </c>
      <c r="C105" s="2">
        <v>5.3619999999999996E-3</v>
      </c>
      <c r="D105" s="3">
        <v>100000</v>
      </c>
      <c r="E105" s="3">
        <v>138000000000</v>
      </c>
      <c r="F105" s="3">
        <v>123000000000</v>
      </c>
      <c r="G105" s="2">
        <v>0</v>
      </c>
      <c r="H105" s="3">
        <v>11700000000</v>
      </c>
      <c r="I105" s="2"/>
      <c r="J105" s="7">
        <f t="shared" si="49"/>
        <v>8.7599999999999997E-2</v>
      </c>
      <c r="K105" s="7">
        <f t="shared" si="50"/>
        <v>5.3619999999999992</v>
      </c>
      <c r="L105" s="7">
        <f t="shared" si="51"/>
        <v>138</v>
      </c>
      <c r="M105" s="7">
        <f t="shared" si="52"/>
        <v>100</v>
      </c>
      <c r="O105">
        <f t="shared" si="53"/>
        <v>4.7385000000000004E-2</v>
      </c>
      <c r="P105">
        <f t="shared" si="54"/>
        <v>47.385000000000005</v>
      </c>
      <c r="V105">
        <f t="shared" si="38"/>
        <v>353.16845778754845</v>
      </c>
      <c r="W105">
        <f t="shared" si="39"/>
        <v>141.57549718122883</v>
      </c>
      <c r="AE105">
        <f t="shared" si="40"/>
        <v>0.36406987990809031</v>
      </c>
      <c r="AF105">
        <f t="shared" si="41"/>
        <v>0.35559847134032074</v>
      </c>
      <c r="AG105">
        <f t="shared" si="42"/>
        <v>0.35758951907426451</v>
      </c>
      <c r="AI105">
        <f t="shared" si="43"/>
        <v>0.1002554784515941</v>
      </c>
      <c r="AJ105">
        <f t="shared" si="44"/>
        <v>12.876795622249976</v>
      </c>
      <c r="AL105">
        <f t="shared" si="45"/>
        <v>0.10264386081982947</v>
      </c>
      <c r="AM105">
        <f t="shared" si="46"/>
        <v>13.497630438547285</v>
      </c>
      <c r="AO105">
        <f t="shared" si="47"/>
        <v>0.10207234287652499</v>
      </c>
      <c r="AP105">
        <f t="shared" si="48"/>
        <v>13.347740091835364</v>
      </c>
    </row>
    <row r="106" spans="1:42" x14ac:dyDescent="0.2">
      <c r="A106" s="3">
        <v>100</v>
      </c>
      <c r="B106" s="3">
        <v>8.8500000000000005E-8</v>
      </c>
      <c r="C106" s="2">
        <v>5.4140000000000004E-3</v>
      </c>
      <c r="D106" s="3">
        <v>86600</v>
      </c>
      <c r="E106" s="3">
        <v>122000000000</v>
      </c>
      <c r="F106" s="3">
        <v>110000000000</v>
      </c>
      <c r="G106" s="2">
        <v>0</v>
      </c>
      <c r="H106" s="3">
        <v>12600000000</v>
      </c>
      <c r="I106" s="2"/>
      <c r="J106" s="7">
        <f t="shared" si="49"/>
        <v>8.8500000000000009E-2</v>
      </c>
      <c r="K106" s="7">
        <f t="shared" si="50"/>
        <v>5.4140000000000006</v>
      </c>
      <c r="L106" s="7">
        <f t="shared" si="51"/>
        <v>122.00000000000001</v>
      </c>
      <c r="M106" s="7">
        <f t="shared" si="52"/>
        <v>86.600000000000009</v>
      </c>
      <c r="O106">
        <f t="shared" si="53"/>
        <v>4.1612009237875301E-2</v>
      </c>
      <c r="P106">
        <f t="shared" si="54"/>
        <v>41.612009237875299</v>
      </c>
      <c r="V106">
        <f t="shared" si="38"/>
        <v>333.41546985208771</v>
      </c>
      <c r="W106">
        <f t="shared" si="39"/>
        <v>129.86799928392369</v>
      </c>
      <c r="AE106">
        <f t="shared" si="40"/>
        <v>0.31528451600040625</v>
      </c>
      <c r="AF106">
        <f t="shared" si="41"/>
        <v>0.30794827618071779</v>
      </c>
      <c r="AG106">
        <f t="shared" si="42"/>
        <v>0.30967252351831309</v>
      </c>
      <c r="AI106">
        <f t="shared" si="43"/>
        <v>0.11695785276036992</v>
      </c>
      <c r="AJ106">
        <f t="shared" si="44"/>
        <v>17.336581296484763</v>
      </c>
      <c r="AL106">
        <f t="shared" si="45"/>
        <v>0.11974413514287739</v>
      </c>
      <c r="AM106">
        <f t="shared" si="46"/>
        <v>18.172437792166715</v>
      </c>
      <c r="AO106">
        <f t="shared" si="47"/>
        <v>0.11907740338422156</v>
      </c>
      <c r="AP106">
        <f t="shared" si="48"/>
        <v>17.970634000481198</v>
      </c>
    </row>
    <row r="107" spans="1:42" x14ac:dyDescent="0.2">
      <c r="A107" s="3">
        <v>110</v>
      </c>
      <c r="B107" s="3">
        <v>8.9400000000000006E-8</v>
      </c>
      <c r="C107" s="2">
        <v>5.4650000000000002E-3</v>
      </c>
      <c r="D107" s="3">
        <v>96900</v>
      </c>
      <c r="E107" s="3">
        <v>134000000000</v>
      </c>
      <c r="F107" s="3">
        <v>119000000000</v>
      </c>
      <c r="G107" s="2">
        <v>0</v>
      </c>
      <c r="H107" s="3">
        <v>11900000000</v>
      </c>
      <c r="I107" s="2"/>
      <c r="J107" s="7">
        <f t="shared" si="49"/>
        <v>8.9400000000000007E-2</v>
      </c>
      <c r="K107" s="7">
        <f t="shared" si="50"/>
        <v>5.4649999999999999</v>
      </c>
      <c r="L107" s="7">
        <f t="shared" si="51"/>
        <v>134</v>
      </c>
      <c r="M107" s="7">
        <f t="shared" si="52"/>
        <v>96.9</v>
      </c>
      <c r="O107">
        <f t="shared" si="53"/>
        <v>4.7101238390092892E-2</v>
      </c>
      <c r="P107">
        <f t="shared" si="54"/>
        <v>47.101238390092895</v>
      </c>
      <c r="V107">
        <f t="shared" si="38"/>
        <v>352.2299369293994</v>
      </c>
      <c r="W107">
        <f t="shared" si="39"/>
        <v>137.55219224796122</v>
      </c>
      <c r="AE107">
        <f t="shared" si="40"/>
        <v>0.35278371363093952</v>
      </c>
      <c r="AF107">
        <f t="shared" si="41"/>
        <v>0.34457491872877077</v>
      </c>
      <c r="AG107">
        <f t="shared" si="42"/>
        <v>0.34650424398296231</v>
      </c>
      <c r="AI107">
        <f t="shared" si="43"/>
        <v>0.10558877454010999</v>
      </c>
      <c r="AJ107">
        <f t="shared" si="44"/>
        <v>13.977310252671749</v>
      </c>
      <c r="AL107">
        <f t="shared" si="45"/>
        <v>0.10810421181386398</v>
      </c>
      <c r="AM107">
        <f t="shared" si="46"/>
        <v>14.651204682436081</v>
      </c>
      <c r="AO107">
        <f t="shared" si="47"/>
        <v>0.10750229079973865</v>
      </c>
      <c r="AP107">
        <f t="shared" si="48"/>
        <v>14.488503965477198</v>
      </c>
    </row>
    <row r="108" spans="1:42" x14ac:dyDescent="0.2">
      <c r="A108" s="3">
        <v>110</v>
      </c>
      <c r="B108" s="3">
        <v>8.9999999999999999E-8</v>
      </c>
      <c r="C108" s="2">
        <v>5.5170000000000002E-3</v>
      </c>
      <c r="D108" s="3">
        <v>82700</v>
      </c>
      <c r="E108" s="3">
        <v>119000000000</v>
      </c>
      <c r="F108" s="3">
        <v>107000000000</v>
      </c>
      <c r="G108" s="3">
        <v>13600000000</v>
      </c>
      <c r="H108" s="3">
        <v>13300000000</v>
      </c>
      <c r="I108" s="2"/>
      <c r="J108" s="7">
        <f t="shared" si="49"/>
        <v>0.09</v>
      </c>
      <c r="K108" s="7">
        <f t="shared" si="50"/>
        <v>5.5170000000000003</v>
      </c>
      <c r="L108" s="7">
        <f t="shared" si="51"/>
        <v>119.00000000000001</v>
      </c>
      <c r="M108" s="7">
        <f t="shared" si="52"/>
        <v>82.7</v>
      </c>
      <c r="O108">
        <f t="shared" si="53"/>
        <v>3.9966747279322853E-2</v>
      </c>
      <c r="P108">
        <f t="shared" si="54"/>
        <v>39.966747279322853</v>
      </c>
      <c r="V108">
        <f t="shared" si="38"/>
        <v>327.50964052062454</v>
      </c>
      <c r="W108">
        <f t="shared" si="39"/>
        <v>126.25582542934652</v>
      </c>
      <c r="AE108">
        <f t="shared" si="40"/>
        <v>0.30108579068399072</v>
      </c>
      <c r="AF108">
        <f t="shared" si="41"/>
        <v>0.29407993579844527</v>
      </c>
      <c r="AG108">
        <f t="shared" si="42"/>
        <v>0.29572653227441675</v>
      </c>
      <c r="AI108">
        <f t="shared" si="43"/>
        <v>0.12454921872868691</v>
      </c>
      <c r="AJ108">
        <f t="shared" si="44"/>
        <v>19.371932982364353</v>
      </c>
      <c r="AL108">
        <f t="shared" si="45"/>
        <v>0.12751634992773367</v>
      </c>
      <c r="AM108">
        <f t="shared" si="46"/>
        <v>20.30592081654639</v>
      </c>
      <c r="AO108">
        <f t="shared" si="47"/>
        <v>0.12680634270990002</v>
      </c>
      <c r="AP108">
        <f t="shared" si="48"/>
        <v>20.080424828539144</v>
      </c>
    </row>
    <row r="109" spans="1:42" x14ac:dyDescent="0.2">
      <c r="A109" s="3">
        <v>110</v>
      </c>
      <c r="B109" s="3">
        <v>9.0499999999999996E-8</v>
      </c>
      <c r="C109" s="2">
        <v>5.568E-3</v>
      </c>
      <c r="D109" s="3">
        <v>90800</v>
      </c>
      <c r="E109" s="3">
        <v>126000000000</v>
      </c>
      <c r="F109" s="3">
        <v>113000000000</v>
      </c>
      <c r="G109" s="3">
        <v>7820000000</v>
      </c>
      <c r="H109" s="3">
        <v>12400000000</v>
      </c>
      <c r="I109" s="2"/>
      <c r="J109" s="7">
        <f t="shared" si="49"/>
        <v>9.0499999999999997E-2</v>
      </c>
      <c r="K109" s="7">
        <f t="shared" si="50"/>
        <v>5.5679999999999996</v>
      </c>
      <c r="L109" s="7">
        <f t="shared" si="51"/>
        <v>126.00000000000001</v>
      </c>
      <c r="M109" s="7">
        <f t="shared" si="52"/>
        <v>90.8</v>
      </c>
      <c r="O109">
        <f t="shared" si="53"/>
        <v>4.4508810572687227E-2</v>
      </c>
      <c r="P109">
        <f t="shared" si="54"/>
        <v>44.508810572687224</v>
      </c>
      <c r="V109">
        <f t="shared" si="38"/>
        <v>343.50576164567178</v>
      </c>
      <c r="W109">
        <f t="shared" si="39"/>
        <v>132.16663319560377</v>
      </c>
      <c r="AE109">
        <f t="shared" si="40"/>
        <v>0.330575450956546</v>
      </c>
      <c r="AF109">
        <f t="shared" si="41"/>
        <v>0.3228834119770112</v>
      </c>
      <c r="AG109">
        <f t="shared" si="42"/>
        <v>0.32469128331943214</v>
      </c>
      <c r="AI109">
        <f t="shared" si="43"/>
        <v>0.11406876470778854</v>
      </c>
      <c r="AJ109">
        <f t="shared" si="44"/>
        <v>16.218419242159584</v>
      </c>
      <c r="AL109">
        <f t="shared" si="45"/>
        <v>0.11678622045786022</v>
      </c>
      <c r="AM109">
        <f t="shared" si="46"/>
        <v>17.000365281082551</v>
      </c>
      <c r="AO109">
        <f t="shared" si="47"/>
        <v>0.11613595827959378</v>
      </c>
      <c r="AP109">
        <f t="shared" si="48"/>
        <v>16.811577281750942</v>
      </c>
    </row>
    <row r="110" spans="1:42" x14ac:dyDescent="0.2">
      <c r="A110" s="3">
        <v>110</v>
      </c>
      <c r="B110" s="3">
        <v>9.1199999999999996E-8</v>
      </c>
      <c r="C110" s="2">
        <v>5.6220000000000003E-3</v>
      </c>
      <c r="D110" s="3">
        <v>95900</v>
      </c>
      <c r="E110" s="3">
        <v>132000000000</v>
      </c>
      <c r="F110" s="3">
        <v>118000000000</v>
      </c>
      <c r="G110" s="3">
        <v>6830000000</v>
      </c>
      <c r="H110" s="3">
        <v>12200000000</v>
      </c>
      <c r="I110" s="2"/>
      <c r="J110" s="7">
        <f t="shared" si="49"/>
        <v>9.1199999999999989E-2</v>
      </c>
      <c r="K110" s="7">
        <f t="shared" si="50"/>
        <v>5.6219999999999999</v>
      </c>
      <c r="L110" s="7">
        <f t="shared" si="51"/>
        <v>132</v>
      </c>
      <c r="M110" s="7">
        <f t="shared" si="52"/>
        <v>95.9</v>
      </c>
      <c r="O110">
        <f t="shared" si="53"/>
        <v>4.7232325338894675E-2</v>
      </c>
      <c r="P110">
        <f t="shared" si="54"/>
        <v>47.232325338894675</v>
      </c>
      <c r="V110">
        <f t="shared" si="38"/>
        <v>352.66388771274899</v>
      </c>
      <c r="W110">
        <f t="shared" si="39"/>
        <v>135.96515455831454</v>
      </c>
      <c r="AE110">
        <f t="shared" si="40"/>
        <v>0.34914301483185861</v>
      </c>
      <c r="AF110">
        <f t="shared" si="41"/>
        <v>0.34101893401536759</v>
      </c>
      <c r="AG110">
        <f t="shared" si="42"/>
        <v>0.34292834879221967</v>
      </c>
      <c r="AI110">
        <f t="shared" si="43"/>
        <v>0.10883792138387804</v>
      </c>
      <c r="AJ110">
        <f t="shared" si="44"/>
        <v>14.68028949704598</v>
      </c>
      <c r="AL110">
        <f t="shared" si="45"/>
        <v>0.11143076295666204</v>
      </c>
      <c r="AM110">
        <f t="shared" si="46"/>
        <v>15.388076985521886</v>
      </c>
      <c r="AO110">
        <f t="shared" si="47"/>
        <v>0.11081031980538944</v>
      </c>
      <c r="AP110">
        <f t="shared" si="48"/>
        <v>15.217193347457348</v>
      </c>
    </row>
    <row r="111" spans="1:42" x14ac:dyDescent="0.2">
      <c r="A111" s="3">
        <v>110</v>
      </c>
      <c r="B111" s="3">
        <v>9.1699999999999994E-8</v>
      </c>
      <c r="C111" s="2">
        <v>5.6769999999999998E-3</v>
      </c>
      <c r="D111" s="3">
        <v>90300</v>
      </c>
      <c r="E111" s="3">
        <v>125000000000</v>
      </c>
      <c r="F111" s="3">
        <v>112000000000</v>
      </c>
      <c r="G111" s="3">
        <v>867000000</v>
      </c>
      <c r="H111" s="3">
        <v>12700000000</v>
      </c>
      <c r="I111" s="2"/>
      <c r="J111" s="7">
        <f t="shared" si="49"/>
        <v>9.169999999999999E-2</v>
      </c>
      <c r="K111" s="7">
        <f t="shared" si="50"/>
        <v>5.6769999999999996</v>
      </c>
      <c r="L111" s="7">
        <f t="shared" si="51"/>
        <v>125.00000000000001</v>
      </c>
      <c r="M111" s="7">
        <f t="shared" si="52"/>
        <v>90.3</v>
      </c>
      <c r="O111">
        <f t="shared" si="53"/>
        <v>4.4548837209302312E-2</v>
      </c>
      <c r="P111">
        <f t="shared" si="54"/>
        <v>44.548837209302313</v>
      </c>
      <c r="V111">
        <f t="shared" si="38"/>
        <v>343.64258232382036</v>
      </c>
      <c r="W111">
        <f t="shared" si="39"/>
        <v>131.38651122535904</v>
      </c>
      <c r="AE111">
        <f t="shared" si="40"/>
        <v>0.32875510155700555</v>
      </c>
      <c r="AF111">
        <f t="shared" si="41"/>
        <v>0.32110541962030958</v>
      </c>
      <c r="AG111">
        <f t="shared" si="42"/>
        <v>0.32290333572406082</v>
      </c>
      <c r="AI111">
        <f t="shared" si="43"/>
        <v>0.11622126364694016</v>
      </c>
      <c r="AJ111">
        <f t="shared" si="44"/>
        <v>16.719542387883614</v>
      </c>
      <c r="AL111">
        <f t="shared" si="45"/>
        <v>0.11898999829561485</v>
      </c>
      <c r="AM111">
        <f t="shared" si="46"/>
        <v>17.525649305432339</v>
      </c>
      <c r="AO111">
        <f t="shared" si="47"/>
        <v>0.11832746554834142</v>
      </c>
      <c r="AP111">
        <f t="shared" si="48"/>
        <v>17.331028059673478</v>
      </c>
    </row>
    <row r="112" spans="1:42" x14ac:dyDescent="0.2">
      <c r="A112" s="3">
        <v>110</v>
      </c>
      <c r="B112" s="3">
        <v>9.2700000000000003E-8</v>
      </c>
      <c r="C112" s="2">
        <v>5.7260000000000002E-3</v>
      </c>
      <c r="D112" s="3">
        <v>92000</v>
      </c>
      <c r="E112" s="3">
        <v>127000000000</v>
      </c>
      <c r="F112" s="3">
        <v>113000000000</v>
      </c>
      <c r="G112" s="2">
        <v>0</v>
      </c>
      <c r="H112" s="3">
        <v>12600000000</v>
      </c>
      <c r="I112" s="2"/>
      <c r="J112" s="7">
        <f t="shared" si="49"/>
        <v>9.2700000000000005E-2</v>
      </c>
      <c r="K112" s="7">
        <f t="shared" si="50"/>
        <v>5.726</v>
      </c>
      <c r="L112" s="7">
        <f t="shared" si="51"/>
        <v>127.00000000000001</v>
      </c>
      <c r="M112" s="7">
        <f t="shared" si="52"/>
        <v>92</v>
      </c>
      <c r="O112">
        <f t="shared" si="53"/>
        <v>4.6020652173913046E-2</v>
      </c>
      <c r="P112">
        <f t="shared" si="54"/>
        <v>46.020652173913049</v>
      </c>
      <c r="V112">
        <f t="shared" si="38"/>
        <v>348.62684023707595</v>
      </c>
      <c r="W112">
        <f t="shared" si="39"/>
        <v>131.9462378992929</v>
      </c>
      <c r="AE112">
        <f t="shared" si="40"/>
        <v>0.33494428951544308</v>
      </c>
      <c r="AF112">
        <f t="shared" si="41"/>
        <v>0.32715059363309507</v>
      </c>
      <c r="AG112">
        <f t="shared" si="42"/>
        <v>0.32898235754832333</v>
      </c>
      <c r="AI112">
        <f t="shared" si="43"/>
        <v>0.11531768478835087</v>
      </c>
      <c r="AJ112">
        <f t="shared" si="44"/>
        <v>16.246382804827327</v>
      </c>
      <c r="AL112">
        <f t="shared" si="45"/>
        <v>0.11806489351298134</v>
      </c>
      <c r="AM112">
        <f t="shared" si="46"/>
        <v>17.029677063742369</v>
      </c>
      <c r="AO112">
        <f t="shared" si="47"/>
        <v>0.11740751172143472</v>
      </c>
      <c r="AP112">
        <f t="shared" si="48"/>
        <v>16.840563558886988</v>
      </c>
    </row>
    <row r="113" spans="1:42" x14ac:dyDescent="0.2">
      <c r="A113" s="3">
        <v>110</v>
      </c>
      <c r="B113" s="3">
        <v>9.2900000000000005E-8</v>
      </c>
      <c r="C113" s="2">
        <v>5.7790000000000003E-3</v>
      </c>
      <c r="D113" s="3">
        <v>92800</v>
      </c>
      <c r="E113" s="3">
        <v>128000000000</v>
      </c>
      <c r="F113" s="3">
        <v>114000000000</v>
      </c>
      <c r="G113" s="2">
        <v>0</v>
      </c>
      <c r="H113" s="3">
        <v>12700000000</v>
      </c>
      <c r="I113" s="2"/>
      <c r="J113" s="7">
        <f t="shared" si="49"/>
        <v>9.290000000000001E-2</v>
      </c>
      <c r="K113" s="7">
        <f t="shared" si="50"/>
        <v>5.7789999999999999</v>
      </c>
      <c r="L113" s="7">
        <f t="shared" si="51"/>
        <v>128</v>
      </c>
      <c r="M113" s="7">
        <f t="shared" si="52"/>
        <v>92.8</v>
      </c>
      <c r="O113">
        <f t="shared" si="53"/>
        <v>4.6194719827586217E-2</v>
      </c>
      <c r="P113">
        <f t="shared" si="54"/>
        <v>46.194719827586219</v>
      </c>
      <c r="V113">
        <f t="shared" si="38"/>
        <v>349.21040982113595</v>
      </c>
      <c r="W113">
        <f t="shared" si="39"/>
        <v>132.87118223012274</v>
      </c>
      <c r="AE113">
        <f t="shared" si="40"/>
        <v>0.33785684855470782</v>
      </c>
      <c r="AF113">
        <f t="shared" si="41"/>
        <v>0.32999538140381762</v>
      </c>
      <c r="AG113">
        <f t="shared" si="42"/>
        <v>0.33184307370091742</v>
      </c>
      <c r="AI113">
        <f t="shared" si="43"/>
        <v>0.11457021960312712</v>
      </c>
      <c r="AJ113">
        <f t="shared" si="44"/>
        <v>16.115275524982543</v>
      </c>
      <c r="AL113">
        <f t="shared" si="45"/>
        <v>0.11729962149368899</v>
      </c>
      <c r="AM113">
        <f t="shared" si="46"/>
        <v>16.892248648858601</v>
      </c>
      <c r="AO113">
        <f t="shared" si="47"/>
        <v>0.1166465007138292</v>
      </c>
      <c r="AP113">
        <f t="shared" si="48"/>
        <v>16.704661278004945</v>
      </c>
    </row>
    <row r="114" spans="1:42" x14ac:dyDescent="0.2">
      <c r="A114" s="3">
        <v>110</v>
      </c>
      <c r="B114" s="3">
        <v>9.3800000000000006E-8</v>
      </c>
      <c r="C114" s="2">
        <v>5.8300000000000001E-3</v>
      </c>
      <c r="D114" s="3">
        <v>103000</v>
      </c>
      <c r="E114" s="3">
        <v>138000000000</v>
      </c>
      <c r="F114" s="3">
        <v>123000000000</v>
      </c>
      <c r="G114" s="2">
        <v>0</v>
      </c>
      <c r="H114" s="3">
        <v>12100000000</v>
      </c>
      <c r="I114" s="2"/>
      <c r="J114" s="7">
        <f t="shared" si="49"/>
        <v>9.3800000000000008E-2</v>
      </c>
      <c r="K114" s="7">
        <f t="shared" si="50"/>
        <v>5.83</v>
      </c>
      <c r="L114" s="7">
        <f t="shared" si="51"/>
        <v>138</v>
      </c>
      <c r="M114" s="7">
        <f t="shared" si="52"/>
        <v>103</v>
      </c>
      <c r="O114">
        <f t="shared" si="53"/>
        <v>5.1348543689320396E-2</v>
      </c>
      <c r="P114">
        <f t="shared" si="54"/>
        <v>51.348543689320394</v>
      </c>
      <c r="V114">
        <f t="shared" si="38"/>
        <v>365.96340239122497</v>
      </c>
      <c r="W114">
        <f t="shared" si="39"/>
        <v>140.7244540396558</v>
      </c>
      <c r="AE114">
        <f t="shared" si="40"/>
        <v>0.37499197630533304</v>
      </c>
      <c r="AF114">
        <f t="shared" si="41"/>
        <v>0.36626642548053034</v>
      </c>
      <c r="AG114">
        <f t="shared" si="42"/>
        <v>0.36831720464649242</v>
      </c>
      <c r="AI114">
        <f t="shared" si="43"/>
        <v>0.10422445226270699</v>
      </c>
      <c r="AJ114">
        <f t="shared" si="44"/>
        <v>13.19699640595622</v>
      </c>
      <c r="AL114">
        <f t="shared" si="45"/>
        <v>0.10670738733985022</v>
      </c>
      <c r="AM114">
        <f t="shared" si="46"/>
        <v>13.833269208578876</v>
      </c>
      <c r="AO114">
        <f t="shared" si="47"/>
        <v>0.10611324380256733</v>
      </c>
      <c r="AP114">
        <f t="shared" si="48"/>
        <v>13.679651614196409</v>
      </c>
    </row>
    <row r="115" spans="1:42" x14ac:dyDescent="0.2">
      <c r="A115" s="3">
        <v>110</v>
      </c>
      <c r="B115" s="3">
        <v>9.3999999999999995E-8</v>
      </c>
      <c r="C115" s="2">
        <v>5.8840000000000003E-3</v>
      </c>
      <c r="D115" s="3">
        <v>112000</v>
      </c>
      <c r="E115" s="3">
        <v>148000000000</v>
      </c>
      <c r="F115" s="3">
        <v>130000000000</v>
      </c>
      <c r="G115" s="2">
        <v>0</v>
      </c>
      <c r="H115" s="3">
        <v>11400000000</v>
      </c>
      <c r="I115" s="2"/>
      <c r="J115" s="7">
        <f t="shared" si="49"/>
        <v>9.4E-2</v>
      </c>
      <c r="K115" s="7">
        <f t="shared" si="50"/>
        <v>5.8840000000000003</v>
      </c>
      <c r="L115" s="7">
        <f t="shared" si="51"/>
        <v>148</v>
      </c>
      <c r="M115" s="7">
        <f t="shared" si="52"/>
        <v>112</v>
      </c>
      <c r="O115">
        <f t="shared" si="53"/>
        <v>5.4598214285714285E-2</v>
      </c>
      <c r="P115">
        <f t="shared" si="54"/>
        <v>54.598214285714285</v>
      </c>
      <c r="V115">
        <f t="shared" si="38"/>
        <v>376.04885957213173</v>
      </c>
      <c r="W115">
        <f t="shared" si="39"/>
        <v>148.91681911684768</v>
      </c>
      <c r="AE115">
        <f t="shared" si="40"/>
        <v>0.40775826549706118</v>
      </c>
      <c r="AF115">
        <f t="shared" si="41"/>
        <v>0.3982702879011592</v>
      </c>
      <c r="AG115">
        <f t="shared" si="42"/>
        <v>0.40050026136317624</v>
      </c>
      <c r="AI115">
        <f t="shared" si="43"/>
        <v>9.6053642515185153E-2</v>
      </c>
      <c r="AJ115">
        <f t="shared" si="44"/>
        <v>11.264647648233288</v>
      </c>
      <c r="AL115">
        <f t="shared" si="45"/>
        <v>9.8341924709148432E-2</v>
      </c>
      <c r="AM115">
        <f t="shared" si="46"/>
        <v>11.807755239477554</v>
      </c>
      <c r="AO115">
        <f t="shared" si="47"/>
        <v>9.7794359817283821E-2</v>
      </c>
      <c r="AP115">
        <f t="shared" si="48"/>
        <v>11.676630851771673</v>
      </c>
    </row>
    <row r="116" spans="1:42" x14ac:dyDescent="0.2">
      <c r="A116" s="3">
        <v>110</v>
      </c>
      <c r="B116" s="3">
        <v>9.46E-8</v>
      </c>
      <c r="C116" s="2">
        <v>5.9329999999999999E-3</v>
      </c>
      <c r="D116" s="3">
        <v>102000</v>
      </c>
      <c r="E116" s="3">
        <v>138000000000</v>
      </c>
      <c r="F116" s="3">
        <v>122000000000</v>
      </c>
      <c r="G116" s="3">
        <v>672000000</v>
      </c>
      <c r="H116" s="3">
        <v>12300000000</v>
      </c>
      <c r="I116" s="2"/>
      <c r="J116" s="7">
        <f t="shared" si="49"/>
        <v>9.4600000000000004E-2</v>
      </c>
      <c r="K116" s="7">
        <f t="shared" si="50"/>
        <v>5.9329999999999998</v>
      </c>
      <c r="L116" s="7">
        <f t="shared" si="51"/>
        <v>138</v>
      </c>
      <c r="M116" s="7">
        <f t="shared" si="52"/>
        <v>102</v>
      </c>
      <c r="O116">
        <f t="shared" si="53"/>
        <v>5.0975000000000006E-2</v>
      </c>
      <c r="P116">
        <f t="shared" si="54"/>
        <v>50.975000000000009</v>
      </c>
      <c r="V116">
        <f t="shared" si="38"/>
        <v>364.78156820105534</v>
      </c>
      <c r="W116">
        <f t="shared" si="39"/>
        <v>139.80969557072169</v>
      </c>
      <c r="AE116">
        <f t="shared" si="40"/>
        <v>0.37135127750625213</v>
      </c>
      <c r="AF116">
        <f t="shared" si="41"/>
        <v>0.36271044076712711</v>
      </c>
      <c r="AG116">
        <f t="shared" si="42"/>
        <v>0.36474130945574978</v>
      </c>
      <c r="AI116">
        <f t="shared" si="43"/>
        <v>0.10614388331006358</v>
      </c>
      <c r="AJ116">
        <f t="shared" si="44"/>
        <v>13.694778044009899</v>
      </c>
      <c r="AL116">
        <f t="shared" si="45"/>
        <v>0.10867254491847826</v>
      </c>
      <c r="AM116">
        <f t="shared" si="46"/>
        <v>14.355050619626018</v>
      </c>
      <c r="AO116">
        <f t="shared" si="47"/>
        <v>0.10806745944264555</v>
      </c>
      <c r="AP116">
        <f t="shared" si="48"/>
        <v>14.19563867511922</v>
      </c>
    </row>
    <row r="117" spans="1:42" x14ac:dyDescent="0.2">
      <c r="A117" s="3">
        <v>120</v>
      </c>
      <c r="B117" s="3">
        <v>9.5399999999999994E-8</v>
      </c>
      <c r="C117" s="2">
        <v>5.986E-3</v>
      </c>
      <c r="D117" s="3">
        <v>108000</v>
      </c>
      <c r="E117" s="3">
        <v>142000000000</v>
      </c>
      <c r="F117" s="3">
        <v>125000000000</v>
      </c>
      <c r="G117" s="3">
        <v>4010000000</v>
      </c>
      <c r="H117" s="3">
        <v>11800000000</v>
      </c>
      <c r="I117" s="2"/>
      <c r="J117" s="7">
        <f t="shared" si="49"/>
        <v>9.5399999999999999E-2</v>
      </c>
      <c r="K117" s="7">
        <f t="shared" si="50"/>
        <v>5.9859999999999998</v>
      </c>
      <c r="L117" s="7">
        <f t="shared" si="51"/>
        <v>142</v>
      </c>
      <c r="M117" s="7">
        <f t="shared" si="52"/>
        <v>108</v>
      </c>
      <c r="O117">
        <f t="shared" si="53"/>
        <v>5.3830555555555555E-2</v>
      </c>
      <c r="P117">
        <f t="shared" si="54"/>
        <v>53.830555555555556</v>
      </c>
      <c r="V117">
        <f t="shared" si="38"/>
        <v>373.69724012621572</v>
      </c>
      <c r="W117">
        <f t="shared" si="39"/>
        <v>144.50200376583348</v>
      </c>
      <c r="AE117">
        <f t="shared" si="40"/>
        <v>0.39319547030073754</v>
      </c>
      <c r="AF117">
        <f t="shared" si="41"/>
        <v>0.38404634904754636</v>
      </c>
      <c r="AG117">
        <f t="shared" si="42"/>
        <v>0.38619668060020568</v>
      </c>
      <c r="AI117">
        <f t="shared" si="43"/>
        <v>0.10109475566846438</v>
      </c>
      <c r="AJ117">
        <f t="shared" si="44"/>
        <v>12.324525127476523</v>
      </c>
      <c r="AL117">
        <f t="shared" si="45"/>
        <v>0.1035031321052314</v>
      </c>
      <c r="AM117">
        <f t="shared" si="46"/>
        <v>12.918733074696512</v>
      </c>
      <c r="AO117">
        <f t="shared" si="47"/>
        <v>0.10292682976514125</v>
      </c>
      <c r="AP117">
        <f t="shared" si="48"/>
        <v>12.77527134721322</v>
      </c>
    </row>
    <row r="118" spans="1:42" x14ac:dyDescent="0.2">
      <c r="A118" s="3">
        <v>120</v>
      </c>
      <c r="B118" s="3">
        <v>9.5999999999999999E-8</v>
      </c>
      <c r="C118" s="2">
        <v>6.0369999999999998E-3</v>
      </c>
      <c r="D118" s="3">
        <v>103000</v>
      </c>
      <c r="E118" s="3">
        <v>138000000000</v>
      </c>
      <c r="F118" s="3">
        <v>122000000000</v>
      </c>
      <c r="G118" s="3">
        <v>3690000000</v>
      </c>
      <c r="H118" s="3">
        <v>12300000000</v>
      </c>
      <c r="I118" s="2"/>
      <c r="J118" s="7">
        <f t="shared" si="49"/>
        <v>9.6000000000000002E-2</v>
      </c>
      <c r="K118" s="7">
        <f t="shared" si="50"/>
        <v>6.0369999999999999</v>
      </c>
      <c r="L118" s="7">
        <f t="shared" si="51"/>
        <v>138</v>
      </c>
      <c r="M118" s="7">
        <f t="shared" si="52"/>
        <v>103</v>
      </c>
      <c r="O118">
        <f t="shared" si="53"/>
        <v>5.2041262135922334E-2</v>
      </c>
      <c r="P118">
        <f t="shared" si="54"/>
        <v>52.041262135922331</v>
      </c>
      <c r="V118">
        <f t="shared" si="38"/>
        <v>368.14244776763087</v>
      </c>
      <c r="W118">
        <f t="shared" si="39"/>
        <v>139.89150208645992</v>
      </c>
      <c r="AE118">
        <f t="shared" si="40"/>
        <v>0.37499197630533304</v>
      </c>
      <c r="AF118">
        <f t="shared" si="41"/>
        <v>0.36626642548053034</v>
      </c>
      <c r="AG118">
        <f t="shared" si="42"/>
        <v>0.36831720464649242</v>
      </c>
      <c r="AI118">
        <f t="shared" si="43"/>
        <v>0.10666894901087283</v>
      </c>
      <c r="AJ118">
        <f t="shared" si="44"/>
        <v>13.665569005618817</v>
      </c>
      <c r="AL118">
        <f t="shared" si="45"/>
        <v>0.10921011923907911</v>
      </c>
      <c r="AM118">
        <f t="shared" si="46"/>
        <v>14.324433312554147</v>
      </c>
      <c r="AO118">
        <f t="shared" si="47"/>
        <v>0.10860204056552733</v>
      </c>
      <c r="AP118">
        <f t="shared" si="48"/>
        <v>14.165361371338545</v>
      </c>
    </row>
    <row r="119" spans="1:42" x14ac:dyDescent="0.2">
      <c r="A119" s="3">
        <v>120</v>
      </c>
      <c r="B119" s="3">
        <v>9.6699999999999999E-8</v>
      </c>
      <c r="C119" s="2">
        <v>6.0920000000000002E-3</v>
      </c>
      <c r="D119" s="3">
        <v>97600</v>
      </c>
      <c r="E119" s="3">
        <v>133000000000</v>
      </c>
      <c r="F119" s="3">
        <v>118000000000</v>
      </c>
      <c r="G119" s="2">
        <v>0</v>
      </c>
      <c r="H119" s="3">
        <v>12900000000</v>
      </c>
      <c r="I119" s="2"/>
      <c r="J119" s="7">
        <f t="shared" si="49"/>
        <v>9.6699999999999994E-2</v>
      </c>
      <c r="K119" s="7">
        <f t="shared" si="50"/>
        <v>6.0920000000000005</v>
      </c>
      <c r="L119" s="7">
        <f t="shared" si="51"/>
        <v>133</v>
      </c>
      <c r="M119" s="7">
        <f t="shared" si="52"/>
        <v>97.600000000000009</v>
      </c>
      <c r="O119">
        <f t="shared" si="53"/>
        <v>4.988647540983606E-2</v>
      </c>
      <c r="P119">
        <f t="shared" si="54"/>
        <v>49.886475409836059</v>
      </c>
      <c r="V119">
        <f t="shared" si="38"/>
        <v>361.30987664923549</v>
      </c>
      <c r="W119">
        <f t="shared" si="39"/>
        <v>135.06411851391405</v>
      </c>
      <c r="AE119">
        <f t="shared" si="40"/>
        <v>0.3553322027902962</v>
      </c>
      <c r="AF119">
        <f t="shared" si="41"/>
        <v>0.34706410802815307</v>
      </c>
      <c r="AG119">
        <f t="shared" si="42"/>
        <v>0.34900737061648218</v>
      </c>
      <c r="AI119">
        <f t="shared" si="43"/>
        <v>0.11339154275990376</v>
      </c>
      <c r="AJ119">
        <f t="shared" si="44"/>
        <v>15.358233014573166</v>
      </c>
      <c r="AL119">
        <f t="shared" si="45"/>
        <v>0.11609286507782099</v>
      </c>
      <c r="AM119">
        <f t="shared" si="46"/>
        <v>16.098706502851439</v>
      </c>
      <c r="AO119">
        <f t="shared" si="47"/>
        <v>0.11544646348154762</v>
      </c>
      <c r="AP119">
        <f t="shared" si="48"/>
        <v>15.919931368185242</v>
      </c>
    </row>
    <row r="120" spans="1:42" x14ac:dyDescent="0.2">
      <c r="A120" s="3">
        <v>120</v>
      </c>
      <c r="B120" s="3">
        <v>9.7300000000000004E-8</v>
      </c>
      <c r="C120" s="2">
        <v>6.1440000000000002E-3</v>
      </c>
      <c r="D120" s="3">
        <v>109000</v>
      </c>
      <c r="E120" s="3">
        <v>142000000000</v>
      </c>
      <c r="F120" s="3">
        <v>126000000000</v>
      </c>
      <c r="G120" s="2">
        <v>0</v>
      </c>
      <c r="H120" s="3">
        <v>11800000000</v>
      </c>
      <c r="I120" s="2"/>
      <c r="J120" s="7">
        <f t="shared" si="49"/>
        <v>9.7299999999999998E-2</v>
      </c>
      <c r="K120" s="7">
        <f t="shared" si="50"/>
        <v>6.1440000000000001</v>
      </c>
      <c r="L120" s="7">
        <f t="shared" si="51"/>
        <v>142</v>
      </c>
      <c r="M120" s="7">
        <f t="shared" si="52"/>
        <v>109</v>
      </c>
      <c r="O120">
        <f t="shared" si="53"/>
        <v>5.5024770642201834E-2</v>
      </c>
      <c r="P120">
        <f t="shared" si="54"/>
        <v>55.024770642201837</v>
      </c>
      <c r="V120">
        <f t="shared" si="38"/>
        <v>377.34760330887616</v>
      </c>
      <c r="W120">
        <f t="shared" si="39"/>
        <v>144.42916695932814</v>
      </c>
      <c r="AE120">
        <f t="shared" si="40"/>
        <v>0.39683616909981845</v>
      </c>
      <c r="AF120">
        <f t="shared" si="41"/>
        <v>0.3876023337609496</v>
      </c>
      <c r="AG120">
        <f t="shared" si="42"/>
        <v>0.38977257579094832</v>
      </c>
      <c r="AI120">
        <f t="shared" si="43"/>
        <v>0.10216222669075557</v>
      </c>
      <c r="AJ120">
        <f t="shared" si="44"/>
        <v>12.418787738933259</v>
      </c>
      <c r="AL120">
        <f t="shared" si="45"/>
        <v>0.1045960334482155</v>
      </c>
      <c r="AM120">
        <f t="shared" si="46"/>
        <v>13.017540412402248</v>
      </c>
      <c r="AO120">
        <f t="shared" si="47"/>
        <v>0.1040136458661753</v>
      </c>
      <c r="AP120">
        <f t="shared" si="48"/>
        <v>12.87298143557776</v>
      </c>
    </row>
    <row r="121" spans="1:42" x14ac:dyDescent="0.2">
      <c r="A121" s="3">
        <v>120</v>
      </c>
      <c r="B121" s="3">
        <v>9.76E-8</v>
      </c>
      <c r="C121" s="2">
        <v>6.1939999999999999E-3</v>
      </c>
      <c r="D121" s="3">
        <v>104000</v>
      </c>
      <c r="E121" s="3">
        <v>138000000000</v>
      </c>
      <c r="F121" s="3">
        <v>122000000000</v>
      </c>
      <c r="G121" s="3">
        <v>19100000000</v>
      </c>
      <c r="H121" s="3">
        <v>12400000000</v>
      </c>
      <c r="I121" s="2"/>
      <c r="J121" s="7">
        <f t="shared" si="49"/>
        <v>9.7600000000000006E-2</v>
      </c>
      <c r="K121" s="7">
        <f t="shared" si="50"/>
        <v>6.194</v>
      </c>
      <c r="L121" s="7">
        <f t="shared" si="51"/>
        <v>138</v>
      </c>
      <c r="M121" s="7">
        <f t="shared" si="52"/>
        <v>104</v>
      </c>
      <c r="O121">
        <f t="shared" si="53"/>
        <v>5.293173076923078E-2</v>
      </c>
      <c r="P121">
        <f t="shared" si="54"/>
        <v>52.931730769230782</v>
      </c>
      <c r="V121">
        <f t="shared" si="38"/>
        <v>370.91994641776347</v>
      </c>
      <c r="W121">
        <f t="shared" si="39"/>
        <v>140.19197539037955</v>
      </c>
      <c r="AE121">
        <f t="shared" si="40"/>
        <v>0.37863267510441395</v>
      </c>
      <c r="AF121">
        <f t="shared" si="41"/>
        <v>0.36982241019393353</v>
      </c>
      <c r="AG121">
        <f t="shared" si="42"/>
        <v>0.37189309983723506</v>
      </c>
      <c r="AI121">
        <f t="shared" si="43"/>
        <v>0.10740400747360801</v>
      </c>
      <c r="AJ121">
        <f t="shared" si="44"/>
        <v>13.752622291822142</v>
      </c>
      <c r="AL121">
        <f t="shared" si="45"/>
        <v>0.10996268897101508</v>
      </c>
      <c r="AM121">
        <f t="shared" si="46"/>
        <v>14.415683738522176</v>
      </c>
      <c r="AO121">
        <f t="shared" si="47"/>
        <v>0.10935042001173209</v>
      </c>
      <c r="AP121">
        <f t="shared" si="48"/>
        <v>14.25559846700032</v>
      </c>
    </row>
    <row r="122" spans="1:42" x14ac:dyDescent="0.2">
      <c r="A122" s="3">
        <v>120</v>
      </c>
      <c r="B122" s="3">
        <v>9.8099999999999998E-8</v>
      </c>
      <c r="C122" s="2">
        <v>6.2459999999999998E-3</v>
      </c>
      <c r="D122" s="3">
        <v>91400</v>
      </c>
      <c r="E122" s="3">
        <v>125000000000</v>
      </c>
      <c r="F122" s="3">
        <v>112000000000</v>
      </c>
      <c r="G122" s="3">
        <v>13400000000</v>
      </c>
      <c r="H122" s="3">
        <v>13600000000</v>
      </c>
      <c r="I122" s="2"/>
      <c r="J122" s="7">
        <f t="shared" si="49"/>
        <v>9.8099999999999993E-2</v>
      </c>
      <c r="K122" s="7">
        <f t="shared" si="50"/>
        <v>6.2459999999999996</v>
      </c>
      <c r="L122" s="7">
        <f t="shared" si="51"/>
        <v>125.00000000000001</v>
      </c>
      <c r="M122" s="7">
        <f t="shared" si="52"/>
        <v>91.4</v>
      </c>
      <c r="O122">
        <f t="shared" si="53"/>
        <v>4.6847264770240704E-2</v>
      </c>
      <c r="P122">
        <f t="shared" si="54"/>
        <v>46.847264770240706</v>
      </c>
      <c r="V122">
        <f t="shared" si="38"/>
        <v>351.38726335613347</v>
      </c>
      <c r="W122">
        <f t="shared" si="39"/>
        <v>130.05593761001728</v>
      </c>
      <c r="AE122">
        <f t="shared" si="40"/>
        <v>0.33275987023599457</v>
      </c>
      <c r="AF122">
        <f t="shared" si="41"/>
        <v>0.32501700280505313</v>
      </c>
      <c r="AG122">
        <f t="shared" si="42"/>
        <v>0.32683682043387779</v>
      </c>
      <c r="AI122">
        <f t="shared" si="43"/>
        <v>0.12283632630043788</v>
      </c>
      <c r="AJ122">
        <f t="shared" si="44"/>
        <v>17.955213828377655</v>
      </c>
      <c r="AL122">
        <f t="shared" si="45"/>
        <v>0.12576265132971223</v>
      </c>
      <c r="AM122">
        <f t="shared" si="46"/>
        <v>18.820896736278936</v>
      </c>
      <c r="AO122">
        <f t="shared" si="47"/>
        <v>0.12506240865315663</v>
      </c>
      <c r="AP122">
        <f t="shared" si="48"/>
        <v>18.611891848341447</v>
      </c>
    </row>
    <row r="123" spans="1:42" x14ac:dyDescent="0.2">
      <c r="A123" s="3">
        <v>120</v>
      </c>
      <c r="B123" s="3">
        <v>9.8900000000000005E-8</v>
      </c>
      <c r="C123" s="2">
        <v>6.2989999999999999E-3</v>
      </c>
      <c r="D123" s="3">
        <v>102000</v>
      </c>
      <c r="E123" s="3">
        <v>135000000000</v>
      </c>
      <c r="F123" s="3">
        <v>120000000000</v>
      </c>
      <c r="G123" s="2">
        <v>0</v>
      </c>
      <c r="H123" s="3">
        <v>12700000000</v>
      </c>
      <c r="I123" s="2"/>
      <c r="J123" s="7">
        <f t="shared" si="49"/>
        <v>9.8900000000000002E-2</v>
      </c>
      <c r="K123" s="7">
        <f t="shared" si="50"/>
        <v>6.2989999999999995</v>
      </c>
      <c r="L123" s="7">
        <f t="shared" si="51"/>
        <v>135</v>
      </c>
      <c r="M123" s="7">
        <f t="shared" si="52"/>
        <v>102</v>
      </c>
      <c r="O123">
        <f t="shared" si="53"/>
        <v>5.2583823529411773E-2</v>
      </c>
      <c r="P123">
        <f t="shared" si="54"/>
        <v>52.583823529411774</v>
      </c>
      <c r="V123">
        <f t="shared" si="38"/>
        <v>369.83789515330614</v>
      </c>
      <c r="W123">
        <f t="shared" si="39"/>
        <v>137.8982539873567</v>
      </c>
      <c r="AE123">
        <f t="shared" si="40"/>
        <v>0.37135127750625213</v>
      </c>
      <c r="AF123">
        <f t="shared" si="41"/>
        <v>0.36271044076712711</v>
      </c>
      <c r="AG123">
        <f t="shared" si="42"/>
        <v>0.36474130945574978</v>
      </c>
      <c r="AI123">
        <f t="shared" si="43"/>
        <v>0.11096860527870284</v>
      </c>
      <c r="AJ123">
        <f t="shared" si="44"/>
        <v>14.539593274771338</v>
      </c>
      <c r="AL123">
        <f t="shared" si="45"/>
        <v>0.11361220605113637</v>
      </c>
      <c r="AM123">
        <f t="shared" si="46"/>
        <v>15.24059731215646</v>
      </c>
      <c r="AO123">
        <f t="shared" si="47"/>
        <v>0.11297961669003853</v>
      </c>
      <c r="AP123">
        <f t="shared" si="48"/>
        <v>15.071351426694077</v>
      </c>
    </row>
    <row r="124" spans="1:42" x14ac:dyDescent="0.2">
      <c r="A124" s="3">
        <v>120</v>
      </c>
      <c r="B124" s="3">
        <v>9.9499999999999998E-8</v>
      </c>
      <c r="C124" s="2">
        <v>6.3509999999999999E-3</v>
      </c>
      <c r="D124" s="3">
        <v>100000</v>
      </c>
      <c r="E124" s="3">
        <v>134000000000</v>
      </c>
      <c r="F124" s="3">
        <v>119000000000</v>
      </c>
      <c r="G124" s="3">
        <v>10600000000</v>
      </c>
      <c r="H124" s="3">
        <v>12900000000</v>
      </c>
      <c r="I124" s="2"/>
      <c r="J124" s="7">
        <f t="shared" si="49"/>
        <v>9.9499999999999991E-2</v>
      </c>
      <c r="K124" s="7">
        <f t="shared" si="50"/>
        <v>6.351</v>
      </c>
      <c r="L124" s="7">
        <f t="shared" si="51"/>
        <v>134</v>
      </c>
      <c r="M124" s="7">
        <f t="shared" si="52"/>
        <v>100</v>
      </c>
      <c r="O124">
        <f t="shared" si="53"/>
        <v>5.1867499999999997E-2</v>
      </c>
      <c r="P124">
        <f t="shared" si="54"/>
        <v>51.8675</v>
      </c>
      <c r="V124">
        <f t="shared" si="38"/>
        <v>367.59737949988408</v>
      </c>
      <c r="W124">
        <f t="shared" si="39"/>
        <v>136.01837985903208</v>
      </c>
      <c r="AE124">
        <f t="shared" si="40"/>
        <v>0.36406987990809031</v>
      </c>
      <c r="AF124">
        <f t="shared" si="41"/>
        <v>0.35559847134032074</v>
      </c>
      <c r="AG124">
        <f t="shared" si="42"/>
        <v>0.35758951907426451</v>
      </c>
      <c r="AI124">
        <f t="shared" si="43"/>
        <v>0.11387465874353439</v>
      </c>
      <c r="AJ124">
        <f t="shared" si="44"/>
        <v>15.251870383608654</v>
      </c>
      <c r="AL124">
        <f t="shared" si="45"/>
        <v>0.11658749031476064</v>
      </c>
      <c r="AM124">
        <f t="shared" si="46"/>
        <v>15.987215761882473</v>
      </c>
      <c r="AO124">
        <f t="shared" si="47"/>
        <v>0.11593833465997987</v>
      </c>
      <c r="AP124">
        <f t="shared" si="48"/>
        <v>15.80967872496203</v>
      </c>
    </row>
    <row r="125" spans="1:42" x14ac:dyDescent="0.2">
      <c r="A125" s="3">
        <v>120</v>
      </c>
      <c r="B125" s="3">
        <v>9.9999999999999995E-8</v>
      </c>
      <c r="C125" s="2">
        <v>6.4019999999999997E-3</v>
      </c>
      <c r="D125" s="3">
        <v>99800</v>
      </c>
      <c r="E125" s="3">
        <v>133000000000</v>
      </c>
      <c r="F125" s="3">
        <v>119000000000</v>
      </c>
      <c r="G125" s="3">
        <v>5680000000</v>
      </c>
      <c r="H125" s="3">
        <v>13100000000</v>
      </c>
      <c r="I125" s="2"/>
      <c r="J125" s="7">
        <f t="shared" si="49"/>
        <v>9.9999999999999992E-2</v>
      </c>
      <c r="K125" s="7">
        <f t="shared" si="50"/>
        <v>6.4020000000000001</v>
      </c>
      <c r="L125" s="7">
        <f t="shared" si="51"/>
        <v>133</v>
      </c>
      <c r="M125" s="7">
        <f t="shared" si="52"/>
        <v>99.8</v>
      </c>
      <c r="O125">
        <f t="shared" si="53"/>
        <v>5.1888777555110205E-2</v>
      </c>
      <c r="P125">
        <f t="shared" si="54"/>
        <v>51.888777555110202</v>
      </c>
      <c r="V125">
        <f t="shared" si="38"/>
        <v>367.66417889653366</v>
      </c>
      <c r="W125">
        <f t="shared" si="39"/>
        <v>135.72167990301452</v>
      </c>
      <c r="AE125">
        <f t="shared" si="40"/>
        <v>0.36334174014827414</v>
      </c>
      <c r="AF125">
        <f t="shared" si="41"/>
        <v>0.35488727439764006</v>
      </c>
      <c r="AG125">
        <f t="shared" si="42"/>
        <v>0.35687434003611596</v>
      </c>
      <c r="AI125">
        <f t="shared" si="43"/>
        <v>0.11467624570098427</v>
      </c>
      <c r="AJ125">
        <f t="shared" si="44"/>
        <v>15.436028804082156</v>
      </c>
      <c r="AL125">
        <f t="shared" si="45"/>
        <v>0.11740817344715626</v>
      </c>
      <c r="AM125">
        <f t="shared" si="46"/>
        <v>16.180253096217644</v>
      </c>
      <c r="AO125">
        <f t="shared" si="47"/>
        <v>0.11675444825327022</v>
      </c>
      <c r="AP125">
        <f t="shared" si="48"/>
        <v>16.000572391702836</v>
      </c>
    </row>
    <row r="126" spans="1:42" x14ac:dyDescent="0.2">
      <c r="A126" s="3">
        <v>120</v>
      </c>
      <c r="B126" s="3">
        <v>1.01E-7</v>
      </c>
      <c r="C126" s="2">
        <v>6.4539999999999997E-3</v>
      </c>
      <c r="D126" s="3">
        <v>102000</v>
      </c>
      <c r="E126" s="3">
        <v>134000000000</v>
      </c>
      <c r="F126" s="3">
        <v>119000000000</v>
      </c>
      <c r="G126" s="3">
        <v>607000000</v>
      </c>
      <c r="H126" s="3">
        <v>12700000000</v>
      </c>
      <c r="I126" s="2"/>
      <c r="J126" s="7">
        <f t="shared" si="49"/>
        <v>0.10100000000000001</v>
      </c>
      <c r="K126" s="7">
        <f t="shared" si="50"/>
        <v>6.4539999999999997</v>
      </c>
      <c r="L126" s="7">
        <f t="shared" si="51"/>
        <v>134</v>
      </c>
      <c r="M126" s="7">
        <f t="shared" si="52"/>
        <v>102</v>
      </c>
      <c r="O126">
        <f t="shared" si="53"/>
        <v>5.3544117647058839E-2</v>
      </c>
      <c r="P126">
        <f t="shared" si="54"/>
        <v>53.54411764705884</v>
      </c>
      <c r="V126">
        <f t="shared" si="38"/>
        <v>372.81499406284246</v>
      </c>
      <c r="W126">
        <f t="shared" si="39"/>
        <v>136.79707311182696</v>
      </c>
      <c r="AE126">
        <f t="shared" si="40"/>
        <v>0.37135127750625213</v>
      </c>
      <c r="AF126">
        <f t="shared" si="41"/>
        <v>0.36271044076712711</v>
      </c>
      <c r="AG126">
        <f t="shared" si="42"/>
        <v>0.36474130945574978</v>
      </c>
      <c r="AI126">
        <f t="shared" si="43"/>
        <v>0.11332486484478248</v>
      </c>
      <c r="AJ126">
        <f t="shared" si="44"/>
        <v>14.897370216760473</v>
      </c>
      <c r="AL126">
        <f t="shared" si="45"/>
        <v>0.11602459869731824</v>
      </c>
      <c r="AM126">
        <f t="shared" si="46"/>
        <v>15.615623916916622</v>
      </c>
      <c r="AO126">
        <f t="shared" si="47"/>
        <v>0.1153785772062072</v>
      </c>
      <c r="AP126">
        <f t="shared" si="48"/>
        <v>15.442213384328239</v>
      </c>
    </row>
    <row r="127" spans="1:42" x14ac:dyDescent="0.2">
      <c r="A127" s="3">
        <v>130</v>
      </c>
      <c r="B127" s="3">
        <v>1.02E-7</v>
      </c>
      <c r="C127" s="2">
        <v>6.5059999999999996E-3</v>
      </c>
      <c r="D127" s="3">
        <v>93000</v>
      </c>
      <c r="E127" s="3">
        <v>126000000000</v>
      </c>
      <c r="F127" s="3">
        <v>113000000000</v>
      </c>
      <c r="G127" s="3">
        <v>12100000000</v>
      </c>
      <c r="H127" s="3">
        <v>13900000000</v>
      </c>
      <c r="I127" s="2"/>
      <c r="J127" s="7">
        <f t="shared" si="49"/>
        <v>0.10199999999999999</v>
      </c>
      <c r="K127" s="7">
        <f t="shared" si="50"/>
        <v>6.5059999999999993</v>
      </c>
      <c r="L127" s="7">
        <f t="shared" si="51"/>
        <v>126.00000000000001</v>
      </c>
      <c r="M127" s="7">
        <f t="shared" si="52"/>
        <v>93</v>
      </c>
      <c r="O127">
        <f t="shared" si="53"/>
        <v>4.9532258064516124E-2</v>
      </c>
      <c r="P127">
        <f t="shared" si="54"/>
        <v>49.532258064516121</v>
      </c>
      <c r="V127">
        <f t="shared" si="38"/>
        <v>360.17106664978172</v>
      </c>
      <c r="W127">
        <f t="shared" si="39"/>
        <v>129.10531773840412</v>
      </c>
      <c r="AE127">
        <f t="shared" si="40"/>
        <v>0.33858498831452399</v>
      </c>
      <c r="AF127">
        <f t="shared" si="41"/>
        <v>0.33070657834649825</v>
      </c>
      <c r="AG127">
        <f t="shared" si="42"/>
        <v>0.33255825273906597</v>
      </c>
      <c r="AI127">
        <f t="shared" si="43"/>
        <v>0.12552239900405801</v>
      </c>
      <c r="AJ127">
        <f t="shared" si="44"/>
        <v>18.064633499889176</v>
      </c>
      <c r="AL127">
        <f t="shared" si="45"/>
        <v>0.12851271423899699</v>
      </c>
      <c r="AM127">
        <f t="shared" si="46"/>
        <v>18.935591908284131</v>
      </c>
      <c r="AO127">
        <f t="shared" si="47"/>
        <v>0.12779715929451502</v>
      </c>
      <c r="AP127">
        <f t="shared" si="48"/>
        <v>18.725313337593494</v>
      </c>
    </row>
    <row r="128" spans="1:42" x14ac:dyDescent="0.2">
      <c r="A128" s="3">
        <v>130</v>
      </c>
      <c r="B128" s="3">
        <v>1.02E-7</v>
      </c>
      <c r="C128" s="2">
        <v>6.561E-3</v>
      </c>
      <c r="D128" s="3">
        <v>107000</v>
      </c>
      <c r="E128" s="3">
        <v>138000000000</v>
      </c>
      <c r="F128" s="3">
        <v>122000000000</v>
      </c>
      <c r="G128" s="2">
        <v>0</v>
      </c>
      <c r="H128" s="3">
        <v>12300000000</v>
      </c>
      <c r="I128" s="2"/>
      <c r="J128" s="7">
        <f t="shared" si="49"/>
        <v>0.10199999999999999</v>
      </c>
      <c r="K128" s="7">
        <f t="shared" si="50"/>
        <v>6.5609999999999999</v>
      </c>
      <c r="L128" s="7">
        <f t="shared" si="51"/>
        <v>138</v>
      </c>
      <c r="M128" s="7">
        <f t="shared" si="52"/>
        <v>107</v>
      </c>
      <c r="O128">
        <f t="shared" si="53"/>
        <v>5.6011682242990649E-2</v>
      </c>
      <c r="P128">
        <f t="shared" si="54"/>
        <v>56.011682242990652</v>
      </c>
      <c r="V128">
        <f t="shared" si="38"/>
        <v>380.3311325471368</v>
      </c>
      <c r="W128">
        <f t="shared" si="39"/>
        <v>140.66689634819576</v>
      </c>
      <c r="AE128">
        <f t="shared" si="40"/>
        <v>0.38955477150165663</v>
      </c>
      <c r="AF128">
        <f t="shared" si="41"/>
        <v>0.38049036433414318</v>
      </c>
      <c r="AG128">
        <f t="shared" si="42"/>
        <v>0.38262078540946304</v>
      </c>
      <c r="AI128">
        <f t="shared" si="43"/>
        <v>0.10909890754558313</v>
      </c>
      <c r="AJ128">
        <f t="shared" si="44"/>
        <v>13.762060903208312</v>
      </c>
      <c r="AL128">
        <f t="shared" si="45"/>
        <v>0.11169796658155812</v>
      </c>
      <c r="AM128">
        <f t="shared" si="46"/>
        <v>14.425577417981017</v>
      </c>
      <c r="AO128">
        <f t="shared" si="47"/>
        <v>0.1110760356485037</v>
      </c>
      <c r="AP128">
        <f t="shared" si="48"/>
        <v>14.26538227776398</v>
      </c>
    </row>
    <row r="129" spans="1:42" x14ac:dyDescent="0.2">
      <c r="A129" s="3">
        <v>130</v>
      </c>
      <c r="B129" s="3">
        <v>1.03E-7</v>
      </c>
      <c r="C129" s="2">
        <v>6.6119999999999998E-3</v>
      </c>
      <c r="D129" s="3">
        <v>97900</v>
      </c>
      <c r="E129" s="3">
        <v>130000000000</v>
      </c>
      <c r="F129" s="3">
        <v>116000000000</v>
      </c>
      <c r="G129" s="2">
        <v>0</v>
      </c>
      <c r="H129" s="3">
        <v>13500000000</v>
      </c>
      <c r="I129" s="2"/>
      <c r="J129" s="7">
        <f t="shared" si="49"/>
        <v>0.10299999999999999</v>
      </c>
      <c r="K129" s="7">
        <f t="shared" si="50"/>
        <v>6.6120000000000001</v>
      </c>
      <c r="L129" s="7">
        <f t="shared" si="51"/>
        <v>130</v>
      </c>
      <c r="M129" s="7">
        <f t="shared" si="52"/>
        <v>97.9</v>
      </c>
      <c r="O129">
        <f t="shared" si="53"/>
        <v>5.2346271705822262E-2</v>
      </c>
      <c r="P129">
        <f t="shared" si="54"/>
        <v>52.346271705822261</v>
      </c>
      <c r="V129">
        <f t="shared" si="38"/>
        <v>369.09677559451535</v>
      </c>
      <c r="W129">
        <f t="shared" si="39"/>
        <v>132.62104476842083</v>
      </c>
      <c r="AE129">
        <f t="shared" si="40"/>
        <v>0.35642441243002043</v>
      </c>
      <c r="AF129">
        <f t="shared" si="41"/>
        <v>0.34813090344217401</v>
      </c>
      <c r="AG129">
        <f t="shared" si="42"/>
        <v>0.35008013917370495</v>
      </c>
      <c r="AI129">
        <f t="shared" si="43"/>
        <v>0.12040888662499466</v>
      </c>
      <c r="AJ129">
        <f t="shared" si="44"/>
        <v>16.567174794750628</v>
      </c>
      <c r="AL129">
        <f t="shared" si="45"/>
        <v>0.12327738285318672</v>
      </c>
      <c r="AM129">
        <f t="shared" si="46"/>
        <v>17.365935544085811</v>
      </c>
      <c r="AO129">
        <f t="shared" si="47"/>
        <v>0.12259097807708538</v>
      </c>
      <c r="AP129">
        <f t="shared" si="48"/>
        <v>17.173087909715402</v>
      </c>
    </row>
    <row r="130" spans="1:42" x14ac:dyDescent="0.2">
      <c r="A130" s="3">
        <v>130</v>
      </c>
      <c r="B130" s="3">
        <v>1.03E-7</v>
      </c>
      <c r="C130" s="2">
        <v>6.6639999999999998E-3</v>
      </c>
      <c r="D130" s="3">
        <v>101000</v>
      </c>
      <c r="E130" s="3">
        <v>132000000000</v>
      </c>
      <c r="F130" s="3">
        <v>118000000000</v>
      </c>
      <c r="G130" s="3">
        <v>15400000000</v>
      </c>
      <c r="H130" s="3">
        <v>13100000000</v>
      </c>
      <c r="I130" s="2"/>
      <c r="J130" s="7">
        <f t="shared" si="49"/>
        <v>0.10299999999999999</v>
      </c>
      <c r="K130" s="7">
        <f t="shared" si="50"/>
        <v>6.6639999999999997</v>
      </c>
      <c r="L130" s="7">
        <f t="shared" si="51"/>
        <v>132</v>
      </c>
      <c r="M130" s="7">
        <f t="shared" si="52"/>
        <v>101</v>
      </c>
      <c r="O130">
        <f t="shared" si="53"/>
        <v>5.3514851485148507E-2</v>
      </c>
      <c r="P130">
        <f t="shared" si="54"/>
        <v>53.514851485148505</v>
      </c>
      <c r="V130">
        <f t="shared" si="38"/>
        <v>372.7247046499632</v>
      </c>
      <c r="W130">
        <f t="shared" si="39"/>
        <v>135.48873839051276</v>
      </c>
      <c r="AE130">
        <f t="shared" si="40"/>
        <v>0.36771057870717122</v>
      </c>
      <c r="AF130">
        <f t="shared" si="41"/>
        <v>0.35915445605372393</v>
      </c>
      <c r="AG130">
        <f t="shared" si="42"/>
        <v>0.36116541426500715</v>
      </c>
      <c r="AI130">
        <f t="shared" si="43"/>
        <v>0.11671316832264335</v>
      </c>
      <c r="AJ130">
        <f t="shared" si="44"/>
        <v>15.688204213304713</v>
      </c>
      <c r="AL130">
        <f t="shared" si="45"/>
        <v>0.11949362159729685</v>
      </c>
      <c r="AM130">
        <f t="shared" si="46"/>
        <v>16.444586753381088</v>
      </c>
      <c r="AO130">
        <f t="shared" si="47"/>
        <v>0.11882828469056099</v>
      </c>
      <c r="AP130">
        <f t="shared" si="48"/>
        <v>16.261970640040243</v>
      </c>
    </row>
    <row r="131" spans="1:42" x14ac:dyDescent="0.2">
      <c r="A131" s="3">
        <v>130</v>
      </c>
      <c r="B131" s="3">
        <v>1.04E-7</v>
      </c>
      <c r="C131" s="2">
        <v>6.7149999999999996E-3</v>
      </c>
      <c r="D131" s="3">
        <v>96700</v>
      </c>
      <c r="E131" s="3">
        <v>129000000000</v>
      </c>
      <c r="F131" s="3">
        <v>115000000000</v>
      </c>
      <c r="G131" s="3">
        <v>15100000000</v>
      </c>
      <c r="H131" s="3">
        <v>13700000000</v>
      </c>
      <c r="I131" s="2"/>
      <c r="J131" s="7">
        <f t="shared" si="49"/>
        <v>0.10400000000000001</v>
      </c>
      <c r="K131" s="7">
        <f t="shared" si="50"/>
        <v>6.7149999999999999</v>
      </c>
      <c r="L131" s="7">
        <f t="shared" si="51"/>
        <v>129</v>
      </c>
      <c r="M131" s="7">
        <f t="shared" si="52"/>
        <v>96.7</v>
      </c>
      <c r="O131">
        <f t="shared" si="53"/>
        <v>5.1918821096173753E-2</v>
      </c>
      <c r="P131">
        <f t="shared" si="54"/>
        <v>51.918821096173751</v>
      </c>
      <c r="V131">
        <f t="shared" si="38"/>
        <v>367.75847251875928</v>
      </c>
      <c r="W131">
        <f t="shared" si="39"/>
        <v>131.47215798688003</v>
      </c>
      <c r="AE131">
        <f t="shared" si="40"/>
        <v>0.35205557387112335</v>
      </c>
      <c r="AF131">
        <f t="shared" si="41"/>
        <v>0.34386372178609015</v>
      </c>
      <c r="AG131">
        <f t="shared" si="42"/>
        <v>0.34578906494481376</v>
      </c>
      <c r="AI131">
        <f t="shared" si="43"/>
        <v>0.12308662765042978</v>
      </c>
      <c r="AJ131">
        <f t="shared" si="44"/>
        <v>17.245431362538248</v>
      </c>
      <c r="AL131">
        <f t="shared" si="45"/>
        <v>0.1260189155990408</v>
      </c>
      <c r="AM131">
        <f t="shared" si="46"/>
        <v>18.076893204910686</v>
      </c>
      <c r="AO131">
        <f t="shared" si="47"/>
        <v>0.1253172460507076</v>
      </c>
      <c r="AP131">
        <f t="shared" si="48"/>
        <v>17.876150429925506</v>
      </c>
    </row>
    <row r="132" spans="1:42" x14ac:dyDescent="0.2">
      <c r="A132" s="3">
        <v>130</v>
      </c>
      <c r="B132" s="3">
        <v>1.04E-7</v>
      </c>
      <c r="C132" s="2">
        <v>6.7679999999999997E-3</v>
      </c>
      <c r="D132" s="3">
        <v>103000</v>
      </c>
      <c r="E132" s="3">
        <v>133000000000</v>
      </c>
      <c r="F132" s="3">
        <v>118000000000</v>
      </c>
      <c r="G132" s="3">
        <v>12500000000</v>
      </c>
      <c r="H132" s="3">
        <v>13000000000</v>
      </c>
      <c r="I132" s="2"/>
      <c r="J132" s="7">
        <f t="shared" si="49"/>
        <v>0.10400000000000001</v>
      </c>
      <c r="K132" s="7">
        <f t="shared" si="50"/>
        <v>6.7679999999999998</v>
      </c>
      <c r="L132" s="7">
        <f t="shared" si="51"/>
        <v>133</v>
      </c>
      <c r="M132" s="7">
        <f t="shared" si="52"/>
        <v>103</v>
      </c>
      <c r="O132">
        <f t="shared" si="53"/>
        <v>5.471844660194175E-2</v>
      </c>
      <c r="P132">
        <f t="shared" si="54"/>
        <v>54.71844660194175</v>
      </c>
      <c r="V132">
        <f t="shared" si="38"/>
        <v>376.41550330506669</v>
      </c>
      <c r="W132">
        <f t="shared" si="39"/>
        <v>136.81689395843435</v>
      </c>
      <c r="AE132">
        <f t="shared" si="40"/>
        <v>0.37499197630533304</v>
      </c>
      <c r="AF132">
        <f t="shared" si="41"/>
        <v>0.36626642548053034</v>
      </c>
      <c r="AG132">
        <f t="shared" si="42"/>
        <v>0.36831720464649242</v>
      </c>
      <c r="AI132">
        <f t="shared" si="43"/>
        <v>0.11555802809511223</v>
      </c>
      <c r="AJ132">
        <f t="shared" si="44"/>
        <v>15.32028673679446</v>
      </c>
      <c r="AL132">
        <f t="shared" si="45"/>
        <v>0.11831096250900237</v>
      </c>
      <c r="AM132">
        <f t="shared" si="46"/>
        <v>16.058930703887107</v>
      </c>
      <c r="AO132">
        <f t="shared" si="47"/>
        <v>0.11765221061265461</v>
      </c>
      <c r="AP132">
        <f t="shared" si="48"/>
        <v>15.880597276995076</v>
      </c>
    </row>
    <row r="133" spans="1:42" x14ac:dyDescent="0.2">
      <c r="A133" s="3">
        <v>130</v>
      </c>
      <c r="B133" s="3">
        <v>1.05E-7</v>
      </c>
      <c r="C133" s="2">
        <v>6.8199999999999997E-3</v>
      </c>
      <c r="D133" s="3">
        <v>102000</v>
      </c>
      <c r="E133" s="3">
        <v>132000000000</v>
      </c>
      <c r="F133" s="3">
        <v>117000000000</v>
      </c>
      <c r="G133" s="3">
        <v>5870000000</v>
      </c>
      <c r="H133" s="3">
        <v>13100000000</v>
      </c>
      <c r="I133" s="2"/>
      <c r="J133" s="7">
        <f t="shared" si="49"/>
        <v>0.105</v>
      </c>
      <c r="K133" s="7">
        <f t="shared" si="50"/>
        <v>6.8199999999999994</v>
      </c>
      <c r="L133" s="7">
        <f t="shared" si="51"/>
        <v>132</v>
      </c>
      <c r="M133" s="7">
        <f t="shared" si="52"/>
        <v>102</v>
      </c>
      <c r="O133">
        <f t="shared" si="53"/>
        <v>5.485294117647059E-2</v>
      </c>
      <c r="P133">
        <f t="shared" si="54"/>
        <v>54.852941176470587</v>
      </c>
      <c r="V133">
        <f t="shared" ref="V133:V196" si="55">$S$3*(P133^$S$4)</f>
        <v>376.82510791735615</v>
      </c>
      <c r="W133">
        <f t="shared" ref="W133:W196" si="56">M133/(2*(V133/1000))</f>
        <v>135.34130005791741</v>
      </c>
      <c r="AE133">
        <f t="shared" si="40"/>
        <v>0.37135127750625213</v>
      </c>
      <c r="AF133">
        <f t="shared" si="41"/>
        <v>0.36271044076712711</v>
      </c>
      <c r="AG133">
        <f t="shared" si="42"/>
        <v>0.36474130945574978</v>
      </c>
      <c r="AI133">
        <f t="shared" si="43"/>
        <v>0.11781297830398177</v>
      </c>
      <c r="AJ133">
        <f t="shared" si="44"/>
        <v>15.742185447521912</v>
      </c>
      <c r="AL133">
        <f t="shared" si="45"/>
        <v>0.1206196323090932</v>
      </c>
      <c r="AM133">
        <f t="shared" si="46"/>
        <v>16.501170609447065</v>
      </c>
      <c r="AO133">
        <f t="shared" si="47"/>
        <v>0.11994802580843321</v>
      </c>
      <c r="AP133">
        <f t="shared" si="48"/>
        <v>16.317926135903097</v>
      </c>
    </row>
    <row r="134" spans="1:42" x14ac:dyDescent="0.2">
      <c r="A134" s="3">
        <v>130</v>
      </c>
      <c r="B134" s="3">
        <v>1.06E-7</v>
      </c>
      <c r="C134" s="2">
        <v>6.8710000000000004E-3</v>
      </c>
      <c r="D134" s="3">
        <v>96100</v>
      </c>
      <c r="E134" s="3">
        <v>127000000000</v>
      </c>
      <c r="F134" s="3">
        <v>114000000000</v>
      </c>
      <c r="G134" s="2">
        <v>0</v>
      </c>
      <c r="H134" s="3">
        <v>13900000000</v>
      </c>
      <c r="I134" s="2"/>
      <c r="J134" s="7">
        <f t="shared" si="49"/>
        <v>0.106</v>
      </c>
      <c r="K134" s="7">
        <f t="shared" si="50"/>
        <v>6.8710000000000004</v>
      </c>
      <c r="L134" s="7">
        <f t="shared" si="51"/>
        <v>127.00000000000001</v>
      </c>
      <c r="M134" s="7">
        <f t="shared" si="52"/>
        <v>96.100000000000009</v>
      </c>
      <c r="O134">
        <f t="shared" si="53"/>
        <v>5.2376170655567121E-2</v>
      </c>
      <c r="P134">
        <f t="shared" si="54"/>
        <v>52.376170655567122</v>
      </c>
      <c r="V134">
        <f t="shared" si="55"/>
        <v>369.1901579222266</v>
      </c>
      <c r="W134">
        <f t="shared" si="56"/>
        <v>130.14973170038351</v>
      </c>
      <c r="AE134">
        <f t="shared" si="40"/>
        <v>0.34987115459167484</v>
      </c>
      <c r="AF134">
        <f t="shared" si="41"/>
        <v>0.34173013095804822</v>
      </c>
      <c r="AG134">
        <f t="shared" si="42"/>
        <v>0.34364352783036822</v>
      </c>
      <c r="AI134">
        <f t="shared" si="43"/>
        <v>0.12623694776499192</v>
      </c>
      <c r="AJ134">
        <f t="shared" si="44"/>
        <v>17.867104038754054</v>
      </c>
      <c r="AL134">
        <f t="shared" si="45"/>
        <v>0.12924428566730248</v>
      </c>
      <c r="AM134">
        <f t="shared" si="46"/>
        <v>18.7285388692097</v>
      </c>
      <c r="AO134">
        <f t="shared" si="47"/>
        <v>0.12852465735501509</v>
      </c>
      <c r="AP134">
        <f t="shared" si="48"/>
        <v>18.52055960964303</v>
      </c>
    </row>
    <row r="135" spans="1:42" x14ac:dyDescent="0.2">
      <c r="A135" s="3">
        <v>130</v>
      </c>
      <c r="B135" s="3">
        <v>1.06E-7</v>
      </c>
      <c r="C135" s="2">
        <v>6.9230000000000003E-3</v>
      </c>
      <c r="D135" s="3">
        <v>105000</v>
      </c>
      <c r="E135" s="3">
        <v>134000000000</v>
      </c>
      <c r="F135" s="3">
        <v>119000000000</v>
      </c>
      <c r="G135" s="3">
        <v>3290000000</v>
      </c>
      <c r="H135" s="3">
        <v>12900000000</v>
      </c>
      <c r="I135" s="2"/>
      <c r="J135" s="7">
        <f t="shared" si="49"/>
        <v>0.106</v>
      </c>
      <c r="K135" s="7">
        <f t="shared" si="50"/>
        <v>6.923</v>
      </c>
      <c r="L135" s="7">
        <f t="shared" si="51"/>
        <v>134</v>
      </c>
      <c r="M135" s="7">
        <f t="shared" si="52"/>
        <v>105</v>
      </c>
      <c r="O135">
        <f t="shared" si="53"/>
        <v>5.6550000000000003E-2</v>
      </c>
      <c r="P135">
        <f t="shared" si="54"/>
        <v>56.550000000000004</v>
      </c>
      <c r="V135">
        <f t="shared" si="55"/>
        <v>381.94618682595444</v>
      </c>
      <c r="W135">
        <f t="shared" si="56"/>
        <v>137.45391840742016</v>
      </c>
      <c r="AE135">
        <f t="shared" si="40"/>
        <v>0.38227337390349481</v>
      </c>
      <c r="AF135">
        <f t="shared" si="41"/>
        <v>0.37337839490733676</v>
      </c>
      <c r="AG135">
        <f t="shared" si="42"/>
        <v>0.3754689950279777</v>
      </c>
      <c r="AI135">
        <f t="shared" si="43"/>
        <v>0.11553686362110215</v>
      </c>
      <c r="AJ135">
        <f t="shared" si="44"/>
        <v>15.07983975465827</v>
      </c>
      <c r="AL135">
        <f t="shared" si="45"/>
        <v>0.11828929383455017</v>
      </c>
      <c r="AM135">
        <f t="shared" si="46"/>
        <v>15.806890941810707</v>
      </c>
      <c r="AO135">
        <f t="shared" si="47"/>
        <v>0.11763066258873286</v>
      </c>
      <c r="AP135">
        <f t="shared" si="48"/>
        <v>15.631356400804226</v>
      </c>
    </row>
    <row r="136" spans="1:42" x14ac:dyDescent="0.2">
      <c r="A136" s="3">
        <v>130</v>
      </c>
      <c r="B136" s="3">
        <v>1.0700000000000001E-7</v>
      </c>
      <c r="C136" s="2">
        <v>6.9740000000000002E-3</v>
      </c>
      <c r="D136" s="3">
        <v>100000</v>
      </c>
      <c r="E136" s="3">
        <v>129000000000</v>
      </c>
      <c r="F136" s="3">
        <v>115000000000</v>
      </c>
      <c r="G136" s="3">
        <v>5370000000</v>
      </c>
      <c r="H136" s="3">
        <v>13400000000</v>
      </c>
      <c r="I136" s="2"/>
      <c r="J136" s="7">
        <f t="shared" si="49"/>
        <v>0.10700000000000001</v>
      </c>
      <c r="K136" s="7">
        <f t="shared" si="50"/>
        <v>6.9740000000000002</v>
      </c>
      <c r="L136" s="7">
        <f t="shared" si="51"/>
        <v>129</v>
      </c>
      <c r="M136" s="7">
        <f t="shared" si="52"/>
        <v>100</v>
      </c>
      <c r="O136">
        <f t="shared" si="53"/>
        <v>5.4695000000000014E-2</v>
      </c>
      <c r="P136">
        <f t="shared" si="54"/>
        <v>54.695000000000014</v>
      </c>
      <c r="V136">
        <f t="shared" si="55"/>
        <v>376.34403905853122</v>
      </c>
      <c r="W136">
        <f t="shared" si="56"/>
        <v>132.85715943603324</v>
      </c>
      <c r="AE136">
        <f t="shared" si="40"/>
        <v>0.36406987990809031</v>
      </c>
      <c r="AF136">
        <f t="shared" si="41"/>
        <v>0.35559847134032074</v>
      </c>
      <c r="AG136">
        <f t="shared" si="42"/>
        <v>0.35758951907426451</v>
      </c>
      <c r="AI136">
        <f t="shared" si="43"/>
        <v>0.12245817573425309</v>
      </c>
      <c r="AJ136">
        <f t="shared" si="44"/>
        <v>16.747999378883129</v>
      </c>
      <c r="AL136">
        <f t="shared" si="45"/>
        <v>0.1253754920972803</v>
      </c>
      <c r="AM136">
        <f t="shared" si="46"/>
        <v>17.555478306308984</v>
      </c>
      <c r="AO136">
        <f t="shared" si="47"/>
        <v>0.12467740511173717</v>
      </c>
      <c r="AP136">
        <f t="shared" si="48"/>
        <v>17.360525811350211</v>
      </c>
    </row>
    <row r="137" spans="1:42" x14ac:dyDescent="0.2">
      <c r="A137" s="3">
        <v>140</v>
      </c>
      <c r="B137" s="3">
        <v>1.08E-7</v>
      </c>
      <c r="C137" s="2">
        <v>7.0270000000000003E-3</v>
      </c>
      <c r="D137" s="3">
        <v>104000</v>
      </c>
      <c r="E137" s="3">
        <v>132000000000</v>
      </c>
      <c r="F137" s="3">
        <v>118000000000</v>
      </c>
      <c r="G137" s="3">
        <v>4470000000</v>
      </c>
      <c r="H137" s="3">
        <v>13000000000</v>
      </c>
      <c r="I137" s="2"/>
      <c r="J137" s="7">
        <f t="shared" si="49"/>
        <v>0.108</v>
      </c>
      <c r="K137" s="7">
        <f t="shared" si="50"/>
        <v>7.0270000000000001</v>
      </c>
      <c r="L137" s="7">
        <f t="shared" si="51"/>
        <v>132</v>
      </c>
      <c r="M137" s="7">
        <f t="shared" si="52"/>
        <v>104</v>
      </c>
      <c r="O137">
        <f t="shared" si="53"/>
        <v>5.7324519230769228E-2</v>
      </c>
      <c r="P137">
        <f t="shared" si="54"/>
        <v>57.324519230769226</v>
      </c>
      <c r="V137">
        <f t="shared" si="55"/>
        <v>384.25493810839396</v>
      </c>
      <c r="W137">
        <f t="shared" si="56"/>
        <v>135.32682300970558</v>
      </c>
      <c r="AE137">
        <f t="shared" si="40"/>
        <v>0.37863267510441395</v>
      </c>
      <c r="AF137">
        <f t="shared" si="41"/>
        <v>0.36982241019393353</v>
      </c>
      <c r="AG137">
        <f t="shared" si="42"/>
        <v>0.37189309983723506</v>
      </c>
      <c r="AI137">
        <f t="shared" si="43"/>
        <v>0.11884869679456624</v>
      </c>
      <c r="AJ137">
        <f t="shared" si="44"/>
        <v>15.602143500909621</v>
      </c>
      <c r="AL137">
        <f t="shared" si="45"/>
        <v>0.12168002468104128</v>
      </c>
      <c r="AM137">
        <f t="shared" si="46"/>
        <v>16.3543767566347</v>
      </c>
      <c r="AO137">
        <f t="shared" si="47"/>
        <v>0.12100251394740846</v>
      </c>
      <c r="AP137">
        <f t="shared" si="48"/>
        <v>16.172762419698298</v>
      </c>
    </row>
    <row r="138" spans="1:42" x14ac:dyDescent="0.2">
      <c r="A138" s="3">
        <v>140</v>
      </c>
      <c r="B138" s="3">
        <v>1.08E-7</v>
      </c>
      <c r="C138" s="2">
        <v>7.0809999999999996E-3</v>
      </c>
      <c r="D138" s="3">
        <v>106000</v>
      </c>
      <c r="E138" s="3">
        <v>134000000000</v>
      </c>
      <c r="F138" s="3">
        <v>119000000000</v>
      </c>
      <c r="G138" s="3">
        <v>3000000000</v>
      </c>
      <c r="H138" s="3">
        <v>12900000000</v>
      </c>
      <c r="I138" s="2"/>
      <c r="J138" s="7">
        <f t="shared" si="49"/>
        <v>0.108</v>
      </c>
      <c r="K138" s="7">
        <f t="shared" si="50"/>
        <v>7.0809999999999995</v>
      </c>
      <c r="L138" s="7">
        <f t="shared" si="51"/>
        <v>134</v>
      </c>
      <c r="M138" s="7">
        <f t="shared" si="52"/>
        <v>106</v>
      </c>
      <c r="O138">
        <f t="shared" si="53"/>
        <v>5.7898584905660376E-2</v>
      </c>
      <c r="P138">
        <f t="shared" si="54"/>
        <v>57.898584905660378</v>
      </c>
      <c r="V138">
        <f t="shared" si="55"/>
        <v>385.9549710292556</v>
      </c>
      <c r="W138">
        <f t="shared" si="56"/>
        <v>137.32171879704219</v>
      </c>
      <c r="AE138">
        <f t="shared" si="40"/>
        <v>0.38591407270257572</v>
      </c>
      <c r="AF138">
        <f t="shared" si="41"/>
        <v>0.37693437962073995</v>
      </c>
      <c r="AG138">
        <f t="shared" si="42"/>
        <v>0.37904489021872034</v>
      </c>
      <c r="AI138">
        <f t="shared" si="43"/>
        <v>0.11660626855315934</v>
      </c>
      <c r="AJ138">
        <f t="shared" si="44"/>
        <v>15.134352913357716</v>
      </c>
      <c r="AL138">
        <f t="shared" si="45"/>
        <v>0.11938417515875747</v>
      </c>
      <c r="AM138">
        <f t="shared" si="46"/>
        <v>15.864032368276439</v>
      </c>
      <c r="AO138">
        <f t="shared" si="47"/>
        <v>0.11871944764651396</v>
      </c>
      <c r="AP138">
        <f t="shared" si="48"/>
        <v>15.687863275282213</v>
      </c>
    </row>
    <row r="139" spans="1:42" x14ac:dyDescent="0.2">
      <c r="A139" s="3">
        <v>140</v>
      </c>
      <c r="B139" s="3">
        <v>1.09E-7</v>
      </c>
      <c r="C139" s="2">
        <v>7.1320000000000003E-3</v>
      </c>
      <c r="D139" s="3">
        <v>102000</v>
      </c>
      <c r="E139" s="3">
        <v>130000000000</v>
      </c>
      <c r="F139" s="3">
        <v>116000000000</v>
      </c>
      <c r="G139" s="3">
        <v>9330000000</v>
      </c>
      <c r="H139" s="3">
        <v>13300000000</v>
      </c>
      <c r="I139" s="2"/>
      <c r="J139" s="7">
        <f t="shared" si="49"/>
        <v>0.109</v>
      </c>
      <c r="K139" s="7">
        <f t="shared" si="50"/>
        <v>7.1320000000000006</v>
      </c>
      <c r="L139" s="7">
        <f t="shared" si="51"/>
        <v>130</v>
      </c>
      <c r="M139" s="7">
        <f t="shared" si="52"/>
        <v>102</v>
      </c>
      <c r="O139">
        <f t="shared" si="53"/>
        <v>5.6558823529411759E-2</v>
      </c>
      <c r="P139">
        <f t="shared" si="54"/>
        <v>56.558823529411761</v>
      </c>
      <c r="V139">
        <f t="shared" si="55"/>
        <v>381.97258758233079</v>
      </c>
      <c r="W139">
        <f t="shared" si="56"/>
        <v>133.51743464838927</v>
      </c>
      <c r="AE139">
        <f t="shared" si="40"/>
        <v>0.37135127750625213</v>
      </c>
      <c r="AF139">
        <f t="shared" si="41"/>
        <v>0.36271044076712711</v>
      </c>
      <c r="AG139">
        <f t="shared" si="42"/>
        <v>0.36474130945574978</v>
      </c>
      <c r="AI139">
        <f t="shared" si="43"/>
        <v>0.12230109176318109</v>
      </c>
      <c r="AJ139">
        <f t="shared" si="44"/>
        <v>16.462355808171012</v>
      </c>
      <c r="AL139">
        <f t="shared" si="45"/>
        <v>0.12521466592086819</v>
      </c>
      <c r="AM139">
        <f t="shared" si="46"/>
        <v>17.256062871932038</v>
      </c>
      <c r="AO139">
        <f t="shared" si="47"/>
        <v>0.12451747441065925</v>
      </c>
      <c r="AP139">
        <f t="shared" si="48"/>
        <v>17.064435366753798</v>
      </c>
    </row>
    <row r="140" spans="1:42" x14ac:dyDescent="0.2">
      <c r="A140" s="3">
        <v>140</v>
      </c>
      <c r="B140" s="3">
        <v>1.09E-7</v>
      </c>
      <c r="C140" s="2">
        <v>7.1850000000000004E-3</v>
      </c>
      <c r="D140" s="3">
        <v>101000</v>
      </c>
      <c r="E140" s="3">
        <v>129000000000</v>
      </c>
      <c r="F140" s="3">
        <v>115000000000</v>
      </c>
      <c r="G140" s="3">
        <v>2170000000</v>
      </c>
      <c r="H140" s="3">
        <v>13600000000</v>
      </c>
      <c r="I140" s="2"/>
      <c r="J140" s="7">
        <f t="shared" si="49"/>
        <v>0.109</v>
      </c>
      <c r="K140" s="7">
        <f t="shared" si="50"/>
        <v>7.1850000000000005</v>
      </c>
      <c r="L140" s="7">
        <f t="shared" si="51"/>
        <v>129</v>
      </c>
      <c r="M140" s="7">
        <f t="shared" si="52"/>
        <v>101</v>
      </c>
      <c r="O140">
        <f t="shared" si="53"/>
        <v>5.564603960396039E-2</v>
      </c>
      <c r="P140">
        <f t="shared" si="54"/>
        <v>55.646039603960389</v>
      </c>
      <c r="V140">
        <f t="shared" si="55"/>
        <v>379.2292002083035</v>
      </c>
      <c r="W140">
        <f t="shared" si="56"/>
        <v>133.16485115666541</v>
      </c>
      <c r="AE140">
        <f t="shared" si="40"/>
        <v>0.36771057870717122</v>
      </c>
      <c r="AF140">
        <f t="shared" si="41"/>
        <v>0.35915445605372393</v>
      </c>
      <c r="AG140">
        <f t="shared" si="42"/>
        <v>0.36116541426500715</v>
      </c>
      <c r="AI140">
        <f t="shared" si="43"/>
        <v>0.12351199366182646</v>
      </c>
      <c r="AJ140">
        <f t="shared" si="44"/>
        <v>16.914727982081988</v>
      </c>
      <c r="AL140">
        <f t="shared" si="45"/>
        <v>0.12645441508840152</v>
      </c>
      <c r="AM140">
        <f t="shared" si="46"/>
        <v>17.730245471645127</v>
      </c>
      <c r="AO140">
        <f t="shared" si="47"/>
        <v>0.12575032069195291</v>
      </c>
      <c r="AP140">
        <f t="shared" si="48"/>
        <v>17.533352198182648</v>
      </c>
    </row>
    <row r="141" spans="1:42" x14ac:dyDescent="0.2">
      <c r="A141" s="3">
        <v>140</v>
      </c>
      <c r="B141" s="3">
        <v>1.1000000000000001E-7</v>
      </c>
      <c r="C141" s="2">
        <v>7.2360000000000002E-3</v>
      </c>
      <c r="D141" s="3">
        <v>105000</v>
      </c>
      <c r="E141" s="3">
        <v>132000000000</v>
      </c>
      <c r="F141" s="3">
        <v>117000000000</v>
      </c>
      <c r="G141" s="2">
        <v>0</v>
      </c>
      <c r="H141" s="3">
        <v>13200000000</v>
      </c>
      <c r="I141" s="2"/>
      <c r="J141" s="7">
        <f t="shared" si="49"/>
        <v>0.11</v>
      </c>
      <c r="K141" s="7">
        <f t="shared" si="50"/>
        <v>7.2360000000000007</v>
      </c>
      <c r="L141" s="7">
        <f t="shared" si="51"/>
        <v>132</v>
      </c>
      <c r="M141" s="7">
        <f t="shared" si="52"/>
        <v>105</v>
      </c>
      <c r="O141">
        <f t="shared" si="53"/>
        <v>5.8314285714285707E-2</v>
      </c>
      <c r="P141">
        <f t="shared" si="54"/>
        <v>58.31428571428571</v>
      </c>
      <c r="V141">
        <f t="shared" si="55"/>
        <v>387.18017071230355</v>
      </c>
      <c r="W141">
        <f t="shared" si="56"/>
        <v>135.59578710710994</v>
      </c>
      <c r="AE141">
        <f t="shared" ref="AE141:AE204" si="57">M141/(2*$Y$5)</f>
        <v>0.38227337390349481</v>
      </c>
      <c r="AF141">
        <f t="shared" ref="AF141:AF204" si="58">M141/(2*$Y$8)</f>
        <v>0.37337839490733676</v>
      </c>
      <c r="AG141">
        <f t="shared" ref="AG141:AG204" si="59">M141/(2*$Y$11)</f>
        <v>0.3754689950279777</v>
      </c>
      <c r="AI141">
        <f t="shared" ref="AI141:AI204" si="60">J141/(2.4*AE141)</f>
        <v>0.11989674526718147</v>
      </c>
      <c r="AJ141">
        <f t="shared" ref="AJ141:AJ204" si="61">K141/(3.14159*(AE141^2))</f>
        <v>15.761623640720389</v>
      </c>
      <c r="AL141">
        <f t="shared" ref="AL141:AL204" si="62">J141/(2.4*AF141)</f>
        <v>0.12275304077170301</v>
      </c>
      <c r="AM141">
        <f t="shared" ref="AM141:AM204" si="63">K141/(3.14159*(AF141^2))</f>
        <v>16.521545985113718</v>
      </c>
      <c r="AO141">
        <f t="shared" ref="AO141:AO204" si="64">J141/(2.4*AG141)</f>
        <v>0.12206955551660958</v>
      </c>
      <c r="AP141">
        <f t="shared" ref="AP141:AP204" si="65">K141/(3.14159*(AG141^2))</f>
        <v>16.338075244289957</v>
      </c>
    </row>
    <row r="142" spans="1:42" x14ac:dyDescent="0.2">
      <c r="A142" s="3">
        <v>140</v>
      </c>
      <c r="B142" s="3">
        <v>1.1000000000000001E-7</v>
      </c>
      <c r="C142" s="2">
        <v>7.2880000000000002E-3</v>
      </c>
      <c r="D142" s="3">
        <v>105000</v>
      </c>
      <c r="E142" s="3">
        <v>132000000000</v>
      </c>
      <c r="F142" s="3">
        <v>118000000000</v>
      </c>
      <c r="G142" s="3">
        <v>6800000000</v>
      </c>
      <c r="H142" s="3">
        <v>13200000000</v>
      </c>
      <c r="I142" s="2"/>
      <c r="J142" s="7">
        <f t="shared" ref="J142:J205" si="66">B142*(10^6)</f>
        <v>0.11</v>
      </c>
      <c r="K142" s="7">
        <f t="shared" ref="K142:K205" si="67">C142*1000</f>
        <v>7.2880000000000003</v>
      </c>
      <c r="L142" s="7">
        <f t="shared" ref="L142:L205" si="68">E142*(10^-9)</f>
        <v>132</v>
      </c>
      <c r="M142" s="7">
        <f t="shared" ref="M142:M205" si="69">D142*(10^-3)</f>
        <v>105</v>
      </c>
      <c r="O142">
        <f t="shared" ref="O142:O205" si="70">J142-(0.75*(K142/M142))</f>
        <v>5.7942857142857143E-2</v>
      </c>
      <c r="P142">
        <f t="shared" ref="P142:P205" si="71">O142*1000</f>
        <v>57.942857142857143</v>
      </c>
      <c r="V142">
        <f t="shared" si="55"/>
        <v>386.08568771734434</v>
      </c>
      <c r="W142">
        <f t="shared" si="56"/>
        <v>135.98017660378949</v>
      </c>
      <c r="AE142">
        <f t="shared" si="57"/>
        <v>0.38227337390349481</v>
      </c>
      <c r="AF142">
        <f t="shared" si="58"/>
        <v>0.37337839490733676</v>
      </c>
      <c r="AG142">
        <f t="shared" si="59"/>
        <v>0.3754689950279777</v>
      </c>
      <c r="AI142">
        <f t="shared" si="60"/>
        <v>0.11989674526718147</v>
      </c>
      <c r="AJ142">
        <f t="shared" si="61"/>
        <v>15.874891251184382</v>
      </c>
      <c r="AL142">
        <f t="shared" si="62"/>
        <v>0.12275304077170301</v>
      </c>
      <c r="AM142">
        <f t="shared" si="63"/>
        <v>16.640274618505913</v>
      </c>
      <c r="AO142">
        <f t="shared" si="64"/>
        <v>0.12206955551660958</v>
      </c>
      <c r="AP142">
        <f t="shared" si="65"/>
        <v>16.455485403591101</v>
      </c>
    </row>
    <row r="143" spans="1:42" x14ac:dyDescent="0.2">
      <c r="A143" s="3">
        <v>140</v>
      </c>
      <c r="B143" s="3">
        <v>1.11E-7</v>
      </c>
      <c r="C143" s="2">
        <v>7.3419999999999996E-3</v>
      </c>
      <c r="D143" s="3">
        <v>103000</v>
      </c>
      <c r="E143" s="3">
        <v>130000000000</v>
      </c>
      <c r="F143" s="3">
        <v>116000000000</v>
      </c>
      <c r="G143" s="3">
        <v>1710000000</v>
      </c>
      <c r="H143" s="3">
        <v>13500000000</v>
      </c>
      <c r="I143" s="2"/>
      <c r="J143" s="7">
        <f t="shared" si="66"/>
        <v>0.111</v>
      </c>
      <c r="K143" s="7">
        <f t="shared" si="67"/>
        <v>7.3419999999999996</v>
      </c>
      <c r="L143" s="7">
        <f t="shared" si="68"/>
        <v>130</v>
      </c>
      <c r="M143" s="7">
        <f t="shared" si="69"/>
        <v>103</v>
      </c>
      <c r="O143">
        <f t="shared" si="70"/>
        <v>5.7538834951456314E-2</v>
      </c>
      <c r="P143">
        <f t="shared" si="71"/>
        <v>57.538834951456316</v>
      </c>
      <c r="V143">
        <f t="shared" si="55"/>
        <v>384.89071518147381</v>
      </c>
      <c r="W143">
        <f t="shared" si="56"/>
        <v>133.8042149853317</v>
      </c>
      <c r="AE143">
        <f t="shared" si="57"/>
        <v>0.37499197630533304</v>
      </c>
      <c r="AF143">
        <f t="shared" si="58"/>
        <v>0.36626642548053034</v>
      </c>
      <c r="AG143">
        <f t="shared" si="59"/>
        <v>0.36831720464649242</v>
      </c>
      <c r="AI143">
        <f t="shared" si="60"/>
        <v>0.12333597229382171</v>
      </c>
      <c r="AJ143">
        <f t="shared" si="61"/>
        <v>16.619613655665621</v>
      </c>
      <c r="AL143">
        <f t="shared" si="62"/>
        <v>0.12627420037018522</v>
      </c>
      <c r="AM143">
        <f t="shared" si="63"/>
        <v>17.420902663702591</v>
      </c>
      <c r="AO143">
        <f t="shared" si="64"/>
        <v>0.12557110940389096</v>
      </c>
      <c r="AP143">
        <f t="shared" si="65"/>
        <v>17.227444622886797</v>
      </c>
    </row>
    <row r="144" spans="1:42" x14ac:dyDescent="0.2">
      <c r="A144" s="3">
        <v>140</v>
      </c>
      <c r="B144" s="3">
        <v>1.12E-7</v>
      </c>
      <c r="C144" s="2">
        <v>7.3920000000000001E-3</v>
      </c>
      <c r="D144" s="3">
        <v>109000</v>
      </c>
      <c r="E144" s="3">
        <v>135000000000</v>
      </c>
      <c r="F144" s="3">
        <v>120000000000</v>
      </c>
      <c r="G144" s="3">
        <v>5450000000</v>
      </c>
      <c r="H144" s="3">
        <v>13000000000</v>
      </c>
      <c r="I144" s="2"/>
      <c r="J144" s="7">
        <f t="shared" si="66"/>
        <v>0.112</v>
      </c>
      <c r="K144" s="7">
        <f t="shared" si="67"/>
        <v>7.3920000000000003</v>
      </c>
      <c r="L144" s="7">
        <f t="shared" si="68"/>
        <v>135</v>
      </c>
      <c r="M144" s="7">
        <f t="shared" si="69"/>
        <v>109</v>
      </c>
      <c r="O144">
        <f t="shared" si="70"/>
        <v>6.1137614678899083E-2</v>
      </c>
      <c r="P144">
        <f t="shared" si="71"/>
        <v>61.137614678899084</v>
      </c>
      <c r="V144">
        <f t="shared" si="55"/>
        <v>395.37560682102901</v>
      </c>
      <c r="W144">
        <f t="shared" si="56"/>
        <v>137.84360759683895</v>
      </c>
      <c r="AE144">
        <f t="shared" si="57"/>
        <v>0.39683616909981845</v>
      </c>
      <c r="AF144">
        <f t="shared" si="58"/>
        <v>0.3876023337609496</v>
      </c>
      <c r="AG144">
        <f t="shared" si="59"/>
        <v>0.38977257579094832</v>
      </c>
      <c r="AI144">
        <f t="shared" si="60"/>
        <v>0.11759680770158916</v>
      </c>
      <c r="AJ144">
        <f t="shared" si="61"/>
        <v>14.941353998404079</v>
      </c>
      <c r="AL144">
        <f t="shared" si="62"/>
        <v>0.12039831188283798</v>
      </c>
      <c r="AM144">
        <f t="shared" si="63"/>
        <v>15.661728308671455</v>
      </c>
      <c r="AO144">
        <f t="shared" si="64"/>
        <v>0.11972793768768381</v>
      </c>
      <c r="AP144">
        <f t="shared" si="65"/>
        <v>15.487805789679493</v>
      </c>
    </row>
    <row r="145" spans="1:42" x14ac:dyDescent="0.2">
      <c r="A145" s="3">
        <v>140</v>
      </c>
      <c r="B145" s="3">
        <v>1.1300000000000001E-7</v>
      </c>
      <c r="C145" s="2">
        <v>7.443E-3</v>
      </c>
      <c r="D145" s="3">
        <v>98300</v>
      </c>
      <c r="E145" s="3">
        <v>125000000000</v>
      </c>
      <c r="F145" s="3">
        <v>112000000000</v>
      </c>
      <c r="G145" s="3">
        <v>928000000</v>
      </c>
      <c r="H145" s="3">
        <v>14000000000</v>
      </c>
      <c r="I145" s="2"/>
      <c r="J145" s="7">
        <f t="shared" si="66"/>
        <v>0.113</v>
      </c>
      <c r="K145" s="7">
        <f t="shared" si="67"/>
        <v>7.4429999999999996</v>
      </c>
      <c r="L145" s="7">
        <f t="shared" si="68"/>
        <v>125.00000000000001</v>
      </c>
      <c r="M145" s="7">
        <f t="shared" si="69"/>
        <v>98.3</v>
      </c>
      <c r="O145">
        <f t="shared" si="70"/>
        <v>5.6212105798575787E-2</v>
      </c>
      <c r="P145">
        <f t="shared" si="71"/>
        <v>56.212105798575784</v>
      </c>
      <c r="V145">
        <f t="shared" si="55"/>
        <v>380.93344683498782</v>
      </c>
      <c r="W145">
        <f t="shared" si="56"/>
        <v>129.02516281614601</v>
      </c>
      <c r="AE145">
        <f t="shared" si="57"/>
        <v>0.35788069194965277</v>
      </c>
      <c r="AF145">
        <f t="shared" si="58"/>
        <v>0.34955329732753526</v>
      </c>
      <c r="AG145">
        <f t="shared" si="59"/>
        <v>0.351510497250002</v>
      </c>
      <c r="AI145">
        <f t="shared" si="60"/>
        <v>0.13156153542912311</v>
      </c>
      <c r="AJ145">
        <f t="shared" si="61"/>
        <v>18.497880794334069</v>
      </c>
      <c r="AL145">
        <f t="shared" si="62"/>
        <v>0.13469572077649644</v>
      </c>
      <c r="AM145">
        <f t="shared" si="63"/>
        <v>19.389727552000735</v>
      </c>
      <c r="AO145">
        <f t="shared" si="64"/>
        <v>0.13394573903676804</v>
      </c>
      <c r="AP145">
        <f t="shared" si="65"/>
        <v>19.174405833225638</v>
      </c>
    </row>
    <row r="146" spans="1:42" x14ac:dyDescent="0.2">
      <c r="A146" s="3">
        <v>140</v>
      </c>
      <c r="B146" s="3">
        <v>1.1300000000000001E-7</v>
      </c>
      <c r="C146" s="2">
        <v>7.4949999999999999E-3</v>
      </c>
      <c r="D146" s="3">
        <v>108000</v>
      </c>
      <c r="E146" s="3">
        <v>134000000000</v>
      </c>
      <c r="F146" s="3">
        <v>119000000000</v>
      </c>
      <c r="G146" s="3">
        <v>394000000</v>
      </c>
      <c r="H146" s="3">
        <v>13200000000</v>
      </c>
      <c r="I146" s="2"/>
      <c r="J146" s="7">
        <f t="shared" si="66"/>
        <v>0.113</v>
      </c>
      <c r="K146" s="7">
        <f t="shared" si="67"/>
        <v>7.4950000000000001</v>
      </c>
      <c r="L146" s="7">
        <f t="shared" si="68"/>
        <v>134</v>
      </c>
      <c r="M146" s="7">
        <f t="shared" si="69"/>
        <v>108</v>
      </c>
      <c r="O146">
        <f t="shared" si="70"/>
        <v>6.0951388888888888E-2</v>
      </c>
      <c r="P146">
        <f t="shared" si="71"/>
        <v>60.951388888888886</v>
      </c>
      <c r="V146">
        <f t="shared" si="55"/>
        <v>394.84161651776486</v>
      </c>
      <c r="W146">
        <f t="shared" si="56"/>
        <v>136.76369901491987</v>
      </c>
      <c r="AE146">
        <f t="shared" si="57"/>
        <v>0.39319547030073754</v>
      </c>
      <c r="AF146">
        <f t="shared" si="58"/>
        <v>0.38404634904754636</v>
      </c>
      <c r="AG146">
        <f t="shared" si="59"/>
        <v>0.38619668060020568</v>
      </c>
      <c r="AI146">
        <f t="shared" si="60"/>
        <v>0.11974536048780372</v>
      </c>
      <c r="AJ146">
        <f t="shared" si="61"/>
        <v>15.43139255436628</v>
      </c>
      <c r="AL146">
        <f t="shared" si="62"/>
        <v>0.12259804955860742</v>
      </c>
      <c r="AM146">
        <f t="shared" si="63"/>
        <v>16.175393316881117</v>
      </c>
      <c r="AO146">
        <f t="shared" si="64"/>
        <v>0.1219154272899472</v>
      </c>
      <c r="AP146">
        <f t="shared" si="65"/>
        <v>15.995766579913646</v>
      </c>
    </row>
    <row r="147" spans="1:42" x14ac:dyDescent="0.2">
      <c r="A147" s="3">
        <v>150</v>
      </c>
      <c r="B147" s="3">
        <v>1.1300000000000001E-7</v>
      </c>
      <c r="C147" s="2">
        <v>7.5500000000000003E-3</v>
      </c>
      <c r="D147" s="3">
        <v>106000</v>
      </c>
      <c r="E147" s="3">
        <v>132000000000</v>
      </c>
      <c r="F147" s="3">
        <v>118000000000</v>
      </c>
      <c r="G147" s="2">
        <v>0</v>
      </c>
      <c r="H147" s="3">
        <v>13400000000</v>
      </c>
      <c r="I147" s="2"/>
      <c r="J147" s="7">
        <f t="shared" si="66"/>
        <v>0.113</v>
      </c>
      <c r="K147" s="7">
        <f t="shared" si="67"/>
        <v>7.5500000000000007</v>
      </c>
      <c r="L147" s="7">
        <f t="shared" si="68"/>
        <v>132</v>
      </c>
      <c r="M147" s="7">
        <f t="shared" si="69"/>
        <v>106</v>
      </c>
      <c r="O147">
        <f t="shared" si="70"/>
        <v>5.9580188679245277E-2</v>
      </c>
      <c r="P147">
        <f t="shared" si="71"/>
        <v>59.580188679245275</v>
      </c>
      <c r="V147">
        <f t="shared" si="55"/>
        <v>390.88150010679595</v>
      </c>
      <c r="W147">
        <f t="shared" si="56"/>
        <v>135.59096551133638</v>
      </c>
      <c r="AE147">
        <f t="shared" si="57"/>
        <v>0.38591407270257572</v>
      </c>
      <c r="AF147">
        <f t="shared" si="58"/>
        <v>0.37693437962073995</v>
      </c>
      <c r="AG147">
        <f t="shared" si="59"/>
        <v>0.37904489021872034</v>
      </c>
      <c r="AI147">
        <f t="shared" si="60"/>
        <v>0.12200470691210191</v>
      </c>
      <c r="AJ147">
        <f t="shared" si="61"/>
        <v>16.136755330581948</v>
      </c>
      <c r="AL147">
        <f t="shared" si="62"/>
        <v>0.12491122030499625</v>
      </c>
      <c r="AM147">
        <f t="shared" si="63"/>
        <v>16.914764070115396</v>
      </c>
      <c r="AO147">
        <f t="shared" si="64"/>
        <v>0.12421571837088961</v>
      </c>
      <c r="AP147">
        <f t="shared" si="65"/>
        <v>16.726926666908732</v>
      </c>
    </row>
    <row r="148" spans="1:42" x14ac:dyDescent="0.2">
      <c r="A148" s="3">
        <v>150</v>
      </c>
      <c r="B148" s="3">
        <v>1.14E-7</v>
      </c>
      <c r="C148" s="2">
        <v>7.6010000000000001E-3</v>
      </c>
      <c r="D148" s="3">
        <v>112000</v>
      </c>
      <c r="E148" s="3">
        <v>138000000000</v>
      </c>
      <c r="F148" s="3">
        <v>122000000000</v>
      </c>
      <c r="G148" s="3">
        <v>12700000000</v>
      </c>
      <c r="H148" s="3">
        <v>13200000000</v>
      </c>
      <c r="I148" s="2"/>
      <c r="J148" s="7">
        <f t="shared" si="66"/>
        <v>0.114</v>
      </c>
      <c r="K148" s="7">
        <f t="shared" si="67"/>
        <v>7.601</v>
      </c>
      <c r="L148" s="7">
        <f t="shared" si="68"/>
        <v>138</v>
      </c>
      <c r="M148" s="7">
        <f t="shared" si="69"/>
        <v>112</v>
      </c>
      <c r="O148">
        <f t="shared" si="70"/>
        <v>6.3100446428571433E-2</v>
      </c>
      <c r="P148">
        <f t="shared" si="71"/>
        <v>63.100446428571431</v>
      </c>
      <c r="V148">
        <f t="shared" si="55"/>
        <v>400.94966226403784</v>
      </c>
      <c r="W148">
        <f t="shared" si="56"/>
        <v>139.66840546462976</v>
      </c>
      <c r="AE148">
        <f t="shared" si="57"/>
        <v>0.40775826549706118</v>
      </c>
      <c r="AF148">
        <f t="shared" si="58"/>
        <v>0.3982702879011592</v>
      </c>
      <c r="AG148">
        <f t="shared" si="59"/>
        <v>0.40050026136317624</v>
      </c>
      <c r="AI148">
        <f t="shared" si="60"/>
        <v>0.116490587731182</v>
      </c>
      <c r="AJ148">
        <f t="shared" si="61"/>
        <v>14.551765257345551</v>
      </c>
      <c r="AL148">
        <f t="shared" si="62"/>
        <v>0.11926573847705237</v>
      </c>
      <c r="AM148">
        <f t="shared" si="63"/>
        <v>15.25335614807425</v>
      </c>
      <c r="AO148">
        <f t="shared" si="64"/>
        <v>0.11860167041670591</v>
      </c>
      <c r="AP148">
        <f t="shared" si="65"/>
        <v>15.083968576532371</v>
      </c>
    </row>
    <row r="149" spans="1:42" x14ac:dyDescent="0.2">
      <c r="A149" s="3">
        <v>150</v>
      </c>
      <c r="B149" s="3">
        <v>1.15E-7</v>
      </c>
      <c r="C149" s="2">
        <v>7.6540000000000002E-3</v>
      </c>
      <c r="D149" s="3">
        <v>106000</v>
      </c>
      <c r="E149" s="3">
        <v>132000000000</v>
      </c>
      <c r="F149" s="3">
        <v>117000000000</v>
      </c>
      <c r="G149" s="3">
        <v>8500000000</v>
      </c>
      <c r="H149" s="3">
        <v>13500000000</v>
      </c>
      <c r="I149" s="2"/>
      <c r="J149" s="7">
        <f t="shared" si="66"/>
        <v>0.11499999999999999</v>
      </c>
      <c r="K149" s="7">
        <f t="shared" si="67"/>
        <v>7.6539999999999999</v>
      </c>
      <c r="L149" s="7">
        <f t="shared" si="68"/>
        <v>132</v>
      </c>
      <c r="M149" s="7">
        <f t="shared" si="69"/>
        <v>106</v>
      </c>
      <c r="O149">
        <f t="shared" si="70"/>
        <v>6.0844339622641505E-2</v>
      </c>
      <c r="P149">
        <f t="shared" si="71"/>
        <v>60.844339622641506</v>
      </c>
      <c r="V149">
        <f t="shared" si="55"/>
        <v>394.53424833905672</v>
      </c>
      <c r="W149">
        <f t="shared" si="56"/>
        <v>134.33561274622883</v>
      </c>
      <c r="AE149">
        <f t="shared" si="57"/>
        <v>0.38591407270257572</v>
      </c>
      <c r="AF149">
        <f t="shared" si="58"/>
        <v>0.37693437962073995</v>
      </c>
      <c r="AG149">
        <f t="shared" si="59"/>
        <v>0.37904489021872034</v>
      </c>
      <c r="AI149">
        <f t="shared" si="60"/>
        <v>0.12416408225567892</v>
      </c>
      <c r="AJ149">
        <f t="shared" si="61"/>
        <v>16.35903646361248</v>
      </c>
      <c r="AL149">
        <f t="shared" si="62"/>
        <v>0.12712203836349176</v>
      </c>
      <c r="AM149">
        <f t="shared" si="63"/>
        <v>17.147762144723607</v>
      </c>
      <c r="AO149">
        <f t="shared" si="64"/>
        <v>0.12641422666063987</v>
      </c>
      <c r="AP149">
        <f t="shared" si="65"/>
        <v>16.957337312386677</v>
      </c>
    </row>
    <row r="150" spans="1:42" x14ac:dyDescent="0.2">
      <c r="A150" s="3">
        <v>150</v>
      </c>
      <c r="B150" s="3">
        <v>1.15E-7</v>
      </c>
      <c r="C150" s="2">
        <v>7.7060000000000002E-3</v>
      </c>
      <c r="D150" s="3">
        <v>117000</v>
      </c>
      <c r="E150" s="3">
        <v>144000000000</v>
      </c>
      <c r="F150" s="3">
        <v>127000000000</v>
      </c>
      <c r="G150" s="3">
        <v>1650000000</v>
      </c>
      <c r="H150" s="3">
        <v>13000000000</v>
      </c>
      <c r="I150" s="2"/>
      <c r="J150" s="7">
        <f t="shared" si="66"/>
        <v>0.11499999999999999</v>
      </c>
      <c r="K150" s="7">
        <f t="shared" si="67"/>
        <v>7.7060000000000004</v>
      </c>
      <c r="L150" s="7">
        <f t="shared" si="68"/>
        <v>144</v>
      </c>
      <c r="M150" s="7">
        <f t="shared" si="69"/>
        <v>117</v>
      </c>
      <c r="O150">
        <f t="shared" si="70"/>
        <v>6.5602564102564098E-2</v>
      </c>
      <c r="P150">
        <f t="shared" si="71"/>
        <v>65.602564102564102</v>
      </c>
      <c r="V150">
        <f t="shared" si="55"/>
        <v>407.91694195214296</v>
      </c>
      <c r="W150">
        <f t="shared" si="56"/>
        <v>143.41154775293265</v>
      </c>
      <c r="AE150">
        <f t="shared" si="57"/>
        <v>0.42596175949246567</v>
      </c>
      <c r="AF150">
        <f t="shared" si="58"/>
        <v>0.41605021146817522</v>
      </c>
      <c r="AG150">
        <f t="shared" si="59"/>
        <v>0.41837973731688949</v>
      </c>
      <c r="AI150">
        <f t="shared" si="60"/>
        <v>0.11249053606070054</v>
      </c>
      <c r="AJ150">
        <f t="shared" si="61"/>
        <v>13.51880408433891</v>
      </c>
      <c r="AL150">
        <f t="shared" si="62"/>
        <v>0.11517039373102671</v>
      </c>
      <c r="AM150">
        <f t="shared" si="63"/>
        <v>14.170592347232331</v>
      </c>
      <c r="AO150">
        <f t="shared" si="64"/>
        <v>0.11452912842758822</v>
      </c>
      <c r="AP150">
        <f t="shared" si="65"/>
        <v>14.013228800370502</v>
      </c>
    </row>
    <row r="151" spans="1:42" x14ac:dyDescent="0.2">
      <c r="A151" s="3">
        <v>150</v>
      </c>
      <c r="B151" s="3">
        <v>1.1600000000000001E-7</v>
      </c>
      <c r="C151" s="2">
        <v>7.757E-3</v>
      </c>
      <c r="D151" s="3">
        <v>110000</v>
      </c>
      <c r="E151" s="3">
        <v>136000000000</v>
      </c>
      <c r="F151" s="3">
        <v>121000000000</v>
      </c>
      <c r="G151" s="2">
        <v>0</v>
      </c>
      <c r="H151" s="3">
        <v>13400000000</v>
      </c>
      <c r="I151" s="2"/>
      <c r="J151" s="7">
        <f t="shared" si="66"/>
        <v>0.11600000000000001</v>
      </c>
      <c r="K151" s="7">
        <f t="shared" si="67"/>
        <v>7.7569999999999997</v>
      </c>
      <c r="L151" s="7">
        <f t="shared" si="68"/>
        <v>136</v>
      </c>
      <c r="M151" s="7">
        <f t="shared" si="69"/>
        <v>110</v>
      </c>
      <c r="O151">
        <f t="shared" si="70"/>
        <v>6.3111363636363646E-2</v>
      </c>
      <c r="P151">
        <f t="shared" si="71"/>
        <v>63.111363636363649</v>
      </c>
      <c r="V151">
        <f t="shared" si="55"/>
        <v>400.98039288991436</v>
      </c>
      <c r="W151">
        <f t="shared" si="56"/>
        <v>137.16381393017329</v>
      </c>
      <c r="AE151">
        <f t="shared" si="57"/>
        <v>0.40047686789889936</v>
      </c>
      <c r="AF151">
        <f t="shared" si="58"/>
        <v>0.39115831847435278</v>
      </c>
      <c r="AG151">
        <f t="shared" si="59"/>
        <v>0.39334847098169096</v>
      </c>
      <c r="AI151">
        <f t="shared" si="60"/>
        <v>0.12068945102101407</v>
      </c>
      <c r="AJ151">
        <f t="shared" si="61"/>
        <v>15.39534459539167</v>
      </c>
      <c r="AL151">
        <f t="shared" si="62"/>
        <v>0.12356463112391261</v>
      </c>
      <c r="AM151">
        <f t="shared" si="63"/>
        <v>16.137607361230593</v>
      </c>
      <c r="AO151">
        <f t="shared" si="64"/>
        <v>0.12287662695804172</v>
      </c>
      <c r="AP151">
        <f t="shared" si="65"/>
        <v>15.958400234951023</v>
      </c>
    </row>
    <row r="152" spans="1:42" x14ac:dyDescent="0.2">
      <c r="A152" s="3">
        <v>150</v>
      </c>
      <c r="B152" s="3">
        <v>1.1600000000000001E-7</v>
      </c>
      <c r="C152" s="2">
        <v>7.809E-3</v>
      </c>
      <c r="D152" s="3">
        <v>113000</v>
      </c>
      <c r="E152" s="3">
        <v>138000000000</v>
      </c>
      <c r="F152" s="3">
        <v>122000000000</v>
      </c>
      <c r="G152" s="2">
        <v>0</v>
      </c>
      <c r="H152" s="3">
        <v>13400000000</v>
      </c>
      <c r="I152" s="2"/>
      <c r="J152" s="7">
        <f t="shared" si="66"/>
        <v>0.11600000000000001</v>
      </c>
      <c r="K152" s="7">
        <f t="shared" si="67"/>
        <v>7.8090000000000002</v>
      </c>
      <c r="L152" s="7">
        <f t="shared" si="68"/>
        <v>138</v>
      </c>
      <c r="M152" s="7">
        <f t="shared" si="69"/>
        <v>113</v>
      </c>
      <c r="O152">
        <f t="shared" si="70"/>
        <v>6.4170353982300893E-2</v>
      </c>
      <c r="P152">
        <f t="shared" si="71"/>
        <v>64.170353982300895</v>
      </c>
      <c r="V152">
        <f t="shared" si="55"/>
        <v>403.94737049427835</v>
      </c>
      <c r="W152">
        <f t="shared" si="56"/>
        <v>139.86970612252142</v>
      </c>
      <c r="AE152">
        <f t="shared" si="57"/>
        <v>0.41139896429614203</v>
      </c>
      <c r="AF152">
        <f t="shared" si="58"/>
        <v>0.40182627261456239</v>
      </c>
      <c r="AG152">
        <f t="shared" si="59"/>
        <v>0.40407615655391887</v>
      </c>
      <c r="AI152">
        <f t="shared" si="60"/>
        <v>0.11748530630364203</v>
      </c>
      <c r="AJ152">
        <f t="shared" si="61"/>
        <v>14.686541233425073</v>
      </c>
      <c r="AL152">
        <f t="shared" si="62"/>
        <v>0.12028415419141938</v>
      </c>
      <c r="AM152">
        <f t="shared" si="63"/>
        <v>15.394630139716433</v>
      </c>
      <c r="AO152">
        <f t="shared" si="64"/>
        <v>0.11961441562287246</v>
      </c>
      <c r="AP152">
        <f t="shared" si="65"/>
        <v>15.223673729282051</v>
      </c>
    </row>
    <row r="153" spans="1:42" x14ac:dyDescent="0.2">
      <c r="A153" s="3">
        <v>150</v>
      </c>
      <c r="B153" s="3">
        <v>1.17E-7</v>
      </c>
      <c r="C153" s="2">
        <v>7.8600000000000007E-3</v>
      </c>
      <c r="D153" s="3">
        <v>111000</v>
      </c>
      <c r="E153" s="3">
        <v>137000000000</v>
      </c>
      <c r="F153" s="3">
        <v>121000000000</v>
      </c>
      <c r="G153" s="3">
        <v>5390000000</v>
      </c>
      <c r="H153" s="3">
        <v>13500000000</v>
      </c>
      <c r="I153" s="2"/>
      <c r="J153" s="7">
        <f t="shared" si="66"/>
        <v>0.11700000000000001</v>
      </c>
      <c r="K153" s="7">
        <f t="shared" si="67"/>
        <v>7.86</v>
      </c>
      <c r="L153" s="7">
        <f t="shared" si="68"/>
        <v>137</v>
      </c>
      <c r="M153" s="7">
        <f t="shared" si="69"/>
        <v>111</v>
      </c>
      <c r="O153">
        <f t="shared" si="70"/>
        <v>6.38918918918919E-2</v>
      </c>
      <c r="P153">
        <f t="shared" si="71"/>
        <v>63.891891891891902</v>
      </c>
      <c r="V153">
        <f t="shared" si="55"/>
        <v>403.16986141782468</v>
      </c>
      <c r="W153">
        <f t="shared" si="56"/>
        <v>137.659099330549</v>
      </c>
      <c r="AE153">
        <f t="shared" si="57"/>
        <v>0.40411756669798027</v>
      </c>
      <c r="AF153">
        <f t="shared" si="58"/>
        <v>0.39471430318775602</v>
      </c>
      <c r="AG153">
        <f t="shared" si="59"/>
        <v>0.3969243661724336</v>
      </c>
      <c r="AI153">
        <f t="shared" si="60"/>
        <v>0.12063321176145163</v>
      </c>
      <c r="AJ153">
        <f t="shared" si="61"/>
        <v>15.319958242295968</v>
      </c>
      <c r="AL153">
        <f t="shared" si="62"/>
        <v>0.12350705207865451</v>
      </c>
      <c r="AM153">
        <f t="shared" si="63"/>
        <v>16.058586371533636</v>
      </c>
      <c r="AO153">
        <f t="shared" si="64"/>
        <v>0.12281936851118337</v>
      </c>
      <c r="AP153">
        <f t="shared" si="65"/>
        <v>15.880256768430979</v>
      </c>
    </row>
    <row r="154" spans="1:42" x14ac:dyDescent="0.2">
      <c r="A154" s="3">
        <v>150</v>
      </c>
      <c r="B154" s="3">
        <v>1.17E-7</v>
      </c>
      <c r="C154" s="2">
        <v>7.9129999999999999E-3</v>
      </c>
      <c r="D154" s="3">
        <v>117000</v>
      </c>
      <c r="E154" s="3">
        <v>143000000000</v>
      </c>
      <c r="F154" s="3">
        <v>126000000000</v>
      </c>
      <c r="G154" s="2">
        <v>0</v>
      </c>
      <c r="H154" s="3">
        <v>13300000000</v>
      </c>
      <c r="I154" s="2"/>
      <c r="J154" s="7">
        <f t="shared" si="66"/>
        <v>0.11700000000000001</v>
      </c>
      <c r="K154" s="7">
        <f t="shared" si="67"/>
        <v>7.9130000000000003</v>
      </c>
      <c r="L154" s="7">
        <f t="shared" si="68"/>
        <v>143</v>
      </c>
      <c r="M154" s="7">
        <f t="shared" si="69"/>
        <v>117</v>
      </c>
      <c r="O154">
        <f t="shared" si="70"/>
        <v>6.6275641025641027E-2</v>
      </c>
      <c r="P154">
        <f t="shared" si="71"/>
        <v>66.275641025641022</v>
      </c>
      <c r="V154">
        <f t="shared" si="55"/>
        <v>409.7657970138012</v>
      </c>
      <c r="W154">
        <f t="shared" si="56"/>
        <v>142.76447772440528</v>
      </c>
      <c r="AE154">
        <f t="shared" si="57"/>
        <v>0.42596175949246567</v>
      </c>
      <c r="AF154">
        <f t="shared" si="58"/>
        <v>0.41605021146817522</v>
      </c>
      <c r="AG154">
        <f t="shared" si="59"/>
        <v>0.41837973731688949</v>
      </c>
      <c r="AI154">
        <f t="shared" si="60"/>
        <v>0.11444689320958232</v>
      </c>
      <c r="AJ154">
        <f t="shared" si="61"/>
        <v>13.881948704824005</v>
      </c>
      <c r="AL154">
        <f t="shared" si="62"/>
        <v>0.11717335710026197</v>
      </c>
      <c r="AM154">
        <f t="shared" si="63"/>
        <v>14.55124542481825</v>
      </c>
      <c r="AO154">
        <f t="shared" si="64"/>
        <v>0.11652093935676369</v>
      </c>
      <c r="AP154">
        <f t="shared" si="65"/>
        <v>14.389654749199556</v>
      </c>
    </row>
    <row r="155" spans="1:42" x14ac:dyDescent="0.2">
      <c r="A155" s="3">
        <v>150</v>
      </c>
      <c r="B155" s="3">
        <v>1.18E-7</v>
      </c>
      <c r="C155" s="2">
        <v>7.9649999999999999E-3</v>
      </c>
      <c r="D155" s="3">
        <v>109000</v>
      </c>
      <c r="E155" s="3">
        <v>134000000000</v>
      </c>
      <c r="F155" s="3">
        <v>119000000000</v>
      </c>
      <c r="G155" s="2">
        <v>0</v>
      </c>
      <c r="H155" s="3">
        <v>13800000000</v>
      </c>
      <c r="I155" s="2"/>
      <c r="J155" s="7">
        <f t="shared" si="66"/>
        <v>0.11799999999999999</v>
      </c>
      <c r="K155" s="7">
        <f t="shared" si="67"/>
        <v>7.9649999999999999</v>
      </c>
      <c r="L155" s="7">
        <f t="shared" si="68"/>
        <v>134</v>
      </c>
      <c r="M155" s="7">
        <f t="shared" si="69"/>
        <v>109</v>
      </c>
      <c r="O155">
        <f t="shared" si="70"/>
        <v>6.3194954128440353E-2</v>
      </c>
      <c r="P155">
        <f t="shared" si="71"/>
        <v>63.194954128440351</v>
      </c>
      <c r="V155">
        <f t="shared" si="55"/>
        <v>401.21559200057214</v>
      </c>
      <c r="W155">
        <f t="shared" si="56"/>
        <v>135.83719348554698</v>
      </c>
      <c r="AE155">
        <f t="shared" si="57"/>
        <v>0.39683616909981845</v>
      </c>
      <c r="AF155">
        <f t="shared" si="58"/>
        <v>0.3876023337609496</v>
      </c>
      <c r="AG155">
        <f t="shared" si="59"/>
        <v>0.38977257579094832</v>
      </c>
      <c r="AI155">
        <f t="shared" si="60"/>
        <v>0.12389663668560286</v>
      </c>
      <c r="AJ155">
        <f t="shared" si="61"/>
        <v>16.099551487728419</v>
      </c>
      <c r="AL155">
        <f t="shared" si="62"/>
        <v>0.12684822144799002</v>
      </c>
      <c r="AM155">
        <f t="shared" si="63"/>
        <v>16.87576650142967</v>
      </c>
      <c r="AO155">
        <f t="shared" si="64"/>
        <v>0.126141934349524</v>
      </c>
      <c r="AP155">
        <f t="shared" si="65"/>
        <v>16.688362163798317</v>
      </c>
    </row>
    <row r="156" spans="1:42" x14ac:dyDescent="0.2">
      <c r="A156" s="3">
        <v>150</v>
      </c>
      <c r="B156" s="3">
        <v>1.18E-7</v>
      </c>
      <c r="C156" s="2">
        <v>8.0149999999999996E-3</v>
      </c>
      <c r="D156" s="3">
        <v>104000</v>
      </c>
      <c r="E156" s="3">
        <v>129000000000</v>
      </c>
      <c r="F156" s="3">
        <v>115000000000</v>
      </c>
      <c r="G156" s="3">
        <v>370000000</v>
      </c>
      <c r="H156" s="3">
        <v>14200000000</v>
      </c>
      <c r="I156" s="2"/>
      <c r="J156" s="7">
        <f t="shared" si="66"/>
        <v>0.11799999999999999</v>
      </c>
      <c r="K156" s="7">
        <f t="shared" si="67"/>
        <v>8.0149999999999988</v>
      </c>
      <c r="L156" s="7">
        <f t="shared" si="68"/>
        <v>129</v>
      </c>
      <c r="M156" s="7">
        <f t="shared" si="69"/>
        <v>104</v>
      </c>
      <c r="O156">
        <f t="shared" si="70"/>
        <v>6.019951923076923E-2</v>
      </c>
      <c r="P156">
        <f t="shared" si="71"/>
        <v>60.199519230769234</v>
      </c>
      <c r="V156">
        <f t="shared" si="55"/>
        <v>392.67638575005753</v>
      </c>
      <c r="W156">
        <f t="shared" si="56"/>
        <v>132.42456609829989</v>
      </c>
      <c r="AE156">
        <f t="shared" si="57"/>
        <v>0.37863267510441395</v>
      </c>
      <c r="AF156">
        <f t="shared" si="58"/>
        <v>0.36982241019393353</v>
      </c>
      <c r="AG156">
        <f t="shared" si="59"/>
        <v>0.37189309983723506</v>
      </c>
      <c r="AI156">
        <f t="shared" si="60"/>
        <v>0.12985320575702605</v>
      </c>
      <c r="AJ156">
        <f t="shared" si="61"/>
        <v>17.795813314329102</v>
      </c>
      <c r="AL156">
        <f t="shared" si="62"/>
        <v>0.13294669363298953</v>
      </c>
      <c r="AM156">
        <f t="shared" si="63"/>
        <v>18.653810972595288</v>
      </c>
      <c r="AO156">
        <f t="shared" si="64"/>
        <v>0.13220645042402035</v>
      </c>
      <c r="AP156">
        <f t="shared" si="65"/>
        <v>18.446661561673807</v>
      </c>
    </row>
    <row r="157" spans="1:42" x14ac:dyDescent="0.2">
      <c r="A157" s="3">
        <v>160</v>
      </c>
      <c r="B157" s="3">
        <v>1.1899999999999999E-7</v>
      </c>
      <c r="C157" s="2">
        <v>8.0700000000000008E-3</v>
      </c>
      <c r="D157" s="3">
        <v>102000</v>
      </c>
      <c r="E157" s="3">
        <v>126000000000</v>
      </c>
      <c r="F157" s="3">
        <v>113000000000</v>
      </c>
      <c r="G157" s="3">
        <v>12000000000</v>
      </c>
      <c r="H157" s="3">
        <v>14500000000</v>
      </c>
      <c r="I157" s="2"/>
      <c r="J157" s="7">
        <f t="shared" si="66"/>
        <v>0.11899999999999999</v>
      </c>
      <c r="K157" s="7">
        <f t="shared" si="67"/>
        <v>8.07</v>
      </c>
      <c r="L157" s="7">
        <f t="shared" si="68"/>
        <v>126.00000000000001</v>
      </c>
      <c r="M157" s="7">
        <f t="shared" si="69"/>
        <v>102</v>
      </c>
      <c r="O157">
        <f t="shared" si="70"/>
        <v>5.9661764705882345E-2</v>
      </c>
      <c r="P157">
        <f t="shared" si="71"/>
        <v>59.661764705882348</v>
      </c>
      <c r="V157">
        <f t="shared" si="55"/>
        <v>391.11850843736204</v>
      </c>
      <c r="W157">
        <f t="shared" si="56"/>
        <v>130.39526102653792</v>
      </c>
      <c r="AE157">
        <f t="shared" si="57"/>
        <v>0.37135127750625213</v>
      </c>
      <c r="AF157">
        <f t="shared" si="58"/>
        <v>0.36271044076712711</v>
      </c>
      <c r="AG157">
        <f t="shared" si="59"/>
        <v>0.36474130945574978</v>
      </c>
      <c r="AI157">
        <f t="shared" si="60"/>
        <v>0.13352137541117934</v>
      </c>
      <c r="AJ157">
        <f t="shared" si="61"/>
        <v>18.627483366789125</v>
      </c>
      <c r="AL157">
        <f t="shared" si="62"/>
        <v>0.13670224995030564</v>
      </c>
      <c r="AM157">
        <f t="shared" si="63"/>
        <v>19.525578712351589</v>
      </c>
      <c r="AO157">
        <f t="shared" si="64"/>
        <v>0.1359410959162243</v>
      </c>
      <c r="AP157">
        <f t="shared" si="65"/>
        <v>19.308748374888271</v>
      </c>
    </row>
    <row r="158" spans="1:42" x14ac:dyDescent="0.2">
      <c r="A158" s="3">
        <v>160</v>
      </c>
      <c r="B158" s="3">
        <v>1.1999999999999999E-7</v>
      </c>
      <c r="C158" s="2">
        <v>8.1209999999999997E-3</v>
      </c>
      <c r="D158" s="3">
        <v>112000</v>
      </c>
      <c r="E158" s="3">
        <v>137000000000</v>
      </c>
      <c r="F158" s="3">
        <v>122000000000</v>
      </c>
      <c r="G158" s="2">
        <v>0</v>
      </c>
      <c r="H158" s="3">
        <v>13800000000</v>
      </c>
      <c r="I158" s="2"/>
      <c r="J158" s="7">
        <f t="shared" si="66"/>
        <v>0.12</v>
      </c>
      <c r="K158" s="7">
        <f t="shared" si="67"/>
        <v>8.1210000000000004</v>
      </c>
      <c r="L158" s="7">
        <f t="shared" si="68"/>
        <v>137</v>
      </c>
      <c r="M158" s="7">
        <f t="shared" si="69"/>
        <v>112</v>
      </c>
      <c r="O158">
        <f t="shared" si="70"/>
        <v>6.561830357142856E-2</v>
      </c>
      <c r="P158">
        <f t="shared" si="71"/>
        <v>65.618303571428555</v>
      </c>
      <c r="V158">
        <f t="shared" si="55"/>
        <v>407.96029656569118</v>
      </c>
      <c r="W158">
        <f t="shared" si="56"/>
        <v>137.26825985622031</v>
      </c>
      <c r="AE158">
        <f t="shared" si="57"/>
        <v>0.40775826549706118</v>
      </c>
      <c r="AF158">
        <f t="shared" si="58"/>
        <v>0.3982702879011592</v>
      </c>
      <c r="AG158">
        <f t="shared" si="59"/>
        <v>0.40050026136317624</v>
      </c>
      <c r="AI158">
        <f t="shared" si="60"/>
        <v>0.12262167129598103</v>
      </c>
      <c r="AJ158">
        <f t="shared" si="61"/>
        <v>15.547281364939247</v>
      </c>
      <c r="AL158">
        <f t="shared" si="62"/>
        <v>0.12554288260742352</v>
      </c>
      <c r="AM158">
        <f t="shared" si="63"/>
        <v>16.296869527497829</v>
      </c>
      <c r="AO158">
        <f t="shared" si="64"/>
        <v>0.12484386359653253</v>
      </c>
      <c r="AP158">
        <f t="shared" si="65"/>
        <v>16.115893804765083</v>
      </c>
    </row>
    <row r="159" spans="1:42" x14ac:dyDescent="0.2">
      <c r="A159" s="3">
        <v>160</v>
      </c>
      <c r="B159" s="3">
        <v>1.1999999999999999E-7</v>
      </c>
      <c r="C159" s="2">
        <v>8.1740000000000007E-3</v>
      </c>
      <c r="D159" s="3">
        <v>101000</v>
      </c>
      <c r="E159" s="3">
        <v>125000000000</v>
      </c>
      <c r="F159" s="3">
        <v>112000000000</v>
      </c>
      <c r="G159" s="3">
        <v>5850000000</v>
      </c>
      <c r="H159" s="3">
        <v>14600000000</v>
      </c>
      <c r="I159" s="2"/>
      <c r="J159" s="7">
        <f t="shared" si="66"/>
        <v>0.12</v>
      </c>
      <c r="K159" s="7">
        <f t="shared" si="67"/>
        <v>8.1740000000000013</v>
      </c>
      <c r="L159" s="7">
        <f t="shared" si="68"/>
        <v>125.00000000000001</v>
      </c>
      <c r="M159" s="7">
        <f t="shared" si="69"/>
        <v>101</v>
      </c>
      <c r="O159">
        <f t="shared" si="70"/>
        <v>5.9301980198019785E-2</v>
      </c>
      <c r="P159">
        <f t="shared" si="71"/>
        <v>59.301980198019784</v>
      </c>
      <c r="V159">
        <f t="shared" si="55"/>
        <v>390.07184007283178</v>
      </c>
      <c r="W159">
        <f t="shared" si="56"/>
        <v>129.46333165339738</v>
      </c>
      <c r="AE159">
        <f t="shared" si="57"/>
        <v>0.36771057870717122</v>
      </c>
      <c r="AF159">
        <f t="shared" si="58"/>
        <v>0.35915445605372393</v>
      </c>
      <c r="AG159">
        <f t="shared" si="59"/>
        <v>0.36116541426500715</v>
      </c>
      <c r="AI159">
        <f t="shared" si="60"/>
        <v>0.13597650678366216</v>
      </c>
      <c r="AJ159">
        <f t="shared" si="61"/>
        <v>19.243004387687986</v>
      </c>
      <c r="AL159">
        <f t="shared" si="62"/>
        <v>0.13921586982209341</v>
      </c>
      <c r="AM159">
        <f t="shared" si="63"/>
        <v>20.170776128772061</v>
      </c>
      <c r="AO159">
        <f t="shared" si="64"/>
        <v>0.13844072002783805</v>
      </c>
      <c r="AP159">
        <f t="shared" si="65"/>
        <v>19.946780914118996</v>
      </c>
    </row>
    <row r="160" spans="1:42" x14ac:dyDescent="0.2">
      <c r="A160" s="3">
        <v>160</v>
      </c>
      <c r="B160" s="3">
        <v>1.2100000000000001E-7</v>
      </c>
      <c r="C160" s="2">
        <v>8.2260000000000007E-3</v>
      </c>
      <c r="D160" s="3">
        <v>115000</v>
      </c>
      <c r="E160" s="3">
        <v>140000000000</v>
      </c>
      <c r="F160" s="3">
        <v>124000000000</v>
      </c>
      <c r="G160" s="2">
        <v>0</v>
      </c>
      <c r="H160" s="3">
        <v>13800000000</v>
      </c>
      <c r="I160" s="2"/>
      <c r="J160" s="7">
        <f t="shared" si="66"/>
        <v>0.12100000000000001</v>
      </c>
      <c r="K160" s="7">
        <f t="shared" si="67"/>
        <v>8.2260000000000009</v>
      </c>
      <c r="L160" s="7">
        <f t="shared" si="68"/>
        <v>140</v>
      </c>
      <c r="M160" s="7">
        <f t="shared" si="69"/>
        <v>115</v>
      </c>
      <c r="O160">
        <f t="shared" si="70"/>
        <v>6.7352173913043489E-2</v>
      </c>
      <c r="P160">
        <f t="shared" si="71"/>
        <v>67.352173913043487</v>
      </c>
      <c r="V160">
        <f t="shared" si="55"/>
        <v>412.70128185930383</v>
      </c>
      <c r="W160">
        <f t="shared" si="56"/>
        <v>139.32595445536472</v>
      </c>
      <c r="AE160">
        <f t="shared" si="57"/>
        <v>0.41868036189430385</v>
      </c>
      <c r="AF160">
        <f t="shared" si="58"/>
        <v>0.4089382420413688</v>
      </c>
      <c r="AG160">
        <f t="shared" si="59"/>
        <v>0.41122794693540415</v>
      </c>
      <c r="AI160">
        <f t="shared" si="60"/>
        <v>0.12041803546399531</v>
      </c>
      <c r="AJ160">
        <f t="shared" si="61"/>
        <v>14.937365834719902</v>
      </c>
      <c r="AL160">
        <f t="shared" si="62"/>
        <v>0.12328674964462347</v>
      </c>
      <c r="AM160">
        <f t="shared" si="63"/>
        <v>15.657547861833855</v>
      </c>
      <c r="AO160">
        <f t="shared" si="64"/>
        <v>0.1226002927145079</v>
      </c>
      <c r="AP160">
        <f t="shared" si="65"/>
        <v>15.483671766444079</v>
      </c>
    </row>
    <row r="161" spans="1:42" x14ac:dyDescent="0.2">
      <c r="A161" s="3">
        <v>160</v>
      </c>
      <c r="B161" s="3">
        <v>1.2100000000000001E-7</v>
      </c>
      <c r="C161" s="2">
        <v>8.2780000000000006E-3</v>
      </c>
      <c r="D161" s="3">
        <v>94600</v>
      </c>
      <c r="E161" s="3">
        <v>121000000000</v>
      </c>
      <c r="F161" s="3">
        <v>108000000000</v>
      </c>
      <c r="G161" s="3">
        <v>2910000000</v>
      </c>
      <c r="H161" s="3">
        <v>15700000000</v>
      </c>
      <c r="I161" s="2"/>
      <c r="J161" s="7">
        <f t="shared" si="66"/>
        <v>0.12100000000000001</v>
      </c>
      <c r="K161" s="7">
        <f t="shared" si="67"/>
        <v>8.2780000000000005</v>
      </c>
      <c r="L161" s="7">
        <f t="shared" si="68"/>
        <v>121.00000000000001</v>
      </c>
      <c r="M161" s="7">
        <f t="shared" si="69"/>
        <v>94.600000000000009</v>
      </c>
      <c r="O161">
        <f t="shared" si="70"/>
        <v>5.5371035940803393E-2</v>
      </c>
      <c r="P161">
        <f t="shared" si="71"/>
        <v>55.371035940803395</v>
      </c>
      <c r="V161">
        <f t="shared" si="55"/>
        <v>378.39776546866921</v>
      </c>
      <c r="W161">
        <f t="shared" si="56"/>
        <v>125.00073815556497</v>
      </c>
      <c r="AE161">
        <f t="shared" si="57"/>
        <v>0.34441010639305347</v>
      </c>
      <c r="AF161">
        <f t="shared" si="58"/>
        <v>0.33639615388794342</v>
      </c>
      <c r="AG161">
        <f t="shared" si="59"/>
        <v>0.33827968504425426</v>
      </c>
      <c r="AI161">
        <f t="shared" si="60"/>
        <v>0.14638556108202389</v>
      </c>
      <c r="AJ161">
        <f t="shared" si="61"/>
        <v>22.213865722541129</v>
      </c>
      <c r="AL161">
        <f t="shared" si="62"/>
        <v>0.14987289861661413</v>
      </c>
      <c r="AM161">
        <f t="shared" si="63"/>
        <v>23.284872955216091</v>
      </c>
      <c r="AO161">
        <f t="shared" si="64"/>
        <v>0.14903841080516284</v>
      </c>
      <c r="AP161">
        <f t="shared" si="65"/>
        <v>23.026295888945775</v>
      </c>
    </row>
    <row r="162" spans="1:42" x14ac:dyDescent="0.2">
      <c r="A162" s="3">
        <v>160</v>
      </c>
      <c r="B162" s="3">
        <v>1.2200000000000001E-7</v>
      </c>
      <c r="C162" s="2">
        <v>8.3289999999999996E-3</v>
      </c>
      <c r="D162" s="3">
        <v>107000</v>
      </c>
      <c r="E162" s="3">
        <v>131000000000</v>
      </c>
      <c r="F162" s="3">
        <v>117000000000</v>
      </c>
      <c r="G162" s="3">
        <v>9700000000</v>
      </c>
      <c r="H162" s="3">
        <v>14400000000</v>
      </c>
      <c r="I162" s="2"/>
      <c r="J162" s="7">
        <f t="shared" si="66"/>
        <v>0.12200000000000001</v>
      </c>
      <c r="K162" s="7">
        <f t="shared" si="67"/>
        <v>8.3289999999999988</v>
      </c>
      <c r="L162" s="7">
        <f t="shared" si="68"/>
        <v>131</v>
      </c>
      <c r="M162" s="7">
        <f t="shared" si="69"/>
        <v>107</v>
      </c>
      <c r="O162">
        <f t="shared" si="70"/>
        <v>6.3619158878504695E-2</v>
      </c>
      <c r="P162">
        <f t="shared" si="71"/>
        <v>63.619158878504692</v>
      </c>
      <c r="V162">
        <f t="shared" si="55"/>
        <v>402.40651710455109</v>
      </c>
      <c r="W162">
        <f t="shared" si="56"/>
        <v>132.95013307674617</v>
      </c>
      <c r="AE162">
        <f t="shared" si="57"/>
        <v>0.38955477150165663</v>
      </c>
      <c r="AF162">
        <f t="shared" si="58"/>
        <v>0.38049036433414318</v>
      </c>
      <c r="AG162">
        <f t="shared" si="59"/>
        <v>0.38262078540946304</v>
      </c>
      <c r="AI162">
        <f t="shared" si="60"/>
        <v>0.13049085020157986</v>
      </c>
      <c r="AJ162">
        <f t="shared" si="61"/>
        <v>17.470538829876848</v>
      </c>
      <c r="AL162">
        <f t="shared" si="62"/>
        <v>0.13359952865637345</v>
      </c>
      <c r="AM162">
        <f t="shared" si="63"/>
        <v>18.312853881171144</v>
      </c>
      <c r="AO162">
        <f t="shared" si="64"/>
        <v>0.13285565048154366</v>
      </c>
      <c r="AP162">
        <f t="shared" si="65"/>
        <v>18.109490777548569</v>
      </c>
    </row>
    <row r="163" spans="1:42" x14ac:dyDescent="0.2">
      <c r="A163" s="3">
        <v>160</v>
      </c>
      <c r="B163" s="3">
        <v>1.23E-7</v>
      </c>
      <c r="C163" s="2">
        <v>8.3800000000000003E-3</v>
      </c>
      <c r="D163" s="3">
        <v>103000</v>
      </c>
      <c r="E163" s="3">
        <v>127000000000</v>
      </c>
      <c r="F163" s="3">
        <v>113000000000</v>
      </c>
      <c r="G163" s="2">
        <v>0</v>
      </c>
      <c r="H163" s="3">
        <v>14700000000</v>
      </c>
      <c r="I163" s="2"/>
      <c r="J163" s="7">
        <f t="shared" si="66"/>
        <v>0.123</v>
      </c>
      <c r="K163" s="7">
        <f t="shared" si="67"/>
        <v>8.3800000000000008</v>
      </c>
      <c r="L163" s="7">
        <f t="shared" si="68"/>
        <v>127.00000000000001</v>
      </c>
      <c r="M163" s="7">
        <f t="shared" si="69"/>
        <v>103</v>
      </c>
      <c r="O163">
        <f t="shared" si="70"/>
        <v>6.1980582524271841E-2</v>
      </c>
      <c r="P163">
        <f t="shared" si="71"/>
        <v>61.980582524271838</v>
      </c>
      <c r="V163">
        <f t="shared" si="55"/>
        <v>397.78150237706041</v>
      </c>
      <c r="W163">
        <f t="shared" si="56"/>
        <v>129.4680614665252</v>
      </c>
      <c r="AE163">
        <f t="shared" si="57"/>
        <v>0.37499197630533304</v>
      </c>
      <c r="AF163">
        <f t="shared" si="58"/>
        <v>0.36626642548053034</v>
      </c>
      <c r="AG163">
        <f t="shared" si="59"/>
        <v>0.36831720464649242</v>
      </c>
      <c r="AI163">
        <f t="shared" si="60"/>
        <v>0.1366695909201808</v>
      </c>
      <c r="AJ163">
        <f t="shared" si="61"/>
        <v>18.969267561220093</v>
      </c>
      <c r="AL163">
        <f t="shared" si="62"/>
        <v>0.1399254652750701</v>
      </c>
      <c r="AM163">
        <f t="shared" si="63"/>
        <v>19.883841503926416</v>
      </c>
      <c r="AO163">
        <f t="shared" si="64"/>
        <v>0.13914636447458187</v>
      </c>
      <c r="AP163">
        <f t="shared" si="65"/>
        <v>19.663032680440121</v>
      </c>
    </row>
    <row r="164" spans="1:42" x14ac:dyDescent="0.2">
      <c r="A164" s="3">
        <v>160</v>
      </c>
      <c r="B164" s="3">
        <v>1.23E-7</v>
      </c>
      <c r="C164" s="2">
        <v>8.4329999999999995E-3</v>
      </c>
      <c r="D164" s="3">
        <v>102000</v>
      </c>
      <c r="E164" s="3">
        <v>126000000000</v>
      </c>
      <c r="F164" s="3">
        <v>113000000000</v>
      </c>
      <c r="G164" s="3">
        <v>3770000000</v>
      </c>
      <c r="H164" s="3">
        <v>14900000000</v>
      </c>
      <c r="I164" s="2"/>
      <c r="J164" s="7">
        <f t="shared" si="66"/>
        <v>0.123</v>
      </c>
      <c r="K164" s="7">
        <f t="shared" si="67"/>
        <v>8.4329999999999998</v>
      </c>
      <c r="L164" s="7">
        <f t="shared" si="68"/>
        <v>126.00000000000001</v>
      </c>
      <c r="M164" s="7">
        <f t="shared" si="69"/>
        <v>102</v>
      </c>
      <c r="O164">
        <f t="shared" si="70"/>
        <v>6.0992647058823526E-2</v>
      </c>
      <c r="P164">
        <f t="shared" si="71"/>
        <v>60.992647058823529</v>
      </c>
      <c r="V164">
        <f t="shared" si="55"/>
        <v>394.95999990443931</v>
      </c>
      <c r="W164">
        <f t="shared" si="56"/>
        <v>129.12700023379446</v>
      </c>
      <c r="AE164">
        <f t="shared" si="57"/>
        <v>0.37135127750625213</v>
      </c>
      <c r="AF164">
        <f t="shared" si="58"/>
        <v>0.36271044076712711</v>
      </c>
      <c r="AG164">
        <f t="shared" si="59"/>
        <v>0.36474130945574978</v>
      </c>
      <c r="AI164">
        <f t="shared" si="60"/>
        <v>0.13800948887037864</v>
      </c>
      <c r="AJ164">
        <f t="shared" si="61"/>
        <v>19.465373882544323</v>
      </c>
      <c r="AL164">
        <f t="shared" si="62"/>
        <v>0.14129728356208063</v>
      </c>
      <c r="AM164">
        <f t="shared" si="63"/>
        <v>20.40386682543506</v>
      </c>
      <c r="AO164">
        <f t="shared" si="64"/>
        <v>0.14051054451845033</v>
      </c>
      <c r="AP164">
        <f t="shared" si="65"/>
        <v>20.177283153089565</v>
      </c>
    </row>
    <row r="165" spans="1:42" x14ac:dyDescent="0.2">
      <c r="A165" s="3">
        <v>160</v>
      </c>
      <c r="B165" s="3">
        <v>1.23E-7</v>
      </c>
      <c r="C165" s="2">
        <v>8.4849999999999995E-3</v>
      </c>
      <c r="D165" s="3">
        <v>105000</v>
      </c>
      <c r="E165" s="3">
        <v>129000000000</v>
      </c>
      <c r="F165" s="3">
        <v>115000000000</v>
      </c>
      <c r="G165" s="3">
        <v>15300000000</v>
      </c>
      <c r="H165" s="3">
        <v>14700000000</v>
      </c>
      <c r="I165" s="2"/>
      <c r="J165" s="7">
        <f t="shared" si="66"/>
        <v>0.123</v>
      </c>
      <c r="K165" s="7">
        <f t="shared" si="67"/>
        <v>8.4849999999999994</v>
      </c>
      <c r="L165" s="7">
        <f t="shared" si="68"/>
        <v>129</v>
      </c>
      <c r="M165" s="7">
        <f t="shared" si="69"/>
        <v>105</v>
      </c>
      <c r="O165">
        <f t="shared" si="70"/>
        <v>6.2392857142857146E-2</v>
      </c>
      <c r="P165">
        <f t="shared" si="71"/>
        <v>62.392857142857146</v>
      </c>
      <c r="V165">
        <f t="shared" si="55"/>
        <v>398.95153073586641</v>
      </c>
      <c r="W165">
        <f t="shared" si="56"/>
        <v>131.59493310669521</v>
      </c>
      <c r="AE165">
        <f t="shared" si="57"/>
        <v>0.38227337390349481</v>
      </c>
      <c r="AF165">
        <f t="shared" si="58"/>
        <v>0.37337839490733676</v>
      </c>
      <c r="AG165">
        <f t="shared" si="59"/>
        <v>0.3754689950279777</v>
      </c>
      <c r="AI165">
        <f t="shared" si="60"/>
        <v>0.13406636061693927</v>
      </c>
      <c r="AJ165">
        <f t="shared" si="61"/>
        <v>18.482224515134394</v>
      </c>
      <c r="AL165">
        <f t="shared" si="62"/>
        <v>0.13726021831744972</v>
      </c>
      <c r="AM165">
        <f t="shared" si="63"/>
        <v>19.373316429476215</v>
      </c>
      <c r="AO165">
        <f t="shared" si="64"/>
        <v>0.13649595753220889</v>
      </c>
      <c r="AP165">
        <f t="shared" si="65"/>
        <v>19.158176955196279</v>
      </c>
    </row>
    <row r="166" spans="1:42" x14ac:dyDescent="0.2">
      <c r="A166" s="3">
        <v>160</v>
      </c>
      <c r="B166" s="3">
        <v>1.24E-7</v>
      </c>
      <c r="C166" s="2">
        <v>8.5369999999999994E-3</v>
      </c>
      <c r="D166" s="3">
        <v>101000</v>
      </c>
      <c r="E166" s="3">
        <v>125000000000</v>
      </c>
      <c r="F166" s="3">
        <v>112000000000</v>
      </c>
      <c r="G166" s="2">
        <v>0</v>
      </c>
      <c r="H166" s="3">
        <v>15100000000</v>
      </c>
      <c r="I166" s="2"/>
      <c r="J166" s="7">
        <f t="shared" si="66"/>
        <v>0.124</v>
      </c>
      <c r="K166" s="7">
        <f t="shared" si="67"/>
        <v>8.536999999999999</v>
      </c>
      <c r="L166" s="7">
        <f t="shared" si="68"/>
        <v>125.00000000000001</v>
      </c>
      <c r="M166" s="7">
        <f t="shared" si="69"/>
        <v>101</v>
      </c>
      <c r="O166">
        <f t="shared" si="70"/>
        <v>6.0606435643564355E-2</v>
      </c>
      <c r="P166">
        <f t="shared" si="71"/>
        <v>60.606435643564353</v>
      </c>
      <c r="V166">
        <f t="shared" si="55"/>
        <v>393.8500796793096</v>
      </c>
      <c r="W166">
        <f t="shared" si="56"/>
        <v>128.22137814754123</v>
      </c>
      <c r="AE166">
        <f t="shared" si="57"/>
        <v>0.36771057870717122</v>
      </c>
      <c r="AF166">
        <f t="shared" si="58"/>
        <v>0.35915445605372393</v>
      </c>
      <c r="AG166">
        <f t="shared" si="59"/>
        <v>0.36116541426500715</v>
      </c>
      <c r="AI166">
        <f t="shared" si="60"/>
        <v>0.14050905700978422</v>
      </c>
      <c r="AJ166">
        <f t="shared" si="61"/>
        <v>20.097568932920517</v>
      </c>
      <c r="AL166">
        <f t="shared" si="62"/>
        <v>0.14385639881616319</v>
      </c>
      <c r="AM166">
        <f t="shared" si="63"/>
        <v>21.066542183915715</v>
      </c>
      <c r="AO166">
        <f t="shared" si="64"/>
        <v>0.14305541069543265</v>
      </c>
      <c r="AP166">
        <f t="shared" si="65"/>
        <v>20.8325995429207</v>
      </c>
    </row>
    <row r="167" spans="1:42" x14ac:dyDescent="0.2">
      <c r="A167" s="3">
        <v>170</v>
      </c>
      <c r="B167" s="3">
        <v>1.2499999999999999E-7</v>
      </c>
      <c r="C167" s="2">
        <v>8.5920000000000007E-3</v>
      </c>
      <c r="D167" s="3">
        <v>107000</v>
      </c>
      <c r="E167" s="3">
        <v>131000000000</v>
      </c>
      <c r="F167" s="3">
        <v>117000000000</v>
      </c>
      <c r="G167" s="3">
        <v>15700000000</v>
      </c>
      <c r="H167" s="3">
        <v>14700000000</v>
      </c>
      <c r="I167" s="2"/>
      <c r="J167" s="7">
        <f t="shared" si="66"/>
        <v>0.125</v>
      </c>
      <c r="K167" s="7">
        <f t="shared" si="67"/>
        <v>8.5920000000000005</v>
      </c>
      <c r="L167" s="7">
        <f t="shared" si="68"/>
        <v>131</v>
      </c>
      <c r="M167" s="7">
        <f t="shared" si="69"/>
        <v>107</v>
      </c>
      <c r="O167">
        <f t="shared" si="70"/>
        <v>6.4775700934579433E-2</v>
      </c>
      <c r="P167">
        <f t="shared" si="71"/>
        <v>64.775700934579433</v>
      </c>
      <c r="V167">
        <f t="shared" si="55"/>
        <v>405.63113428744276</v>
      </c>
      <c r="W167">
        <f t="shared" si="56"/>
        <v>131.8932287926603</v>
      </c>
      <c r="AE167">
        <f t="shared" si="57"/>
        <v>0.38955477150165663</v>
      </c>
      <c r="AF167">
        <f t="shared" si="58"/>
        <v>0.38049036433414318</v>
      </c>
      <c r="AG167">
        <f t="shared" si="59"/>
        <v>0.38262078540946304</v>
      </c>
      <c r="AI167">
        <f t="shared" si="60"/>
        <v>0.13369964159997935</v>
      </c>
      <c r="AJ167">
        <f t="shared" si="61"/>
        <v>18.02219589702268</v>
      </c>
      <c r="AL167">
        <f t="shared" si="62"/>
        <v>0.13688476296759575</v>
      </c>
      <c r="AM167">
        <f t="shared" si="63"/>
        <v>18.891108241928503</v>
      </c>
      <c r="AO167">
        <f t="shared" si="64"/>
        <v>0.13612259270649962</v>
      </c>
      <c r="AP167">
        <f t="shared" si="65"/>
        <v>18.681323659586667</v>
      </c>
    </row>
    <row r="168" spans="1:42" x14ac:dyDescent="0.2">
      <c r="A168" s="3">
        <v>170</v>
      </c>
      <c r="B168" s="3">
        <v>1.2499999999999999E-7</v>
      </c>
      <c r="C168" s="2">
        <v>8.6490000000000004E-3</v>
      </c>
      <c r="D168" s="3">
        <v>103000</v>
      </c>
      <c r="E168" s="3">
        <v>126000000000</v>
      </c>
      <c r="F168" s="3">
        <v>113000000000</v>
      </c>
      <c r="G168" s="2">
        <v>0</v>
      </c>
      <c r="H168" s="3">
        <v>15100000000</v>
      </c>
      <c r="I168" s="2"/>
      <c r="J168" s="7">
        <f t="shared" si="66"/>
        <v>0.125</v>
      </c>
      <c r="K168" s="7">
        <f t="shared" si="67"/>
        <v>8.6490000000000009</v>
      </c>
      <c r="L168" s="7">
        <f t="shared" si="68"/>
        <v>126.00000000000001</v>
      </c>
      <c r="M168" s="7">
        <f t="shared" si="69"/>
        <v>103</v>
      </c>
      <c r="O168">
        <f t="shared" si="70"/>
        <v>6.202184466019417E-2</v>
      </c>
      <c r="P168">
        <f t="shared" si="71"/>
        <v>62.021844660194169</v>
      </c>
      <c r="V168">
        <f t="shared" si="55"/>
        <v>397.8987984496905</v>
      </c>
      <c r="W168">
        <f t="shared" si="56"/>
        <v>129.42989574398413</v>
      </c>
      <c r="AE168">
        <f t="shared" si="57"/>
        <v>0.37499197630533304</v>
      </c>
      <c r="AF168">
        <f t="shared" si="58"/>
        <v>0.36626642548053034</v>
      </c>
      <c r="AG168">
        <f t="shared" si="59"/>
        <v>0.36831720464649242</v>
      </c>
      <c r="AI168">
        <f t="shared" si="60"/>
        <v>0.13889186069124065</v>
      </c>
      <c r="AJ168">
        <f t="shared" si="61"/>
        <v>19.578185577206753</v>
      </c>
      <c r="AL168">
        <f t="shared" si="62"/>
        <v>0.14220067609255091</v>
      </c>
      <c r="AM168">
        <f t="shared" si="63"/>
        <v>20.522117561749351</v>
      </c>
      <c r="AO168">
        <f t="shared" si="64"/>
        <v>0.14140890698636371</v>
      </c>
      <c r="AP168">
        <f t="shared" si="65"/>
        <v>20.294220722330145</v>
      </c>
    </row>
    <row r="169" spans="1:42" x14ac:dyDescent="0.2">
      <c r="A169" s="3">
        <v>170</v>
      </c>
      <c r="B169" s="3">
        <v>1.2599999999999999E-7</v>
      </c>
      <c r="C169" s="2">
        <v>8.6979999999999991E-3</v>
      </c>
      <c r="D169" s="3">
        <v>105000</v>
      </c>
      <c r="E169" s="3">
        <v>128000000000</v>
      </c>
      <c r="F169" s="3">
        <v>114000000000</v>
      </c>
      <c r="G169" s="3">
        <v>731000000</v>
      </c>
      <c r="H169" s="3">
        <v>15000000000</v>
      </c>
      <c r="I169" s="2"/>
      <c r="J169" s="7">
        <f t="shared" si="66"/>
        <v>0.126</v>
      </c>
      <c r="K169" s="7">
        <f t="shared" si="67"/>
        <v>8.6979999999999986</v>
      </c>
      <c r="L169" s="7">
        <f t="shared" si="68"/>
        <v>128</v>
      </c>
      <c r="M169" s="7">
        <f t="shared" si="69"/>
        <v>105</v>
      </c>
      <c r="O169">
        <f t="shared" si="70"/>
        <v>6.3871428571428579E-2</v>
      </c>
      <c r="P169">
        <f t="shared" si="71"/>
        <v>63.871428571428581</v>
      </c>
      <c r="V169">
        <f t="shared" si="55"/>
        <v>403.11265029239667</v>
      </c>
      <c r="W169">
        <f t="shared" si="56"/>
        <v>130.23654792753157</v>
      </c>
      <c r="AE169">
        <f t="shared" si="57"/>
        <v>0.38227337390349481</v>
      </c>
      <c r="AF169">
        <f t="shared" si="58"/>
        <v>0.37337839490733676</v>
      </c>
      <c r="AG169">
        <f t="shared" si="59"/>
        <v>0.3754689950279777</v>
      </c>
      <c r="AI169">
        <f t="shared" si="60"/>
        <v>0.13733627185149877</v>
      </c>
      <c r="AJ169">
        <f t="shared" si="61"/>
        <v>18.946186073381138</v>
      </c>
      <c r="AL169">
        <f t="shared" si="62"/>
        <v>0.14060802852031434</v>
      </c>
      <c r="AM169">
        <f t="shared" si="63"/>
        <v>19.859647177794237</v>
      </c>
      <c r="AO169">
        <f t="shared" si="64"/>
        <v>0.13982512722811644</v>
      </c>
      <c r="AP169">
        <f t="shared" si="65"/>
        <v>19.639107030795195</v>
      </c>
    </row>
    <row r="170" spans="1:42" x14ac:dyDescent="0.2">
      <c r="A170" s="3">
        <v>170</v>
      </c>
      <c r="B170" s="3">
        <v>1.2599999999999999E-7</v>
      </c>
      <c r="C170" s="2">
        <v>8.7480000000000006E-3</v>
      </c>
      <c r="D170" s="3">
        <v>109000</v>
      </c>
      <c r="E170" s="3">
        <v>132000000000</v>
      </c>
      <c r="F170" s="3">
        <v>118000000000</v>
      </c>
      <c r="G170" s="2">
        <v>0</v>
      </c>
      <c r="H170" s="3">
        <v>14800000000</v>
      </c>
      <c r="I170" s="2"/>
      <c r="J170" s="7">
        <f t="shared" si="66"/>
        <v>0.126</v>
      </c>
      <c r="K170" s="7">
        <f t="shared" si="67"/>
        <v>8.7480000000000011</v>
      </c>
      <c r="L170" s="7">
        <f t="shared" si="68"/>
        <v>132</v>
      </c>
      <c r="M170" s="7">
        <f t="shared" si="69"/>
        <v>109</v>
      </c>
      <c r="O170">
        <f t="shared" si="70"/>
        <v>6.5807339449541286E-2</v>
      </c>
      <c r="P170">
        <f t="shared" si="71"/>
        <v>65.807339449541288</v>
      </c>
      <c r="V170">
        <f t="shared" si="55"/>
        <v>408.48054696796203</v>
      </c>
      <c r="W170">
        <f t="shared" si="56"/>
        <v>133.4212862877765</v>
      </c>
      <c r="AE170">
        <f t="shared" si="57"/>
        <v>0.39683616909981845</v>
      </c>
      <c r="AF170">
        <f t="shared" si="58"/>
        <v>0.3876023337609496</v>
      </c>
      <c r="AG170">
        <f t="shared" si="59"/>
        <v>0.38977257579094832</v>
      </c>
      <c r="AI170">
        <f t="shared" si="60"/>
        <v>0.1322964086642878</v>
      </c>
      <c r="AJ170">
        <f t="shared" si="61"/>
        <v>17.682219261098336</v>
      </c>
      <c r="AL170">
        <f t="shared" si="62"/>
        <v>0.13544810086819273</v>
      </c>
      <c r="AM170">
        <f t="shared" si="63"/>
        <v>18.534740157502423</v>
      </c>
      <c r="AO170">
        <f t="shared" si="64"/>
        <v>0.13469392989864426</v>
      </c>
      <c r="AP170">
        <f t="shared" si="65"/>
        <v>18.328913020578494</v>
      </c>
    </row>
    <row r="171" spans="1:42" x14ac:dyDescent="0.2">
      <c r="A171" s="3">
        <v>170</v>
      </c>
      <c r="B171" s="3">
        <v>1.2700000000000001E-7</v>
      </c>
      <c r="C171" s="2">
        <v>8.8000000000000005E-3</v>
      </c>
      <c r="D171" s="3">
        <v>102000</v>
      </c>
      <c r="E171" s="3">
        <v>125000000000</v>
      </c>
      <c r="F171" s="3">
        <v>112000000000</v>
      </c>
      <c r="G171" s="2">
        <v>0</v>
      </c>
      <c r="H171" s="3">
        <v>15400000000</v>
      </c>
      <c r="I171" s="2"/>
      <c r="J171" s="7">
        <f t="shared" si="66"/>
        <v>0.127</v>
      </c>
      <c r="K171" s="7">
        <f t="shared" si="67"/>
        <v>8.8000000000000007</v>
      </c>
      <c r="L171" s="7">
        <f t="shared" si="68"/>
        <v>125.00000000000001</v>
      </c>
      <c r="M171" s="7">
        <f t="shared" si="69"/>
        <v>102</v>
      </c>
      <c r="O171">
        <f t="shared" si="70"/>
        <v>6.2294117647058819E-2</v>
      </c>
      <c r="P171">
        <f t="shared" si="71"/>
        <v>62.294117647058819</v>
      </c>
      <c r="V171">
        <f t="shared" si="55"/>
        <v>398.67170283233907</v>
      </c>
      <c r="W171">
        <f t="shared" si="56"/>
        <v>127.92480539168839</v>
      </c>
      <c r="AE171">
        <f t="shared" si="57"/>
        <v>0.37135127750625213</v>
      </c>
      <c r="AF171">
        <f t="shared" si="58"/>
        <v>0.36271044076712711</v>
      </c>
      <c r="AG171">
        <f t="shared" si="59"/>
        <v>0.36474130945574978</v>
      </c>
      <c r="AI171">
        <f t="shared" si="60"/>
        <v>0.14249760232957795</v>
      </c>
      <c r="AJ171">
        <f t="shared" si="61"/>
        <v>20.312497351641181</v>
      </c>
      <c r="AL171">
        <f t="shared" si="62"/>
        <v>0.14589231717385559</v>
      </c>
      <c r="AM171">
        <f t="shared" si="63"/>
        <v>21.291833044447831</v>
      </c>
      <c r="AO171">
        <f t="shared" si="64"/>
        <v>0.14507999312067638</v>
      </c>
      <c r="AP171">
        <f t="shared" si="65"/>
        <v>21.055388562455612</v>
      </c>
    </row>
    <row r="172" spans="1:42" x14ac:dyDescent="0.2">
      <c r="A172" s="3">
        <v>170</v>
      </c>
      <c r="B172" s="3">
        <v>1.2800000000000001E-7</v>
      </c>
      <c r="C172" s="2">
        <v>8.8500000000000002E-3</v>
      </c>
      <c r="D172" s="3">
        <v>102000</v>
      </c>
      <c r="E172" s="3">
        <v>125000000000</v>
      </c>
      <c r="F172" s="3">
        <v>112000000000</v>
      </c>
      <c r="G172" s="2">
        <v>0</v>
      </c>
      <c r="H172" s="3">
        <v>15400000000</v>
      </c>
      <c r="I172" s="2"/>
      <c r="J172" s="7">
        <f t="shared" si="66"/>
        <v>0.128</v>
      </c>
      <c r="K172" s="7">
        <f t="shared" si="67"/>
        <v>8.85</v>
      </c>
      <c r="L172" s="7">
        <f t="shared" si="68"/>
        <v>125.00000000000001</v>
      </c>
      <c r="M172" s="7">
        <f t="shared" si="69"/>
        <v>102</v>
      </c>
      <c r="O172">
        <f t="shared" si="70"/>
        <v>6.2926470588235306E-2</v>
      </c>
      <c r="P172">
        <f t="shared" si="71"/>
        <v>62.926470588235304</v>
      </c>
      <c r="V172">
        <f t="shared" si="55"/>
        <v>400.45954103869269</v>
      </c>
      <c r="W172">
        <f t="shared" si="56"/>
        <v>127.35368938324869</v>
      </c>
      <c r="AE172">
        <f t="shared" si="57"/>
        <v>0.37135127750625213</v>
      </c>
      <c r="AF172">
        <f t="shared" si="58"/>
        <v>0.36271044076712711</v>
      </c>
      <c r="AG172">
        <f t="shared" si="59"/>
        <v>0.36474130945574978</v>
      </c>
      <c r="AI172">
        <f t="shared" si="60"/>
        <v>0.1436196306943778</v>
      </c>
      <c r="AJ172">
        <f t="shared" si="61"/>
        <v>20.427909268411867</v>
      </c>
      <c r="AL172">
        <f t="shared" si="62"/>
        <v>0.14704107557679935</v>
      </c>
      <c r="AM172">
        <f t="shared" si="63"/>
        <v>21.412809368564009</v>
      </c>
      <c r="AO172">
        <f t="shared" si="64"/>
        <v>0.14622235527123287</v>
      </c>
      <c r="AP172">
        <f t="shared" si="65"/>
        <v>21.175021452015017</v>
      </c>
    </row>
    <row r="173" spans="1:42" x14ac:dyDescent="0.2">
      <c r="A173" s="3">
        <v>170</v>
      </c>
      <c r="B173" s="3">
        <v>1.2800000000000001E-7</v>
      </c>
      <c r="C173" s="2">
        <v>8.9020000000000002E-3</v>
      </c>
      <c r="D173" s="3">
        <v>106000</v>
      </c>
      <c r="E173" s="3">
        <v>128000000000</v>
      </c>
      <c r="F173" s="3">
        <v>115000000000</v>
      </c>
      <c r="G173" s="3">
        <v>2400000000</v>
      </c>
      <c r="H173" s="3">
        <v>15200000000</v>
      </c>
      <c r="I173" s="2"/>
      <c r="J173" s="7">
        <f t="shared" si="66"/>
        <v>0.128</v>
      </c>
      <c r="K173" s="7">
        <f t="shared" si="67"/>
        <v>8.902000000000001</v>
      </c>
      <c r="L173" s="7">
        <f t="shared" si="68"/>
        <v>128</v>
      </c>
      <c r="M173" s="7">
        <f t="shared" si="69"/>
        <v>106</v>
      </c>
      <c r="O173">
        <f t="shared" si="70"/>
        <v>6.5014150943396215E-2</v>
      </c>
      <c r="P173">
        <f t="shared" si="71"/>
        <v>65.014150943396217</v>
      </c>
      <c r="V173">
        <f t="shared" si="55"/>
        <v>406.29197262940954</v>
      </c>
      <c r="W173">
        <f t="shared" si="56"/>
        <v>130.44806092770827</v>
      </c>
      <c r="AE173">
        <f t="shared" si="57"/>
        <v>0.38591407270257572</v>
      </c>
      <c r="AF173">
        <f t="shared" si="58"/>
        <v>0.37693437962073995</v>
      </c>
      <c r="AG173">
        <f t="shared" si="59"/>
        <v>0.37904489021872034</v>
      </c>
      <c r="AI173">
        <f t="shared" si="60"/>
        <v>0.13820002198892958</v>
      </c>
      <c r="AJ173">
        <f t="shared" si="61"/>
        <v>19.026410059978875</v>
      </c>
      <c r="AL173">
        <f t="shared" si="62"/>
        <v>0.14149235574371258</v>
      </c>
      <c r="AM173">
        <f t="shared" si="63"/>
        <v>19.943739040022155</v>
      </c>
      <c r="AO173">
        <f t="shared" si="64"/>
        <v>0.14070453054401655</v>
      </c>
      <c r="AP173">
        <f t="shared" si="65"/>
        <v>19.722265058122058</v>
      </c>
    </row>
    <row r="174" spans="1:42" x14ac:dyDescent="0.2">
      <c r="A174" s="3">
        <v>170</v>
      </c>
      <c r="B174" s="3">
        <v>1.2800000000000001E-7</v>
      </c>
      <c r="C174" s="2">
        <v>8.9540000000000002E-3</v>
      </c>
      <c r="D174" s="3">
        <v>105000</v>
      </c>
      <c r="E174" s="3">
        <v>128000000000</v>
      </c>
      <c r="F174" s="3">
        <v>114000000000</v>
      </c>
      <c r="G174" s="2">
        <v>0</v>
      </c>
      <c r="H174" s="3">
        <v>15300000000</v>
      </c>
      <c r="I174" s="2"/>
      <c r="J174" s="7">
        <f t="shared" si="66"/>
        <v>0.128</v>
      </c>
      <c r="K174" s="7">
        <f t="shared" si="67"/>
        <v>8.9540000000000006</v>
      </c>
      <c r="L174" s="7">
        <f t="shared" si="68"/>
        <v>128</v>
      </c>
      <c r="M174" s="7">
        <f t="shared" si="69"/>
        <v>105</v>
      </c>
      <c r="O174">
        <f t="shared" si="70"/>
        <v>6.4042857142857151E-2</v>
      </c>
      <c r="P174">
        <f t="shared" si="71"/>
        <v>64.042857142857144</v>
      </c>
      <c r="V174">
        <f t="shared" si="55"/>
        <v>403.59161338580719</v>
      </c>
      <c r="W174">
        <f t="shared" si="56"/>
        <v>130.08198946347636</v>
      </c>
      <c r="AE174">
        <f t="shared" si="57"/>
        <v>0.38227337390349481</v>
      </c>
      <c r="AF174">
        <f t="shared" si="58"/>
        <v>0.37337839490733676</v>
      </c>
      <c r="AG174">
        <f t="shared" si="59"/>
        <v>0.3754689950279777</v>
      </c>
      <c r="AI174">
        <f t="shared" si="60"/>
        <v>0.13951621267453845</v>
      </c>
      <c r="AJ174">
        <f t="shared" si="61"/>
        <v>19.503811232588497</v>
      </c>
      <c r="AL174">
        <f t="shared" si="62"/>
        <v>0.14283990198889077</v>
      </c>
      <c r="AM174">
        <f t="shared" si="63"/>
        <v>20.444157372955811</v>
      </c>
      <c r="AO174">
        <f t="shared" si="64"/>
        <v>0.14204457369205478</v>
      </c>
      <c r="AP174">
        <f t="shared" si="65"/>
        <v>20.217126276585446</v>
      </c>
    </row>
    <row r="175" spans="1:42" x14ac:dyDescent="0.2">
      <c r="A175" s="3">
        <v>170</v>
      </c>
      <c r="B175" s="3">
        <v>1.29E-7</v>
      </c>
      <c r="C175" s="2">
        <v>9.0050000000000009E-3</v>
      </c>
      <c r="D175" s="3">
        <v>104000</v>
      </c>
      <c r="E175" s="3">
        <v>126000000000</v>
      </c>
      <c r="F175" s="3">
        <v>113000000000</v>
      </c>
      <c r="G175" s="3">
        <v>4450000000</v>
      </c>
      <c r="H175" s="3">
        <v>15500000000</v>
      </c>
      <c r="I175" s="2"/>
      <c r="J175" s="7">
        <f t="shared" si="66"/>
        <v>0.129</v>
      </c>
      <c r="K175" s="7">
        <f t="shared" si="67"/>
        <v>9.0050000000000008</v>
      </c>
      <c r="L175" s="7">
        <f t="shared" si="68"/>
        <v>126.00000000000001</v>
      </c>
      <c r="M175" s="7">
        <f t="shared" si="69"/>
        <v>104</v>
      </c>
      <c r="O175">
        <f t="shared" si="70"/>
        <v>6.4060096153846155E-2</v>
      </c>
      <c r="P175">
        <f t="shared" si="71"/>
        <v>64.06009615384616</v>
      </c>
      <c r="V175">
        <f t="shared" si="55"/>
        <v>403.63973880887994</v>
      </c>
      <c r="W175">
        <f t="shared" si="56"/>
        <v>128.82775158226323</v>
      </c>
      <c r="AE175">
        <f t="shared" si="57"/>
        <v>0.37863267510441395</v>
      </c>
      <c r="AF175">
        <f t="shared" si="58"/>
        <v>0.36982241019393353</v>
      </c>
      <c r="AG175">
        <f t="shared" si="59"/>
        <v>0.37189309983723506</v>
      </c>
      <c r="AI175">
        <f t="shared" si="60"/>
        <v>0.14195816561573191</v>
      </c>
      <c r="AJ175">
        <f t="shared" si="61"/>
        <v>19.99392375490126</v>
      </c>
      <c r="AL175">
        <f t="shared" si="62"/>
        <v>0.14534002948013264</v>
      </c>
      <c r="AM175">
        <f t="shared" si="63"/>
        <v>20.95789991368941</v>
      </c>
      <c r="AO175">
        <f t="shared" si="64"/>
        <v>0.14453078054829344</v>
      </c>
      <c r="AP175">
        <f t="shared" si="65"/>
        <v>20.725163738349675</v>
      </c>
    </row>
    <row r="176" spans="1:42" x14ac:dyDescent="0.2">
      <c r="A176" s="3">
        <v>170</v>
      </c>
      <c r="B176" s="3">
        <v>1.3E-7</v>
      </c>
      <c r="C176" s="2">
        <v>9.0589999999999993E-3</v>
      </c>
      <c r="D176" s="3">
        <v>127000</v>
      </c>
      <c r="E176" s="3">
        <v>149000000000</v>
      </c>
      <c r="F176" s="3">
        <v>131000000000</v>
      </c>
      <c r="G176" s="2">
        <v>0</v>
      </c>
      <c r="H176" s="3">
        <v>14000000000</v>
      </c>
      <c r="I176" s="2"/>
      <c r="J176" s="7">
        <f t="shared" si="66"/>
        <v>0.13</v>
      </c>
      <c r="K176" s="7">
        <f t="shared" si="67"/>
        <v>9.0589999999999993</v>
      </c>
      <c r="L176" s="7">
        <f t="shared" si="68"/>
        <v>149</v>
      </c>
      <c r="M176" s="7">
        <f t="shared" si="69"/>
        <v>127</v>
      </c>
      <c r="O176">
        <f t="shared" si="70"/>
        <v>7.6501968503937021E-2</v>
      </c>
      <c r="P176">
        <f t="shared" si="71"/>
        <v>76.501968503937022</v>
      </c>
      <c r="V176">
        <f t="shared" si="55"/>
        <v>436.66071730533793</v>
      </c>
      <c r="W176">
        <f t="shared" si="56"/>
        <v>145.42182862672576</v>
      </c>
      <c r="AE176">
        <f t="shared" si="57"/>
        <v>0.46236874748327472</v>
      </c>
      <c r="AF176">
        <f t="shared" si="58"/>
        <v>0.45161005860220732</v>
      </c>
      <c r="AG176">
        <f t="shared" si="59"/>
        <v>0.45413868922431594</v>
      </c>
      <c r="AI176">
        <f t="shared" si="60"/>
        <v>0.11715036312791891</v>
      </c>
      <c r="AJ176">
        <f t="shared" si="61"/>
        <v>13.488194219211408</v>
      </c>
      <c r="AL176">
        <f t="shared" si="62"/>
        <v>0.11994123167743351</v>
      </c>
      <c r="AM176">
        <f t="shared" si="63"/>
        <v>14.138506674726129</v>
      </c>
      <c r="AO176">
        <f t="shared" si="64"/>
        <v>0.11927340249117543</v>
      </c>
      <c r="AP176">
        <f t="shared" si="65"/>
        <v>13.981499437262334</v>
      </c>
    </row>
    <row r="177" spans="1:42" x14ac:dyDescent="0.2">
      <c r="A177" s="3">
        <v>180</v>
      </c>
      <c r="B177" s="3">
        <v>1.3E-7</v>
      </c>
      <c r="C177" s="2">
        <v>9.1090000000000008E-3</v>
      </c>
      <c r="D177" s="3">
        <v>111000</v>
      </c>
      <c r="E177" s="3">
        <v>133000000000</v>
      </c>
      <c r="F177" s="3">
        <v>118000000000</v>
      </c>
      <c r="G177" s="3">
        <v>5910000000</v>
      </c>
      <c r="H177" s="3">
        <v>15100000000</v>
      </c>
      <c r="I177" s="2"/>
      <c r="J177" s="7">
        <f t="shared" si="66"/>
        <v>0.13</v>
      </c>
      <c r="K177" s="7">
        <f t="shared" si="67"/>
        <v>9.109</v>
      </c>
      <c r="L177" s="7">
        <f t="shared" si="68"/>
        <v>133</v>
      </c>
      <c r="M177" s="7">
        <f t="shared" si="69"/>
        <v>111</v>
      </c>
      <c r="O177">
        <f t="shared" si="70"/>
        <v>6.8452702702702706E-2</v>
      </c>
      <c r="P177">
        <f t="shared" si="71"/>
        <v>68.452702702702709</v>
      </c>
      <c r="V177">
        <f t="shared" si="55"/>
        <v>415.67530835957461</v>
      </c>
      <c r="W177">
        <f t="shared" si="56"/>
        <v>133.51767325085001</v>
      </c>
      <c r="AE177">
        <f t="shared" si="57"/>
        <v>0.40411756669798027</v>
      </c>
      <c r="AF177">
        <f t="shared" si="58"/>
        <v>0.39471430318775602</v>
      </c>
      <c r="AG177">
        <f t="shared" si="59"/>
        <v>0.3969243661724336</v>
      </c>
      <c r="AI177">
        <f t="shared" si="60"/>
        <v>0.13403690195716847</v>
      </c>
      <c r="AJ177">
        <f t="shared" si="61"/>
        <v>17.754389265785491</v>
      </c>
      <c r="AL177">
        <f t="shared" si="62"/>
        <v>0.13723005786517167</v>
      </c>
      <c r="AM177">
        <f t="shared" si="63"/>
        <v>18.61038972751907</v>
      </c>
      <c r="AO177">
        <f t="shared" si="64"/>
        <v>0.13646596501242597</v>
      </c>
      <c r="AP177">
        <f t="shared" si="65"/>
        <v>18.403722506824145</v>
      </c>
    </row>
    <row r="178" spans="1:42" x14ac:dyDescent="0.2">
      <c r="A178" s="3">
        <v>180</v>
      </c>
      <c r="B178" s="3">
        <v>1.31E-7</v>
      </c>
      <c r="C178" s="2">
        <v>9.1640000000000003E-3</v>
      </c>
      <c r="D178" s="3">
        <v>113000</v>
      </c>
      <c r="E178" s="3">
        <v>136000000000</v>
      </c>
      <c r="F178" s="3">
        <v>120000000000</v>
      </c>
      <c r="G178" s="2">
        <v>0</v>
      </c>
      <c r="H178" s="3">
        <v>15000000000</v>
      </c>
      <c r="I178" s="2"/>
      <c r="J178" s="7">
        <f t="shared" si="66"/>
        <v>0.13100000000000001</v>
      </c>
      <c r="K178" s="7">
        <f t="shared" si="67"/>
        <v>9.1639999999999997</v>
      </c>
      <c r="L178" s="7">
        <f t="shared" si="68"/>
        <v>136</v>
      </c>
      <c r="M178" s="7">
        <f t="shared" si="69"/>
        <v>113</v>
      </c>
      <c r="O178">
        <f t="shared" si="70"/>
        <v>7.0176991150442486E-2</v>
      </c>
      <c r="P178">
        <f t="shared" si="71"/>
        <v>70.17699115044249</v>
      </c>
      <c r="V178">
        <f t="shared" si="55"/>
        <v>420.2818927525131</v>
      </c>
      <c r="W178">
        <f t="shared" si="56"/>
        <v>134.4335813041333</v>
      </c>
      <c r="AE178">
        <f t="shared" si="57"/>
        <v>0.41139896429614203</v>
      </c>
      <c r="AF178">
        <f t="shared" si="58"/>
        <v>0.40182627261456239</v>
      </c>
      <c r="AG178">
        <f t="shared" si="59"/>
        <v>0.40407615655391887</v>
      </c>
      <c r="AI178">
        <f t="shared" si="60"/>
        <v>0.13267737177394057</v>
      </c>
      <c r="AJ178">
        <f t="shared" si="61"/>
        <v>17.234916617122213</v>
      </c>
      <c r="AL178">
        <f t="shared" si="62"/>
        <v>0.13583813964720637</v>
      </c>
      <c r="AM178">
        <f t="shared" si="63"/>
        <v>18.065871507281521</v>
      </c>
      <c r="AO178">
        <f t="shared" si="64"/>
        <v>0.13508179695341632</v>
      </c>
      <c r="AP178">
        <f t="shared" si="65"/>
        <v>17.865251127563159</v>
      </c>
    </row>
    <row r="179" spans="1:42" x14ac:dyDescent="0.2">
      <c r="A179" s="3">
        <v>180</v>
      </c>
      <c r="B179" s="3">
        <v>1.31E-7</v>
      </c>
      <c r="C179" s="2">
        <v>9.2149999999999992E-3</v>
      </c>
      <c r="D179" s="3">
        <v>109000</v>
      </c>
      <c r="E179" s="3">
        <v>131000000000</v>
      </c>
      <c r="F179" s="3">
        <v>117000000000</v>
      </c>
      <c r="G179" s="3">
        <v>1050000000</v>
      </c>
      <c r="H179" s="3">
        <v>15400000000</v>
      </c>
      <c r="I179" s="2"/>
      <c r="J179" s="7">
        <f t="shared" si="66"/>
        <v>0.13100000000000001</v>
      </c>
      <c r="K179" s="7">
        <f t="shared" si="67"/>
        <v>9.2149999999999999</v>
      </c>
      <c r="L179" s="7">
        <f t="shared" si="68"/>
        <v>131</v>
      </c>
      <c r="M179" s="7">
        <f t="shared" si="69"/>
        <v>109</v>
      </c>
      <c r="O179">
        <f t="shared" si="70"/>
        <v>6.7594036697247714E-2</v>
      </c>
      <c r="P179">
        <f t="shared" si="71"/>
        <v>67.594036697247716</v>
      </c>
      <c r="V179">
        <f t="shared" si="55"/>
        <v>413.35718974180884</v>
      </c>
      <c r="W179">
        <f t="shared" si="56"/>
        <v>131.84722886770589</v>
      </c>
      <c r="AE179">
        <f t="shared" si="57"/>
        <v>0.39683616909981845</v>
      </c>
      <c r="AF179">
        <f t="shared" si="58"/>
        <v>0.3876023337609496</v>
      </c>
      <c r="AG179">
        <f t="shared" si="59"/>
        <v>0.38977257579094832</v>
      </c>
      <c r="AI179">
        <f t="shared" si="60"/>
        <v>0.13754626615096591</v>
      </c>
      <c r="AJ179">
        <f t="shared" si="61"/>
        <v>18.626160321333007</v>
      </c>
      <c r="AL179">
        <f t="shared" si="62"/>
        <v>0.14082302550581943</v>
      </c>
      <c r="AM179">
        <f t="shared" si="63"/>
        <v>19.524191878301874</v>
      </c>
      <c r="AO179">
        <f t="shared" si="64"/>
        <v>0.14003892711684446</v>
      </c>
      <c r="AP179">
        <f t="shared" si="65"/>
        <v>19.307376941544444</v>
      </c>
    </row>
    <row r="180" spans="1:42" x14ac:dyDescent="0.2">
      <c r="A180" s="3">
        <v>180</v>
      </c>
      <c r="B180" s="3">
        <v>1.3199999999999999E-7</v>
      </c>
      <c r="C180" s="2">
        <v>9.2659999999999999E-3</v>
      </c>
      <c r="D180" s="3">
        <v>118000</v>
      </c>
      <c r="E180" s="3">
        <v>140000000000</v>
      </c>
      <c r="F180" s="3">
        <v>124000000000</v>
      </c>
      <c r="G180" s="2">
        <v>0</v>
      </c>
      <c r="H180" s="3">
        <v>14800000000</v>
      </c>
      <c r="I180" s="2"/>
      <c r="J180" s="7">
        <f t="shared" si="66"/>
        <v>0.13199999999999998</v>
      </c>
      <c r="K180" s="7">
        <f t="shared" si="67"/>
        <v>9.266</v>
      </c>
      <c r="L180" s="7">
        <f t="shared" si="68"/>
        <v>140</v>
      </c>
      <c r="M180" s="7">
        <f t="shared" si="69"/>
        <v>118</v>
      </c>
      <c r="O180">
        <f t="shared" si="70"/>
        <v>7.3105932203389803E-2</v>
      </c>
      <c r="P180">
        <f t="shared" si="71"/>
        <v>73.105932203389798</v>
      </c>
      <c r="V180">
        <f t="shared" si="55"/>
        <v>427.9645276196822</v>
      </c>
      <c r="W180">
        <f t="shared" si="56"/>
        <v>137.86189319978251</v>
      </c>
      <c r="AE180">
        <f t="shared" si="57"/>
        <v>0.42960245829154659</v>
      </c>
      <c r="AF180">
        <f t="shared" si="58"/>
        <v>0.41960619618157846</v>
      </c>
      <c r="AG180">
        <f t="shared" si="59"/>
        <v>0.42195563250763213</v>
      </c>
      <c r="AI180">
        <f t="shared" si="60"/>
        <v>0.12802533816665135</v>
      </c>
      <c r="AJ180">
        <f t="shared" si="61"/>
        <v>15.98119586839136</v>
      </c>
      <c r="AL180">
        <f t="shared" si="62"/>
        <v>0.13107528082402184</v>
      </c>
      <c r="AM180">
        <f t="shared" si="63"/>
        <v>16.751704548673612</v>
      </c>
      <c r="AO180">
        <f t="shared" si="64"/>
        <v>0.13034545758553226</v>
      </c>
      <c r="AP180">
        <f t="shared" si="65"/>
        <v>16.565677911313209</v>
      </c>
    </row>
    <row r="181" spans="1:42" x14ac:dyDescent="0.2">
      <c r="A181" s="3">
        <v>180</v>
      </c>
      <c r="B181" s="3">
        <v>1.3300000000000001E-7</v>
      </c>
      <c r="C181" s="2">
        <v>9.3189999999999992E-3</v>
      </c>
      <c r="D181" s="3">
        <v>112000</v>
      </c>
      <c r="E181" s="3">
        <v>134000000000</v>
      </c>
      <c r="F181" s="3">
        <v>119000000000</v>
      </c>
      <c r="G181" s="3">
        <v>8200000000</v>
      </c>
      <c r="H181" s="3">
        <v>15200000000</v>
      </c>
      <c r="I181" s="2"/>
      <c r="J181" s="7">
        <f t="shared" si="66"/>
        <v>0.13300000000000001</v>
      </c>
      <c r="K181" s="7">
        <f t="shared" si="67"/>
        <v>9.3189999999999991</v>
      </c>
      <c r="L181" s="7">
        <f t="shared" si="68"/>
        <v>134</v>
      </c>
      <c r="M181" s="7">
        <f t="shared" si="69"/>
        <v>112</v>
      </c>
      <c r="O181">
        <f t="shared" si="70"/>
        <v>7.0595982142857158E-2</v>
      </c>
      <c r="P181">
        <f t="shared" si="71"/>
        <v>70.595982142857153</v>
      </c>
      <c r="V181">
        <f t="shared" si="55"/>
        <v>421.39171512613376</v>
      </c>
      <c r="W181">
        <f t="shared" si="56"/>
        <v>132.89297817171774</v>
      </c>
      <c r="AE181">
        <f t="shared" si="57"/>
        <v>0.40775826549706118</v>
      </c>
      <c r="AF181">
        <f t="shared" si="58"/>
        <v>0.3982702879011592</v>
      </c>
      <c r="AG181">
        <f t="shared" si="59"/>
        <v>0.40050026136317624</v>
      </c>
      <c r="AI181">
        <f t="shared" si="60"/>
        <v>0.13590568568637901</v>
      </c>
      <c r="AJ181">
        <f t="shared" si="61"/>
        <v>17.840797320510877</v>
      </c>
      <c r="AL181">
        <f t="shared" si="62"/>
        <v>0.1391433615565611</v>
      </c>
      <c r="AM181">
        <f t="shared" si="63"/>
        <v>18.700963813169835</v>
      </c>
      <c r="AO181">
        <f t="shared" si="64"/>
        <v>0.13836861548615689</v>
      </c>
      <c r="AP181">
        <f t="shared" si="65"/>
        <v>18.493290772885825</v>
      </c>
    </row>
    <row r="182" spans="1:42" x14ac:dyDescent="0.2">
      <c r="A182" s="3">
        <v>180</v>
      </c>
      <c r="B182" s="3">
        <v>1.3300000000000001E-7</v>
      </c>
      <c r="C182" s="2">
        <v>9.3710000000000009E-3</v>
      </c>
      <c r="D182" s="3">
        <v>124000</v>
      </c>
      <c r="E182" s="3">
        <v>145000000000</v>
      </c>
      <c r="F182" s="3">
        <v>128000000000</v>
      </c>
      <c r="G182" s="3">
        <v>17800000000</v>
      </c>
      <c r="H182" s="3">
        <v>14500000000</v>
      </c>
      <c r="I182" s="2"/>
      <c r="J182" s="7">
        <f t="shared" si="66"/>
        <v>0.13300000000000001</v>
      </c>
      <c r="K182" s="7">
        <f t="shared" si="67"/>
        <v>9.3710000000000004</v>
      </c>
      <c r="L182" s="7">
        <f t="shared" si="68"/>
        <v>145</v>
      </c>
      <c r="M182" s="7">
        <f t="shared" si="69"/>
        <v>124</v>
      </c>
      <c r="O182">
        <f t="shared" si="70"/>
        <v>7.6320564516129036E-2</v>
      </c>
      <c r="P182">
        <f t="shared" si="71"/>
        <v>76.320564516129039</v>
      </c>
      <c r="V182">
        <f t="shared" si="55"/>
        <v>436.20170035043071</v>
      </c>
      <c r="W182">
        <f t="shared" si="56"/>
        <v>142.13608051089932</v>
      </c>
      <c r="AE182">
        <f t="shared" si="57"/>
        <v>0.45144665108603199</v>
      </c>
      <c r="AF182">
        <f t="shared" si="58"/>
        <v>0.44094210446199766</v>
      </c>
      <c r="AG182">
        <f t="shared" si="59"/>
        <v>0.44341100365208796</v>
      </c>
      <c r="AI182">
        <f t="shared" si="60"/>
        <v>0.12275352255543909</v>
      </c>
      <c r="AJ182">
        <f t="shared" si="61"/>
        <v>14.636039086488946</v>
      </c>
      <c r="AL182">
        <f t="shared" si="62"/>
        <v>0.12567787495431323</v>
      </c>
      <c r="AM182">
        <f t="shared" si="63"/>
        <v>15.341693109752304</v>
      </c>
      <c r="AO182">
        <f t="shared" si="64"/>
        <v>0.12497810431007721</v>
      </c>
      <c r="AP182">
        <f t="shared" si="65"/>
        <v>15.171324561743948</v>
      </c>
    </row>
    <row r="183" spans="1:42" x14ac:dyDescent="0.2">
      <c r="A183" s="3">
        <v>180</v>
      </c>
      <c r="B183" s="3">
        <v>1.3400000000000001E-7</v>
      </c>
      <c r="C183" s="2">
        <v>9.4230000000000008E-3</v>
      </c>
      <c r="D183" s="3">
        <v>125000</v>
      </c>
      <c r="E183" s="3">
        <v>146000000000</v>
      </c>
      <c r="F183" s="3">
        <v>129000000000</v>
      </c>
      <c r="G183" s="3">
        <v>4400000000</v>
      </c>
      <c r="H183" s="3">
        <v>14400000000</v>
      </c>
      <c r="I183" s="2"/>
      <c r="J183" s="7">
        <f t="shared" si="66"/>
        <v>0.13400000000000001</v>
      </c>
      <c r="K183" s="7">
        <f t="shared" si="67"/>
        <v>9.423</v>
      </c>
      <c r="L183" s="7">
        <f t="shared" si="68"/>
        <v>146</v>
      </c>
      <c r="M183" s="7">
        <f t="shared" si="69"/>
        <v>125</v>
      </c>
      <c r="O183">
        <f t="shared" si="70"/>
        <v>7.7462000000000003E-2</v>
      </c>
      <c r="P183">
        <f t="shared" si="71"/>
        <v>77.462000000000003</v>
      </c>
      <c r="V183">
        <f t="shared" si="55"/>
        <v>439.07990596040548</v>
      </c>
      <c r="W183">
        <f t="shared" si="56"/>
        <v>142.34311147373711</v>
      </c>
      <c r="AE183">
        <f t="shared" si="57"/>
        <v>0.4550873498851129</v>
      </c>
      <c r="AF183">
        <f t="shared" si="58"/>
        <v>0.4444980891754009</v>
      </c>
      <c r="AG183">
        <f t="shared" si="59"/>
        <v>0.4469868988428306</v>
      </c>
      <c r="AI183">
        <f t="shared" si="60"/>
        <v>0.12268706952067225</v>
      </c>
      <c r="AJ183">
        <f t="shared" si="61"/>
        <v>14.482720793550051</v>
      </c>
      <c r="AL183">
        <f t="shared" si="62"/>
        <v>0.12560983881148083</v>
      </c>
      <c r="AM183">
        <f t="shared" si="63"/>
        <v>15.180982812076817</v>
      </c>
      <c r="AO183">
        <f t="shared" si="64"/>
        <v>0.12491044699045069</v>
      </c>
      <c r="AP183">
        <f t="shared" si="65"/>
        <v>15.012398941930883</v>
      </c>
    </row>
    <row r="184" spans="1:42" x14ac:dyDescent="0.2">
      <c r="A184" s="3">
        <v>180</v>
      </c>
      <c r="B184" s="3">
        <v>1.3400000000000001E-7</v>
      </c>
      <c r="C184" s="2">
        <v>9.476E-3</v>
      </c>
      <c r="D184" s="3">
        <v>108000</v>
      </c>
      <c r="E184" s="3">
        <v>130000000000</v>
      </c>
      <c r="F184" s="3">
        <v>116000000000</v>
      </c>
      <c r="G184" s="3">
        <v>2650000000</v>
      </c>
      <c r="H184" s="3">
        <v>15700000000</v>
      </c>
      <c r="I184" s="2"/>
      <c r="J184" s="7">
        <f t="shared" si="66"/>
        <v>0.13400000000000001</v>
      </c>
      <c r="K184" s="7">
        <f t="shared" si="67"/>
        <v>9.4760000000000009</v>
      </c>
      <c r="L184" s="7">
        <f t="shared" si="68"/>
        <v>130</v>
      </c>
      <c r="M184" s="7">
        <f t="shared" si="69"/>
        <v>108</v>
      </c>
      <c r="O184">
        <f t="shared" si="70"/>
        <v>6.8194444444444446E-2</v>
      </c>
      <c r="P184">
        <f t="shared" si="71"/>
        <v>68.194444444444443</v>
      </c>
      <c r="V184">
        <f t="shared" si="55"/>
        <v>414.97980674787175</v>
      </c>
      <c r="W184">
        <f t="shared" si="56"/>
        <v>130.1268136953195</v>
      </c>
      <c r="AE184">
        <f t="shared" si="57"/>
        <v>0.39319547030073754</v>
      </c>
      <c r="AF184">
        <f t="shared" si="58"/>
        <v>0.38404634904754636</v>
      </c>
      <c r="AG184">
        <f t="shared" si="59"/>
        <v>0.38619668060020568</v>
      </c>
      <c r="AI184">
        <f t="shared" si="60"/>
        <v>0.14199892305633363</v>
      </c>
      <c r="AJ184">
        <f t="shared" si="61"/>
        <v>19.510056817234805</v>
      </c>
      <c r="AL184">
        <f t="shared" si="62"/>
        <v>0.14538175788365837</v>
      </c>
      <c r="AM184">
        <f t="shared" si="63"/>
        <v>20.450704078821278</v>
      </c>
      <c r="AO184">
        <f t="shared" si="64"/>
        <v>0.1445722766093179</v>
      </c>
      <c r="AP184">
        <f t="shared" si="65"/>
        <v>20.223600281689357</v>
      </c>
    </row>
    <row r="185" spans="1:42" x14ac:dyDescent="0.2">
      <c r="A185" s="3">
        <v>180</v>
      </c>
      <c r="B185" s="3">
        <v>1.35E-7</v>
      </c>
      <c r="C185" s="2">
        <v>9.5259999999999997E-3</v>
      </c>
      <c r="D185" s="3">
        <v>118000</v>
      </c>
      <c r="E185" s="3">
        <v>139000000000</v>
      </c>
      <c r="F185" s="3">
        <v>123000000000</v>
      </c>
      <c r="G185" s="2">
        <v>0</v>
      </c>
      <c r="H185" s="3">
        <v>15000000000</v>
      </c>
      <c r="I185" s="2"/>
      <c r="J185" s="7">
        <f t="shared" si="66"/>
        <v>0.13500000000000001</v>
      </c>
      <c r="K185" s="7">
        <f t="shared" si="67"/>
        <v>9.5259999999999998</v>
      </c>
      <c r="L185" s="7">
        <f t="shared" si="68"/>
        <v>139</v>
      </c>
      <c r="M185" s="7">
        <f t="shared" si="69"/>
        <v>118</v>
      </c>
      <c r="O185">
        <f t="shared" si="70"/>
        <v>7.445338983050849E-2</v>
      </c>
      <c r="P185">
        <f t="shared" si="71"/>
        <v>74.453389830508485</v>
      </c>
      <c r="V185">
        <f t="shared" si="55"/>
        <v>431.44132842692034</v>
      </c>
      <c r="W185">
        <f t="shared" si="56"/>
        <v>136.75092327181565</v>
      </c>
      <c r="AE185">
        <f t="shared" si="57"/>
        <v>0.42960245829154659</v>
      </c>
      <c r="AF185">
        <f t="shared" si="58"/>
        <v>0.41960619618157846</v>
      </c>
      <c r="AG185">
        <f t="shared" si="59"/>
        <v>0.42195563250763213</v>
      </c>
      <c r="AI185">
        <f t="shared" si="60"/>
        <v>0.13093500494316621</v>
      </c>
      <c r="AJ185">
        <f t="shared" si="61"/>
        <v>16.429621394592715</v>
      </c>
      <c r="AL185">
        <f t="shared" si="62"/>
        <v>0.13405426447911326</v>
      </c>
      <c r="AM185">
        <f t="shared" si="63"/>
        <v>17.221750219152259</v>
      </c>
      <c r="AO185">
        <f t="shared" si="64"/>
        <v>0.13330785434883985</v>
      </c>
      <c r="AP185">
        <f t="shared" si="65"/>
        <v>17.030503753849516</v>
      </c>
    </row>
    <row r="186" spans="1:42" x14ac:dyDescent="0.2">
      <c r="A186" s="3">
        <v>180</v>
      </c>
      <c r="B186" s="3">
        <v>1.35E-7</v>
      </c>
      <c r="C186" s="2">
        <v>9.5790000000000007E-3</v>
      </c>
      <c r="D186" s="3">
        <v>117000</v>
      </c>
      <c r="E186" s="3">
        <v>138000000000</v>
      </c>
      <c r="F186" s="3">
        <v>122000000000</v>
      </c>
      <c r="G186" s="3">
        <v>4820000000</v>
      </c>
      <c r="H186" s="3">
        <v>15100000000</v>
      </c>
      <c r="I186" s="2"/>
      <c r="J186" s="7">
        <f t="shared" si="66"/>
        <v>0.13500000000000001</v>
      </c>
      <c r="K186" s="7">
        <f t="shared" si="67"/>
        <v>9.5790000000000006</v>
      </c>
      <c r="L186" s="7">
        <f t="shared" si="68"/>
        <v>138</v>
      </c>
      <c r="M186" s="7">
        <f t="shared" si="69"/>
        <v>117</v>
      </c>
      <c r="O186">
        <f t="shared" si="70"/>
        <v>7.3596153846153839E-2</v>
      </c>
      <c r="P186">
        <f t="shared" si="71"/>
        <v>73.59615384615384</v>
      </c>
      <c r="V186">
        <f t="shared" si="55"/>
        <v>429.23352872744726</v>
      </c>
      <c r="W186">
        <f t="shared" si="56"/>
        <v>136.28944638466504</v>
      </c>
      <c r="AE186">
        <f t="shared" si="57"/>
        <v>0.42596175949246567</v>
      </c>
      <c r="AF186">
        <f t="shared" si="58"/>
        <v>0.41605021146817522</v>
      </c>
      <c r="AG186">
        <f t="shared" si="59"/>
        <v>0.41837973731688949</v>
      </c>
      <c r="AI186">
        <f t="shared" si="60"/>
        <v>0.13205410754951805</v>
      </c>
      <c r="AJ186">
        <f t="shared" si="61"/>
        <v>16.804648887085701</v>
      </c>
      <c r="AL186">
        <f t="shared" si="62"/>
        <v>0.13520002742337919</v>
      </c>
      <c r="AM186">
        <f t="shared" si="63"/>
        <v>17.61485908307014</v>
      </c>
      <c r="AO186">
        <f t="shared" si="64"/>
        <v>0.13444723771934272</v>
      </c>
      <c r="AP186">
        <f t="shared" si="65"/>
        <v>17.419247168277842</v>
      </c>
    </row>
    <row r="187" spans="1:42" x14ac:dyDescent="0.2">
      <c r="A187" s="3">
        <v>190</v>
      </c>
      <c r="B187" s="3">
        <v>1.36E-7</v>
      </c>
      <c r="C187" s="2">
        <v>9.6310000000000007E-3</v>
      </c>
      <c r="D187" s="3">
        <v>118000</v>
      </c>
      <c r="E187" s="3">
        <v>139000000000</v>
      </c>
      <c r="F187" s="3">
        <v>123000000000</v>
      </c>
      <c r="G187" s="3">
        <v>2230000000</v>
      </c>
      <c r="H187" s="3">
        <v>15100000000</v>
      </c>
      <c r="I187" s="2"/>
      <c r="J187" s="7">
        <f t="shared" si="66"/>
        <v>0.13600000000000001</v>
      </c>
      <c r="K187" s="7">
        <f t="shared" si="67"/>
        <v>9.6310000000000002</v>
      </c>
      <c r="L187" s="7">
        <f t="shared" si="68"/>
        <v>139</v>
      </c>
      <c r="M187" s="7">
        <f t="shared" si="69"/>
        <v>118</v>
      </c>
      <c r="O187">
        <f t="shared" si="70"/>
        <v>7.4786016949152559E-2</v>
      </c>
      <c r="P187">
        <f t="shared" si="71"/>
        <v>74.786016949152554</v>
      </c>
      <c r="V187">
        <f t="shared" si="55"/>
        <v>432.29419055501216</v>
      </c>
      <c r="W187">
        <f t="shared" si="56"/>
        <v>136.48113088045739</v>
      </c>
      <c r="AE187">
        <f t="shared" si="57"/>
        <v>0.42960245829154659</v>
      </c>
      <c r="AF187">
        <f t="shared" si="58"/>
        <v>0.41960619618157846</v>
      </c>
      <c r="AG187">
        <f t="shared" si="59"/>
        <v>0.42195563250763213</v>
      </c>
      <c r="AI187">
        <f t="shared" si="60"/>
        <v>0.13190489386867113</v>
      </c>
      <c r="AJ187">
        <f t="shared" si="61"/>
        <v>16.610716318635571</v>
      </c>
      <c r="AL187">
        <f t="shared" si="62"/>
        <v>0.13504725903081041</v>
      </c>
      <c r="AM187">
        <f t="shared" si="63"/>
        <v>17.411576355307098</v>
      </c>
      <c r="AO187">
        <f t="shared" si="64"/>
        <v>0.13429531993660901</v>
      </c>
      <c r="AP187">
        <f t="shared" si="65"/>
        <v>17.218221882566105</v>
      </c>
    </row>
    <row r="188" spans="1:42" x14ac:dyDescent="0.2">
      <c r="A188" s="3">
        <v>190</v>
      </c>
      <c r="B188" s="3">
        <v>1.37E-7</v>
      </c>
      <c r="C188" s="2">
        <v>9.6819999999999996E-3</v>
      </c>
      <c r="D188" s="3">
        <v>109000</v>
      </c>
      <c r="E188" s="3">
        <v>129000000000</v>
      </c>
      <c r="F188" s="3">
        <v>115000000000</v>
      </c>
      <c r="G188" s="2">
        <v>0</v>
      </c>
      <c r="H188" s="3">
        <v>15900000000</v>
      </c>
      <c r="I188" s="2"/>
      <c r="J188" s="7">
        <f t="shared" si="66"/>
        <v>0.13699999999999998</v>
      </c>
      <c r="K188" s="7">
        <f t="shared" si="67"/>
        <v>9.6820000000000004</v>
      </c>
      <c r="L188" s="7">
        <f t="shared" si="68"/>
        <v>129</v>
      </c>
      <c r="M188" s="7">
        <f t="shared" si="69"/>
        <v>109</v>
      </c>
      <c r="O188">
        <f t="shared" si="70"/>
        <v>7.0380733944954116E-2</v>
      </c>
      <c r="P188">
        <f t="shared" si="71"/>
        <v>70.380733944954116</v>
      </c>
      <c r="V188">
        <f t="shared" si="55"/>
        <v>420.82202582811158</v>
      </c>
      <c r="W188">
        <f t="shared" si="56"/>
        <v>129.50843029842028</v>
      </c>
      <c r="AE188">
        <f t="shared" si="57"/>
        <v>0.39683616909981845</v>
      </c>
      <c r="AF188">
        <f t="shared" si="58"/>
        <v>0.3876023337609496</v>
      </c>
      <c r="AG188">
        <f t="shared" si="59"/>
        <v>0.38977257579094832</v>
      </c>
      <c r="AI188">
        <f t="shared" si="60"/>
        <v>0.14384609513497956</v>
      </c>
      <c r="AJ188">
        <f t="shared" si="61"/>
        <v>19.570101381567678</v>
      </c>
      <c r="AL188">
        <f t="shared" si="62"/>
        <v>0.14727293507097144</v>
      </c>
      <c r="AM188">
        <f t="shared" si="63"/>
        <v>20.513643599101329</v>
      </c>
      <c r="AO188">
        <f t="shared" si="64"/>
        <v>0.14645292377868463</v>
      </c>
      <c r="AP188">
        <f t="shared" si="65"/>
        <v>20.285840862510398</v>
      </c>
    </row>
    <row r="189" spans="1:42" x14ac:dyDescent="0.2">
      <c r="A189" s="3">
        <v>190</v>
      </c>
      <c r="B189" s="3">
        <v>1.37E-7</v>
      </c>
      <c r="C189" s="2">
        <v>9.7380000000000001E-3</v>
      </c>
      <c r="D189" s="3">
        <v>111000</v>
      </c>
      <c r="E189" s="3">
        <v>132000000000</v>
      </c>
      <c r="F189" s="3">
        <v>117000000000</v>
      </c>
      <c r="G189" s="3">
        <v>8690000000</v>
      </c>
      <c r="H189" s="3">
        <v>15800000000</v>
      </c>
      <c r="I189" s="2"/>
      <c r="J189" s="7">
        <f t="shared" si="66"/>
        <v>0.13699999999999998</v>
      </c>
      <c r="K189" s="7">
        <f t="shared" si="67"/>
        <v>9.7379999999999995</v>
      </c>
      <c r="L189" s="7">
        <f t="shared" si="68"/>
        <v>132</v>
      </c>
      <c r="M189" s="7">
        <f t="shared" si="69"/>
        <v>111</v>
      </c>
      <c r="O189">
        <f t="shared" si="70"/>
        <v>7.120270270270268E-2</v>
      </c>
      <c r="P189">
        <f t="shared" si="71"/>
        <v>71.20270270270268</v>
      </c>
      <c r="V189">
        <f t="shared" si="55"/>
        <v>422.99231206315687</v>
      </c>
      <c r="W189">
        <f t="shared" si="56"/>
        <v>131.20805843798246</v>
      </c>
      <c r="AE189">
        <f t="shared" si="57"/>
        <v>0.40411756669798027</v>
      </c>
      <c r="AF189">
        <f t="shared" si="58"/>
        <v>0.39471430318775602</v>
      </c>
      <c r="AG189">
        <f t="shared" si="59"/>
        <v>0.3969243661724336</v>
      </c>
      <c r="AI189">
        <f t="shared" si="60"/>
        <v>0.14125427360101597</v>
      </c>
      <c r="AJ189">
        <f t="shared" si="61"/>
        <v>18.980375745989583</v>
      </c>
      <c r="AL189">
        <f t="shared" si="62"/>
        <v>0.14461936867329628</v>
      </c>
      <c r="AM189">
        <f t="shared" si="63"/>
        <v>19.895485252671062</v>
      </c>
      <c r="AO189">
        <f t="shared" si="64"/>
        <v>0.14381413235924886</v>
      </c>
      <c r="AP189">
        <f t="shared" si="65"/>
        <v>19.674547126078991</v>
      </c>
    </row>
    <row r="190" spans="1:42" x14ac:dyDescent="0.2">
      <c r="A190" s="3">
        <v>190</v>
      </c>
      <c r="B190" s="3">
        <v>1.37E-7</v>
      </c>
      <c r="C190" s="2">
        <v>9.7879999999999998E-3</v>
      </c>
      <c r="D190" s="3">
        <v>110000</v>
      </c>
      <c r="E190" s="3">
        <v>131000000000</v>
      </c>
      <c r="F190" s="3">
        <v>117000000000</v>
      </c>
      <c r="G190" s="3">
        <v>1350000000</v>
      </c>
      <c r="H190" s="3">
        <v>15900000000</v>
      </c>
      <c r="I190" s="2"/>
      <c r="J190" s="7">
        <f t="shared" si="66"/>
        <v>0.13699999999999998</v>
      </c>
      <c r="K190" s="7">
        <f t="shared" si="67"/>
        <v>9.7880000000000003</v>
      </c>
      <c r="L190" s="7">
        <f t="shared" si="68"/>
        <v>131</v>
      </c>
      <c r="M190" s="7">
        <f t="shared" si="69"/>
        <v>110</v>
      </c>
      <c r="O190">
        <f t="shared" si="70"/>
        <v>7.0263636363636334E-2</v>
      </c>
      <c r="P190">
        <f t="shared" si="71"/>
        <v>70.263636363636337</v>
      </c>
      <c r="V190">
        <f t="shared" si="55"/>
        <v>420.51170045671762</v>
      </c>
      <c r="W190">
        <f t="shared" si="56"/>
        <v>130.79303130035268</v>
      </c>
      <c r="AE190">
        <f t="shared" si="57"/>
        <v>0.40047686789889936</v>
      </c>
      <c r="AF190">
        <f t="shared" si="58"/>
        <v>0.39115831847435278</v>
      </c>
      <c r="AG190">
        <f t="shared" si="59"/>
        <v>0.39334847098169096</v>
      </c>
      <c r="AI190">
        <f t="shared" si="60"/>
        <v>0.14253840336102522</v>
      </c>
      <c r="AJ190">
        <f t="shared" si="61"/>
        <v>19.426277284993382</v>
      </c>
      <c r="AL190">
        <f t="shared" si="62"/>
        <v>0.14593409020668988</v>
      </c>
      <c r="AM190">
        <f t="shared" si="63"/>
        <v>20.362885245807021</v>
      </c>
      <c r="AO190">
        <f t="shared" si="64"/>
        <v>0.14512153356251475</v>
      </c>
      <c r="AP190">
        <f t="shared" si="65"/>
        <v>20.136756671354988</v>
      </c>
    </row>
    <row r="191" spans="1:42" x14ac:dyDescent="0.2">
      <c r="A191" s="3">
        <v>190</v>
      </c>
      <c r="B191" s="3">
        <v>1.3799999999999999E-7</v>
      </c>
      <c r="C191" s="2">
        <v>9.8399999999999998E-3</v>
      </c>
      <c r="D191" s="3">
        <v>110000</v>
      </c>
      <c r="E191" s="3">
        <v>131000000000</v>
      </c>
      <c r="F191" s="3">
        <v>116000000000</v>
      </c>
      <c r="G191" s="2">
        <v>0</v>
      </c>
      <c r="H191" s="3">
        <v>16000000000</v>
      </c>
      <c r="I191" s="2"/>
      <c r="J191" s="7">
        <f t="shared" si="66"/>
        <v>0.13799999999999998</v>
      </c>
      <c r="K191" s="7">
        <f t="shared" si="67"/>
        <v>9.84</v>
      </c>
      <c r="L191" s="7">
        <f t="shared" si="68"/>
        <v>131</v>
      </c>
      <c r="M191" s="7">
        <f t="shared" si="69"/>
        <v>110</v>
      </c>
      <c r="O191">
        <f t="shared" si="70"/>
        <v>7.0909090909090894E-2</v>
      </c>
      <c r="P191">
        <f t="shared" si="71"/>
        <v>70.909090909090892</v>
      </c>
      <c r="V191">
        <f t="shared" si="55"/>
        <v>422.21868377229015</v>
      </c>
      <c r="W191">
        <f t="shared" si="56"/>
        <v>130.26424957940148</v>
      </c>
      <c r="AE191">
        <f t="shared" si="57"/>
        <v>0.40047686789889936</v>
      </c>
      <c r="AF191">
        <f t="shared" si="58"/>
        <v>0.39115831847435278</v>
      </c>
      <c r="AG191">
        <f t="shared" si="59"/>
        <v>0.39334847098169096</v>
      </c>
      <c r="AI191">
        <f t="shared" si="60"/>
        <v>0.14357882966293051</v>
      </c>
      <c r="AJ191">
        <f t="shared" si="61"/>
        <v>19.529481863949211</v>
      </c>
      <c r="AL191">
        <f t="shared" si="62"/>
        <v>0.14699930254396498</v>
      </c>
      <c r="AM191">
        <f t="shared" si="63"/>
        <v>20.471065674166436</v>
      </c>
      <c r="AO191">
        <f t="shared" si="64"/>
        <v>0.14618081482939443</v>
      </c>
      <c r="AP191">
        <f t="shared" si="65"/>
        <v>20.243735762784333</v>
      </c>
    </row>
    <row r="192" spans="1:42" x14ac:dyDescent="0.2">
      <c r="A192" s="3">
        <v>190</v>
      </c>
      <c r="B192" s="3">
        <v>1.3799999999999999E-7</v>
      </c>
      <c r="C192" s="2">
        <v>9.8910000000000005E-3</v>
      </c>
      <c r="D192" s="3">
        <v>113000</v>
      </c>
      <c r="E192" s="3">
        <v>134000000000</v>
      </c>
      <c r="F192" s="3">
        <v>119000000000</v>
      </c>
      <c r="G192" s="3">
        <v>1830000000</v>
      </c>
      <c r="H192" s="3">
        <v>15800000000</v>
      </c>
      <c r="I192" s="2"/>
      <c r="J192" s="7">
        <f t="shared" si="66"/>
        <v>0.13799999999999998</v>
      </c>
      <c r="K192" s="7">
        <f t="shared" si="67"/>
        <v>9.891</v>
      </c>
      <c r="L192" s="7">
        <f t="shared" si="68"/>
        <v>134</v>
      </c>
      <c r="M192" s="7">
        <f t="shared" si="69"/>
        <v>113</v>
      </c>
      <c r="O192">
        <f t="shared" si="70"/>
        <v>7.235176991150441E-2</v>
      </c>
      <c r="P192">
        <f t="shared" si="71"/>
        <v>72.351769911504405</v>
      </c>
      <c r="V192">
        <f t="shared" si="55"/>
        <v>426.00299332585286</v>
      </c>
      <c r="W192">
        <f t="shared" si="56"/>
        <v>132.62817605786805</v>
      </c>
      <c r="AE192">
        <f t="shared" si="57"/>
        <v>0.41139896429614203</v>
      </c>
      <c r="AF192">
        <f t="shared" si="58"/>
        <v>0.40182627261456239</v>
      </c>
      <c r="AG192">
        <f t="shared" si="59"/>
        <v>0.40407615655391887</v>
      </c>
      <c r="AI192">
        <f t="shared" si="60"/>
        <v>0.13976700232674652</v>
      </c>
      <c r="AJ192">
        <f t="shared" si="61"/>
        <v>18.602199941068946</v>
      </c>
      <c r="AL192">
        <f t="shared" si="62"/>
        <v>0.14309666619324027</v>
      </c>
      <c r="AM192">
        <f t="shared" si="63"/>
        <v>19.499076285303527</v>
      </c>
      <c r="AO192">
        <f t="shared" si="64"/>
        <v>0.14229990824100344</v>
      </c>
      <c r="AP192">
        <f t="shared" si="65"/>
        <v>19.282540255644612</v>
      </c>
    </row>
    <row r="193" spans="1:42" x14ac:dyDescent="0.2">
      <c r="A193" s="3">
        <v>190</v>
      </c>
      <c r="B193" s="3">
        <v>1.3899999999999999E-7</v>
      </c>
      <c r="C193" s="2">
        <v>9.9430000000000004E-3</v>
      </c>
      <c r="D193" s="3">
        <v>106000</v>
      </c>
      <c r="E193" s="3">
        <v>127000000000</v>
      </c>
      <c r="F193" s="3">
        <v>113000000000</v>
      </c>
      <c r="G193" s="2">
        <v>0</v>
      </c>
      <c r="H193" s="3">
        <v>16400000000</v>
      </c>
      <c r="I193" s="2"/>
      <c r="J193" s="7">
        <f t="shared" si="66"/>
        <v>0.13899999999999998</v>
      </c>
      <c r="K193" s="7">
        <f t="shared" si="67"/>
        <v>9.9429999999999996</v>
      </c>
      <c r="L193" s="7">
        <f t="shared" si="68"/>
        <v>127.00000000000001</v>
      </c>
      <c r="M193" s="7">
        <f t="shared" si="69"/>
        <v>106</v>
      </c>
      <c r="O193">
        <f t="shared" si="70"/>
        <v>6.8648584905660365E-2</v>
      </c>
      <c r="P193">
        <f t="shared" si="71"/>
        <v>68.648584905660371</v>
      </c>
      <c r="V193">
        <f t="shared" si="55"/>
        <v>416.20185423860556</v>
      </c>
      <c r="W193">
        <f t="shared" si="56"/>
        <v>127.34205640904108</v>
      </c>
      <c r="AE193">
        <f t="shared" si="57"/>
        <v>0.38591407270257572</v>
      </c>
      <c r="AF193">
        <f t="shared" si="58"/>
        <v>0.37693437962073995</v>
      </c>
      <c r="AG193">
        <f t="shared" si="59"/>
        <v>0.37904489021872034</v>
      </c>
      <c r="AI193">
        <f t="shared" si="60"/>
        <v>0.15007658637860322</v>
      </c>
      <c r="AJ193">
        <f t="shared" si="61"/>
        <v>21.251358708871031</v>
      </c>
      <c r="AL193">
        <f t="shared" si="62"/>
        <v>0.15365185506543785</v>
      </c>
      <c r="AM193">
        <f t="shared" si="63"/>
        <v>22.275960152206274</v>
      </c>
      <c r="AO193">
        <f t="shared" si="64"/>
        <v>0.15279632613764296</v>
      </c>
      <c r="AP193">
        <f t="shared" si="65"/>
        <v>22.028586999877284</v>
      </c>
    </row>
    <row r="194" spans="1:42" x14ac:dyDescent="0.2">
      <c r="A194" s="3">
        <v>190</v>
      </c>
      <c r="B194" s="3">
        <v>1.4000000000000001E-7</v>
      </c>
      <c r="C194" s="2">
        <v>9.9959999999999997E-3</v>
      </c>
      <c r="D194" s="3">
        <v>112000</v>
      </c>
      <c r="E194" s="3">
        <v>132000000000</v>
      </c>
      <c r="F194" s="3">
        <v>117000000000</v>
      </c>
      <c r="G194" s="3">
        <v>3560000000</v>
      </c>
      <c r="H194" s="3">
        <v>16000000000</v>
      </c>
      <c r="I194" s="2"/>
      <c r="J194" s="7">
        <f t="shared" si="66"/>
        <v>0.14000000000000001</v>
      </c>
      <c r="K194" s="7">
        <f t="shared" si="67"/>
        <v>9.9960000000000004</v>
      </c>
      <c r="L194" s="7">
        <f t="shared" si="68"/>
        <v>132</v>
      </c>
      <c r="M194" s="7">
        <f t="shared" si="69"/>
        <v>112</v>
      </c>
      <c r="O194">
        <f t="shared" si="70"/>
        <v>7.3062500000000002E-2</v>
      </c>
      <c r="P194">
        <f t="shared" si="71"/>
        <v>73.0625</v>
      </c>
      <c r="V194">
        <f t="shared" si="55"/>
        <v>427.85186957224647</v>
      </c>
      <c r="W194">
        <f t="shared" si="56"/>
        <v>130.88642117185822</v>
      </c>
      <c r="AE194">
        <f t="shared" si="57"/>
        <v>0.40775826549706118</v>
      </c>
      <c r="AF194">
        <f t="shared" si="58"/>
        <v>0.3982702879011592</v>
      </c>
      <c r="AG194">
        <f t="shared" si="59"/>
        <v>0.40050026136317624</v>
      </c>
      <c r="AI194">
        <f t="shared" si="60"/>
        <v>0.1430586165119779</v>
      </c>
      <c r="AJ194">
        <f t="shared" si="61"/>
        <v>19.13688271443575</v>
      </c>
      <c r="AL194">
        <f t="shared" si="62"/>
        <v>0.14646669637532747</v>
      </c>
      <c r="AM194">
        <f t="shared" si="63"/>
        <v>20.059537962919379</v>
      </c>
      <c r="AO194">
        <f t="shared" si="64"/>
        <v>0.14565117419595464</v>
      </c>
      <c r="AP194">
        <f t="shared" si="65"/>
        <v>19.836778041181105</v>
      </c>
    </row>
    <row r="195" spans="1:42" x14ac:dyDescent="0.2">
      <c r="A195" s="3">
        <v>190</v>
      </c>
      <c r="B195" s="3">
        <v>1.4000000000000001E-7</v>
      </c>
      <c r="C195" s="2">
        <v>1.005E-2</v>
      </c>
      <c r="D195" s="3">
        <v>118000</v>
      </c>
      <c r="E195" s="3">
        <v>137000000000</v>
      </c>
      <c r="F195" s="3">
        <v>122000000000</v>
      </c>
      <c r="G195" s="2">
        <v>0</v>
      </c>
      <c r="H195" s="3">
        <v>15400000000</v>
      </c>
      <c r="I195" s="2"/>
      <c r="J195" s="7">
        <f t="shared" si="66"/>
        <v>0.14000000000000001</v>
      </c>
      <c r="K195" s="7">
        <f t="shared" si="67"/>
        <v>10.050000000000001</v>
      </c>
      <c r="L195" s="7">
        <f t="shared" si="68"/>
        <v>137</v>
      </c>
      <c r="M195" s="7">
        <f t="shared" si="69"/>
        <v>118</v>
      </c>
      <c r="O195">
        <f t="shared" si="70"/>
        <v>7.6122881355932218E-2</v>
      </c>
      <c r="P195">
        <f t="shared" si="71"/>
        <v>76.122881355932222</v>
      </c>
      <c r="V195">
        <f t="shared" si="55"/>
        <v>435.70079880808481</v>
      </c>
      <c r="W195">
        <f t="shared" si="56"/>
        <v>135.41402761115435</v>
      </c>
      <c r="AE195">
        <f t="shared" si="57"/>
        <v>0.42960245829154659</v>
      </c>
      <c r="AF195">
        <f t="shared" si="58"/>
        <v>0.41960619618157846</v>
      </c>
      <c r="AG195">
        <f t="shared" si="59"/>
        <v>0.42195563250763213</v>
      </c>
      <c r="AI195">
        <f t="shared" si="60"/>
        <v>0.13578444957069088</v>
      </c>
      <c r="AJ195">
        <f t="shared" si="61"/>
        <v>17.333371301244679</v>
      </c>
      <c r="AL195">
        <f t="shared" si="62"/>
        <v>0.13901923723759896</v>
      </c>
      <c r="AM195">
        <f t="shared" si="63"/>
        <v>18.169073031963073</v>
      </c>
      <c r="AO195">
        <f t="shared" si="64"/>
        <v>0.13824518228768576</v>
      </c>
      <c r="AP195">
        <f t="shared" si="65"/>
        <v>17.967306605730386</v>
      </c>
    </row>
    <row r="196" spans="1:42" x14ac:dyDescent="0.2">
      <c r="A196" s="3">
        <v>190</v>
      </c>
      <c r="B196" s="3">
        <v>1.4100000000000001E-7</v>
      </c>
      <c r="C196" s="2">
        <v>1.01E-2</v>
      </c>
      <c r="D196" s="3">
        <v>105000</v>
      </c>
      <c r="E196" s="3">
        <v>125000000000</v>
      </c>
      <c r="F196" s="3">
        <v>112000000000</v>
      </c>
      <c r="G196" s="3">
        <v>1370000000</v>
      </c>
      <c r="H196" s="3">
        <v>16700000000</v>
      </c>
      <c r="I196" s="2"/>
      <c r="J196" s="7">
        <f t="shared" si="66"/>
        <v>0.14100000000000001</v>
      </c>
      <c r="K196" s="7">
        <f t="shared" si="67"/>
        <v>10.1</v>
      </c>
      <c r="L196" s="7">
        <f t="shared" si="68"/>
        <v>125.00000000000001</v>
      </c>
      <c r="M196" s="7">
        <f t="shared" si="69"/>
        <v>105</v>
      </c>
      <c r="O196">
        <f t="shared" si="70"/>
        <v>6.8857142857142867E-2</v>
      </c>
      <c r="P196">
        <f t="shared" si="71"/>
        <v>68.857142857142861</v>
      </c>
      <c r="V196">
        <f t="shared" si="55"/>
        <v>416.7615544714161</v>
      </c>
      <c r="W196">
        <f t="shared" si="56"/>
        <v>125.97131246087804</v>
      </c>
      <c r="AE196">
        <f t="shared" si="57"/>
        <v>0.38227337390349481</v>
      </c>
      <c r="AF196">
        <f t="shared" si="58"/>
        <v>0.37337839490733676</v>
      </c>
      <c r="AG196">
        <f t="shared" si="59"/>
        <v>0.3754689950279777</v>
      </c>
      <c r="AI196">
        <f t="shared" si="60"/>
        <v>0.15368582802429626</v>
      </c>
      <c r="AJ196">
        <f t="shared" si="61"/>
        <v>22.000055109352669</v>
      </c>
      <c r="AL196">
        <f t="shared" si="62"/>
        <v>0.1573470795346375</v>
      </c>
      <c r="AM196">
        <f t="shared" si="63"/>
        <v>23.060753793483769</v>
      </c>
      <c r="AO196">
        <f t="shared" si="64"/>
        <v>0.15647097570765411</v>
      </c>
      <c r="AP196">
        <f t="shared" si="65"/>
        <v>22.804665556568349</v>
      </c>
    </row>
    <row r="197" spans="1:42" x14ac:dyDescent="0.2">
      <c r="A197" s="3">
        <v>200</v>
      </c>
      <c r="B197" s="3">
        <v>1.42E-7</v>
      </c>
      <c r="C197" s="2">
        <v>1.0149999999999999E-2</v>
      </c>
      <c r="D197" s="3">
        <v>118000</v>
      </c>
      <c r="E197" s="3">
        <v>136000000000</v>
      </c>
      <c r="F197" s="3">
        <v>121000000000</v>
      </c>
      <c r="G197" s="3">
        <v>8320000000</v>
      </c>
      <c r="H197" s="3">
        <v>15500000000</v>
      </c>
      <c r="I197" s="2"/>
      <c r="J197" s="7">
        <f t="shared" si="66"/>
        <v>0.14199999999999999</v>
      </c>
      <c r="K197" s="7">
        <f t="shared" si="67"/>
        <v>10.149999999999999</v>
      </c>
      <c r="L197" s="7">
        <f t="shared" si="68"/>
        <v>136</v>
      </c>
      <c r="M197" s="7">
        <f t="shared" si="69"/>
        <v>118</v>
      </c>
      <c r="O197">
        <f t="shared" si="70"/>
        <v>7.7487288135593219E-2</v>
      </c>
      <c r="P197">
        <f t="shared" si="71"/>
        <v>77.487288135593218</v>
      </c>
      <c r="V197">
        <f t="shared" ref="V197:V260" si="72">$S$3*(P197^$S$4)</f>
        <v>439.1434032988372</v>
      </c>
      <c r="W197">
        <f t="shared" ref="W197:W260" si="73">M197/(2*(V197/1000))</f>
        <v>134.35246791092175</v>
      </c>
      <c r="AE197">
        <f t="shared" si="57"/>
        <v>0.42960245829154659</v>
      </c>
      <c r="AF197">
        <f t="shared" si="58"/>
        <v>0.41960619618157846</v>
      </c>
      <c r="AG197">
        <f t="shared" si="59"/>
        <v>0.42195563250763213</v>
      </c>
      <c r="AI197">
        <f t="shared" si="60"/>
        <v>0.13772422742170071</v>
      </c>
      <c r="AJ197">
        <f t="shared" si="61"/>
        <v>17.505842657475963</v>
      </c>
      <c r="AL197">
        <f t="shared" si="62"/>
        <v>0.14100522634099319</v>
      </c>
      <c r="AM197">
        <f t="shared" si="63"/>
        <v>18.34985982830101</v>
      </c>
      <c r="AO197">
        <f t="shared" si="64"/>
        <v>0.14022011346322411</v>
      </c>
      <c r="AP197">
        <f t="shared" si="65"/>
        <v>18.146085775936655</v>
      </c>
    </row>
    <row r="198" spans="1:42" x14ac:dyDescent="0.2">
      <c r="A198" s="3">
        <v>200</v>
      </c>
      <c r="B198" s="3">
        <v>1.42E-7</v>
      </c>
      <c r="C198" s="2">
        <v>1.0200000000000001E-2</v>
      </c>
      <c r="D198" s="3">
        <v>111000</v>
      </c>
      <c r="E198" s="3">
        <v>130000000000</v>
      </c>
      <c r="F198" s="3">
        <v>116000000000</v>
      </c>
      <c r="G198" s="2">
        <v>0</v>
      </c>
      <c r="H198" s="3">
        <v>16300000000</v>
      </c>
      <c r="I198" s="2"/>
      <c r="J198" s="7">
        <f t="shared" si="66"/>
        <v>0.14199999999999999</v>
      </c>
      <c r="K198" s="7">
        <f t="shared" si="67"/>
        <v>10.200000000000001</v>
      </c>
      <c r="L198" s="7">
        <f t="shared" si="68"/>
        <v>130</v>
      </c>
      <c r="M198" s="7">
        <f t="shared" si="69"/>
        <v>111</v>
      </c>
      <c r="O198">
        <f t="shared" si="70"/>
        <v>7.3081081081081065E-2</v>
      </c>
      <c r="P198">
        <f t="shared" si="71"/>
        <v>73.081081081081066</v>
      </c>
      <c r="V198">
        <f t="shared" si="72"/>
        <v>427.90007128394802</v>
      </c>
      <c r="W198">
        <f t="shared" si="73"/>
        <v>129.70318007535698</v>
      </c>
      <c r="AE198">
        <f t="shared" si="57"/>
        <v>0.40411756669798027</v>
      </c>
      <c r="AF198">
        <f t="shared" si="58"/>
        <v>0.39471430318775602</v>
      </c>
      <c r="AG198">
        <f t="shared" si="59"/>
        <v>0.3969243661724336</v>
      </c>
      <c r="AI198">
        <f t="shared" si="60"/>
        <v>0.14640953906090709</v>
      </c>
      <c r="AJ198">
        <f t="shared" si="61"/>
        <v>19.880861841147439</v>
      </c>
      <c r="AL198">
        <f t="shared" si="62"/>
        <v>0.14989744782195671</v>
      </c>
      <c r="AM198">
        <f t="shared" si="63"/>
        <v>20.839386894356629</v>
      </c>
      <c r="AO198">
        <f t="shared" si="64"/>
        <v>0.14906282332126528</v>
      </c>
      <c r="AP198">
        <f t="shared" si="65"/>
        <v>20.607966798727226</v>
      </c>
    </row>
    <row r="199" spans="1:42" x14ac:dyDescent="0.2">
      <c r="A199" s="3">
        <v>200</v>
      </c>
      <c r="B199" s="3">
        <v>1.43E-7</v>
      </c>
      <c r="C199" s="2">
        <v>1.026E-2</v>
      </c>
      <c r="D199" s="3">
        <v>116000</v>
      </c>
      <c r="E199" s="3">
        <v>135000000000</v>
      </c>
      <c r="F199" s="3">
        <v>120000000000</v>
      </c>
      <c r="G199" s="3">
        <v>7370000000</v>
      </c>
      <c r="H199" s="3">
        <v>15800000000</v>
      </c>
      <c r="I199" s="2"/>
      <c r="J199" s="7">
        <f t="shared" si="66"/>
        <v>0.14299999999999999</v>
      </c>
      <c r="K199" s="7">
        <f t="shared" si="67"/>
        <v>10.26</v>
      </c>
      <c r="L199" s="7">
        <f t="shared" si="68"/>
        <v>135</v>
      </c>
      <c r="M199" s="7">
        <f t="shared" si="69"/>
        <v>116</v>
      </c>
      <c r="O199">
        <f t="shared" si="70"/>
        <v>7.6663793103448258E-2</v>
      </c>
      <c r="P199">
        <f t="shared" si="71"/>
        <v>76.663793103448256</v>
      </c>
      <c r="V199">
        <f t="shared" si="72"/>
        <v>437.06968005674298</v>
      </c>
      <c r="W199">
        <f t="shared" si="73"/>
        <v>132.70195267827799</v>
      </c>
      <c r="AE199">
        <f t="shared" si="57"/>
        <v>0.42232106069338476</v>
      </c>
      <c r="AF199">
        <f t="shared" si="58"/>
        <v>0.41249422675477204</v>
      </c>
      <c r="AG199">
        <f t="shared" si="59"/>
        <v>0.41480384212614679</v>
      </c>
      <c r="AI199">
        <f t="shared" si="60"/>
        <v>0.14108539421526095</v>
      </c>
      <c r="AJ199">
        <f t="shared" si="61"/>
        <v>18.311013186926004</v>
      </c>
      <c r="AL199">
        <f t="shared" si="62"/>
        <v>0.14444646608049533</v>
      </c>
      <c r="AM199">
        <f t="shared" si="63"/>
        <v>19.193850411466538</v>
      </c>
      <c r="AO199">
        <f t="shared" si="64"/>
        <v>0.14364219248290697</v>
      </c>
      <c r="AP199">
        <f t="shared" si="65"/>
        <v>18.980703896157063</v>
      </c>
    </row>
    <row r="200" spans="1:42" x14ac:dyDescent="0.2">
      <c r="A200" s="3">
        <v>200</v>
      </c>
      <c r="B200" s="3">
        <v>1.43E-7</v>
      </c>
      <c r="C200" s="2">
        <v>1.031E-2</v>
      </c>
      <c r="D200" s="3">
        <v>129000</v>
      </c>
      <c r="E200" s="3">
        <v>144000000000</v>
      </c>
      <c r="F200" s="3">
        <v>127000000000</v>
      </c>
      <c r="G200" s="3">
        <v>8680000000</v>
      </c>
      <c r="H200" s="3">
        <v>14500000000</v>
      </c>
      <c r="I200" s="2"/>
      <c r="J200" s="7">
        <f t="shared" si="66"/>
        <v>0.14299999999999999</v>
      </c>
      <c r="K200" s="7">
        <f t="shared" si="67"/>
        <v>10.31</v>
      </c>
      <c r="L200" s="7">
        <f t="shared" si="68"/>
        <v>144</v>
      </c>
      <c r="M200" s="7">
        <f t="shared" si="69"/>
        <v>129</v>
      </c>
      <c r="O200">
        <f t="shared" si="70"/>
        <v>8.305813953488371E-2</v>
      </c>
      <c r="P200">
        <f t="shared" si="71"/>
        <v>83.058139534883708</v>
      </c>
      <c r="V200">
        <f t="shared" si="72"/>
        <v>452.86023311720288</v>
      </c>
      <c r="W200">
        <f t="shared" si="73"/>
        <v>142.42805016466752</v>
      </c>
      <c r="AE200">
        <f t="shared" si="57"/>
        <v>0.46965014508143649</v>
      </c>
      <c r="AF200">
        <f t="shared" si="58"/>
        <v>0.45872202802901374</v>
      </c>
      <c r="AG200">
        <f t="shared" si="59"/>
        <v>0.46129047960580122</v>
      </c>
      <c r="AI200">
        <f t="shared" si="60"/>
        <v>0.12686748627108735</v>
      </c>
      <c r="AJ200">
        <f t="shared" si="61"/>
        <v>14.878537288946493</v>
      </c>
      <c r="AL200">
        <f t="shared" si="62"/>
        <v>0.12988984546773222</v>
      </c>
      <c r="AM200">
        <f t="shared" si="63"/>
        <v>15.595882988570306</v>
      </c>
      <c r="AO200">
        <f t="shared" si="64"/>
        <v>0.12916662269780779</v>
      </c>
      <c r="AP200">
        <f t="shared" si="65"/>
        <v>15.422691677763684</v>
      </c>
    </row>
    <row r="201" spans="1:42" x14ac:dyDescent="0.2">
      <c r="A201" s="3">
        <v>200</v>
      </c>
      <c r="B201" s="3">
        <v>1.4399999999999999E-7</v>
      </c>
      <c r="C201" s="2">
        <v>1.0359999999999999E-2</v>
      </c>
      <c r="D201" s="3">
        <v>121000</v>
      </c>
      <c r="E201" s="3">
        <v>138000000000</v>
      </c>
      <c r="F201" s="3">
        <v>122000000000</v>
      </c>
      <c r="G201" s="2">
        <v>0</v>
      </c>
      <c r="H201" s="3">
        <v>15300000000</v>
      </c>
      <c r="I201" s="2"/>
      <c r="J201" s="7">
        <f t="shared" si="66"/>
        <v>0.14399999999999999</v>
      </c>
      <c r="K201" s="7">
        <f t="shared" si="67"/>
        <v>10.36</v>
      </c>
      <c r="L201" s="7">
        <f t="shared" si="68"/>
        <v>138</v>
      </c>
      <c r="M201" s="7">
        <f t="shared" si="69"/>
        <v>121</v>
      </c>
      <c r="O201">
        <f t="shared" si="70"/>
        <v>7.9785123966942137E-2</v>
      </c>
      <c r="P201">
        <f t="shared" si="71"/>
        <v>79.785123966942137</v>
      </c>
      <c r="V201">
        <f t="shared" si="72"/>
        <v>444.86571309021912</v>
      </c>
      <c r="W201">
        <f t="shared" si="73"/>
        <v>135.99609549529512</v>
      </c>
      <c r="AE201">
        <f t="shared" si="57"/>
        <v>0.44052455468878926</v>
      </c>
      <c r="AF201">
        <f t="shared" si="58"/>
        <v>0.43027415032178806</v>
      </c>
      <c r="AG201">
        <f t="shared" si="59"/>
        <v>0.43268331807986005</v>
      </c>
      <c r="AI201">
        <f t="shared" si="60"/>
        <v>0.13620126134032934</v>
      </c>
      <c r="AJ201">
        <f t="shared" si="61"/>
        <v>16.992998060750004</v>
      </c>
      <c r="AL201">
        <f t="shared" si="62"/>
        <v>0.13944597869783243</v>
      </c>
      <c r="AM201">
        <f t="shared" si="63"/>
        <v>17.812289221289749</v>
      </c>
      <c r="AO201">
        <f t="shared" si="64"/>
        <v>0.13866954766424769</v>
      </c>
      <c r="AP201">
        <f t="shared" si="65"/>
        <v>17.614484857089099</v>
      </c>
    </row>
    <row r="202" spans="1:42" x14ac:dyDescent="0.2">
      <c r="A202" s="3">
        <v>200</v>
      </c>
      <c r="B202" s="3">
        <v>1.4399999999999999E-7</v>
      </c>
      <c r="C202" s="2">
        <v>1.0410000000000001E-2</v>
      </c>
      <c r="D202" s="3">
        <v>116000</v>
      </c>
      <c r="E202" s="3">
        <v>135000000000</v>
      </c>
      <c r="F202" s="3">
        <v>120000000000</v>
      </c>
      <c r="G202" s="2">
        <v>0</v>
      </c>
      <c r="H202" s="3">
        <v>15900000000</v>
      </c>
      <c r="I202" s="2"/>
      <c r="J202" s="7">
        <f t="shared" si="66"/>
        <v>0.14399999999999999</v>
      </c>
      <c r="K202" s="7">
        <f t="shared" si="67"/>
        <v>10.41</v>
      </c>
      <c r="L202" s="7">
        <f t="shared" si="68"/>
        <v>135</v>
      </c>
      <c r="M202" s="7">
        <f t="shared" si="69"/>
        <v>116</v>
      </c>
      <c r="O202">
        <f t="shared" si="70"/>
        <v>7.6693965517241364E-2</v>
      </c>
      <c r="P202">
        <f t="shared" si="71"/>
        <v>76.693965517241367</v>
      </c>
      <c r="V202">
        <f t="shared" si="72"/>
        <v>437.14587851272609</v>
      </c>
      <c r="W202">
        <f t="shared" si="73"/>
        <v>132.6788215351126</v>
      </c>
      <c r="AE202">
        <f t="shared" si="57"/>
        <v>0.42232106069338476</v>
      </c>
      <c r="AF202">
        <f t="shared" si="58"/>
        <v>0.41249422675477204</v>
      </c>
      <c r="AG202">
        <f t="shared" si="59"/>
        <v>0.41480384212614679</v>
      </c>
      <c r="AI202">
        <f t="shared" si="60"/>
        <v>0.14207200536361941</v>
      </c>
      <c r="AJ202">
        <f t="shared" si="61"/>
        <v>18.578718058079897</v>
      </c>
      <c r="AL202">
        <f t="shared" si="62"/>
        <v>0.14545658122791139</v>
      </c>
      <c r="AM202">
        <f t="shared" si="63"/>
        <v>19.474462259587394</v>
      </c>
      <c r="AO202">
        <f t="shared" si="64"/>
        <v>0.14464668333943079</v>
      </c>
      <c r="AP202">
        <f t="shared" si="65"/>
        <v>19.258199567153511</v>
      </c>
    </row>
    <row r="203" spans="1:42" x14ac:dyDescent="0.2">
      <c r="A203" s="3">
        <v>200</v>
      </c>
      <c r="B203" s="3">
        <v>1.4499999999999999E-7</v>
      </c>
      <c r="C203" s="2">
        <v>1.0460000000000001E-2</v>
      </c>
      <c r="D203" s="3">
        <v>117000</v>
      </c>
      <c r="E203" s="3">
        <v>135000000000</v>
      </c>
      <c r="F203" s="3">
        <v>120000000000</v>
      </c>
      <c r="G203" s="2">
        <v>0</v>
      </c>
      <c r="H203" s="3">
        <v>15900000000</v>
      </c>
      <c r="I203" s="2"/>
      <c r="J203" s="7">
        <f t="shared" si="66"/>
        <v>0.14499999999999999</v>
      </c>
      <c r="K203" s="7">
        <f t="shared" si="67"/>
        <v>10.46</v>
      </c>
      <c r="L203" s="7">
        <f t="shared" si="68"/>
        <v>135</v>
      </c>
      <c r="M203" s="7">
        <f t="shared" si="69"/>
        <v>117</v>
      </c>
      <c r="O203">
        <f t="shared" si="70"/>
        <v>7.7948717948717938E-2</v>
      </c>
      <c r="P203">
        <f t="shared" si="71"/>
        <v>77.948717948717942</v>
      </c>
      <c r="V203">
        <f t="shared" si="72"/>
        <v>440.30001153844</v>
      </c>
      <c r="W203">
        <f t="shared" si="73"/>
        <v>132.86395291155407</v>
      </c>
      <c r="AE203">
        <f t="shared" si="57"/>
        <v>0.42596175949246567</v>
      </c>
      <c r="AF203">
        <f t="shared" si="58"/>
        <v>0.41605021146817522</v>
      </c>
      <c r="AG203">
        <f t="shared" si="59"/>
        <v>0.41837973731688949</v>
      </c>
      <c r="AI203">
        <f t="shared" si="60"/>
        <v>0.14183589329392679</v>
      </c>
      <c r="AJ203">
        <f t="shared" si="61"/>
        <v>18.350206426444977</v>
      </c>
      <c r="AL203">
        <f t="shared" si="62"/>
        <v>0.14521484426955542</v>
      </c>
      <c r="AM203">
        <f t="shared" si="63"/>
        <v>19.234933292505865</v>
      </c>
      <c r="AO203">
        <f t="shared" si="64"/>
        <v>0.14440629236521993</v>
      </c>
      <c r="AP203">
        <f t="shared" si="65"/>
        <v>19.021330554357053</v>
      </c>
    </row>
    <row r="204" spans="1:42" x14ac:dyDescent="0.2">
      <c r="A204" s="3">
        <v>200</v>
      </c>
      <c r="B204" s="3">
        <v>1.4499999999999999E-7</v>
      </c>
      <c r="C204" s="2">
        <v>1.052E-2</v>
      </c>
      <c r="D204" s="3">
        <v>120000</v>
      </c>
      <c r="E204" s="3">
        <v>137000000000</v>
      </c>
      <c r="F204" s="3">
        <v>121000000000</v>
      </c>
      <c r="G204" s="3">
        <v>12900000000</v>
      </c>
      <c r="H204" s="3">
        <v>15500000000</v>
      </c>
      <c r="I204" s="2"/>
      <c r="J204" s="7">
        <f t="shared" si="66"/>
        <v>0.14499999999999999</v>
      </c>
      <c r="K204" s="7">
        <f t="shared" si="67"/>
        <v>10.52</v>
      </c>
      <c r="L204" s="7">
        <f t="shared" si="68"/>
        <v>137</v>
      </c>
      <c r="M204" s="7">
        <f t="shared" si="69"/>
        <v>120</v>
      </c>
      <c r="O204">
        <f t="shared" si="70"/>
        <v>7.9250000000000001E-2</v>
      </c>
      <c r="P204">
        <f t="shared" si="71"/>
        <v>79.25</v>
      </c>
      <c r="V204">
        <f t="shared" si="72"/>
        <v>443.54137760216815</v>
      </c>
      <c r="W204">
        <f t="shared" si="73"/>
        <v>135.27486505174866</v>
      </c>
      <c r="AE204">
        <f t="shared" si="57"/>
        <v>0.43688385588970841</v>
      </c>
      <c r="AF204">
        <f t="shared" si="58"/>
        <v>0.42671816560838488</v>
      </c>
      <c r="AG204">
        <f t="shared" si="59"/>
        <v>0.42910742288911741</v>
      </c>
      <c r="AI204">
        <f t="shared" si="60"/>
        <v>0.13828999596157859</v>
      </c>
      <c r="AJ204">
        <f t="shared" si="61"/>
        <v>17.544227115979439</v>
      </c>
      <c r="AL204">
        <f t="shared" si="62"/>
        <v>0.14158447316281653</v>
      </c>
      <c r="AM204">
        <f t="shared" si="63"/>
        <v>18.390094934197109</v>
      </c>
      <c r="AO204">
        <f t="shared" si="64"/>
        <v>0.14079613505608946</v>
      </c>
      <c r="AP204">
        <f t="shared" si="65"/>
        <v>18.185874073483678</v>
      </c>
    </row>
    <row r="205" spans="1:42" x14ac:dyDescent="0.2">
      <c r="A205" s="3">
        <v>200</v>
      </c>
      <c r="B205" s="3">
        <v>1.4600000000000001E-7</v>
      </c>
      <c r="C205" s="2">
        <v>1.057E-2</v>
      </c>
      <c r="D205" s="3">
        <v>118000</v>
      </c>
      <c r="E205" s="3">
        <v>135000000000</v>
      </c>
      <c r="F205" s="3">
        <v>120000000000</v>
      </c>
      <c r="G205" s="3">
        <v>16000000000</v>
      </c>
      <c r="H205" s="3">
        <v>15700000000</v>
      </c>
      <c r="I205" s="2"/>
      <c r="J205" s="7">
        <f t="shared" si="66"/>
        <v>0.14600000000000002</v>
      </c>
      <c r="K205" s="7">
        <f t="shared" si="67"/>
        <v>10.57</v>
      </c>
      <c r="L205" s="7">
        <f t="shared" si="68"/>
        <v>135</v>
      </c>
      <c r="M205" s="7">
        <f t="shared" si="69"/>
        <v>118</v>
      </c>
      <c r="O205">
        <f t="shared" si="70"/>
        <v>7.8817796610169508E-2</v>
      </c>
      <c r="P205">
        <f t="shared" si="71"/>
        <v>78.817796610169509</v>
      </c>
      <c r="V205">
        <f t="shared" si="72"/>
        <v>442.46811166725911</v>
      </c>
      <c r="W205">
        <f t="shared" si="73"/>
        <v>133.34294256298551</v>
      </c>
      <c r="AE205">
        <f t="shared" ref="AE205:AE268" si="74">M205/(2*$Y$5)</f>
        <v>0.42960245829154659</v>
      </c>
      <c r="AF205">
        <f t="shared" ref="AF205:AF268" si="75">M205/(2*$Y$8)</f>
        <v>0.41960619618157846</v>
      </c>
      <c r="AG205">
        <f t="shared" ref="AG205:AG268" si="76">M205/(2*$Y$11)</f>
        <v>0.42195563250763213</v>
      </c>
      <c r="AI205">
        <f t="shared" ref="AI205:AI268" si="77">J205/(2.4*AE205)</f>
        <v>0.14160378312372049</v>
      </c>
      <c r="AJ205">
        <f t="shared" ref="AJ205:AJ268" si="78">K205/(3.14159*(AE205^2))</f>
        <v>18.230222353647385</v>
      </c>
      <c r="AL205">
        <f t="shared" ref="AL205:AL268" si="79">J205/(2.4*AF205)</f>
        <v>0.14497720454778176</v>
      </c>
      <c r="AM205">
        <f t="shared" ref="AM205:AM268" si="80">K205/(3.14159*(AF205^2))</f>
        <v>19.109164372920365</v>
      </c>
      <c r="AO205">
        <f t="shared" ref="AO205:AO268" si="81">J205/(2.4*AG205)</f>
        <v>0.14416997581430085</v>
      </c>
      <c r="AP205">
        <f t="shared" ref="AP205:AP268" si="82">K205/(3.14159*(AG205^2))</f>
        <v>18.896958290803003</v>
      </c>
    </row>
    <row r="206" spans="1:42" x14ac:dyDescent="0.2">
      <c r="A206" s="3">
        <v>200</v>
      </c>
      <c r="B206" s="3">
        <v>1.4600000000000001E-7</v>
      </c>
      <c r="C206" s="2">
        <v>1.0619999999999999E-2</v>
      </c>
      <c r="D206" s="3">
        <v>118000</v>
      </c>
      <c r="E206" s="3">
        <v>135000000000</v>
      </c>
      <c r="F206" s="3">
        <v>120000000000</v>
      </c>
      <c r="G206" s="2">
        <v>0</v>
      </c>
      <c r="H206" s="3">
        <v>15800000000</v>
      </c>
      <c r="I206" s="2"/>
      <c r="J206" s="7">
        <f t="shared" ref="J206:J269" si="83">B206*(10^6)</f>
        <v>0.14600000000000002</v>
      </c>
      <c r="K206" s="7">
        <f t="shared" ref="K206:K269" si="84">C206*1000</f>
        <v>10.62</v>
      </c>
      <c r="L206" s="7">
        <f t="shared" ref="L206:L269" si="85">E206*(10^-9)</f>
        <v>135</v>
      </c>
      <c r="M206" s="7">
        <f t="shared" ref="M206:M269" si="86">D206*(10^-3)</f>
        <v>118</v>
      </c>
      <c r="O206">
        <f t="shared" ref="O206:O269" si="87">J206-(0.75*(K206/M206))</f>
        <v>7.8500000000000014E-2</v>
      </c>
      <c r="P206">
        <f t="shared" ref="P206:P269" si="88">O206*1000</f>
        <v>78.500000000000014</v>
      </c>
      <c r="V206">
        <f t="shared" si="72"/>
        <v>441.67685261661319</v>
      </c>
      <c r="W206">
        <f t="shared" si="73"/>
        <v>133.58182492577555</v>
      </c>
      <c r="AE206">
        <f t="shared" si="74"/>
        <v>0.42960245829154659</v>
      </c>
      <c r="AF206">
        <f t="shared" si="75"/>
        <v>0.41960619618157846</v>
      </c>
      <c r="AG206">
        <f t="shared" si="76"/>
        <v>0.42195563250763213</v>
      </c>
      <c r="AI206">
        <f t="shared" si="77"/>
        <v>0.14160378312372049</v>
      </c>
      <c r="AJ206">
        <f t="shared" si="78"/>
        <v>18.31645803176303</v>
      </c>
      <c r="AL206">
        <f t="shared" si="79"/>
        <v>0.14497720454778176</v>
      </c>
      <c r="AM206">
        <f t="shared" si="80"/>
        <v>19.199557771089331</v>
      </c>
      <c r="AO206">
        <f t="shared" si="81"/>
        <v>0.14416997581430085</v>
      </c>
      <c r="AP206">
        <f t="shared" si="82"/>
        <v>18.986347875906137</v>
      </c>
    </row>
    <row r="207" spans="1:42" x14ac:dyDescent="0.2">
      <c r="A207" s="3">
        <v>210</v>
      </c>
      <c r="B207" s="3">
        <v>1.4700000000000001E-7</v>
      </c>
      <c r="C207" s="2">
        <v>1.0670000000000001E-2</v>
      </c>
      <c r="D207" s="3">
        <v>128000</v>
      </c>
      <c r="E207" s="3">
        <v>141000000000</v>
      </c>
      <c r="F207" s="3">
        <v>125000000000</v>
      </c>
      <c r="G207" s="3">
        <v>5710000000</v>
      </c>
      <c r="H207" s="3">
        <v>14800000000</v>
      </c>
      <c r="I207" s="2"/>
      <c r="J207" s="7">
        <f t="shared" si="83"/>
        <v>0.14700000000000002</v>
      </c>
      <c r="K207" s="7">
        <f t="shared" si="84"/>
        <v>10.67</v>
      </c>
      <c r="L207" s="7">
        <f t="shared" si="85"/>
        <v>141</v>
      </c>
      <c r="M207" s="7">
        <f t="shared" si="86"/>
        <v>128</v>
      </c>
      <c r="O207">
        <f t="shared" si="87"/>
        <v>8.4480468750000023E-2</v>
      </c>
      <c r="P207">
        <f t="shared" si="88"/>
        <v>84.480468750000028</v>
      </c>
      <c r="V207">
        <f t="shared" si="72"/>
        <v>456.27961526265182</v>
      </c>
      <c r="W207">
        <f t="shared" si="73"/>
        <v>140.26486798705477</v>
      </c>
      <c r="AE207">
        <f t="shared" si="74"/>
        <v>0.46600944628235563</v>
      </c>
      <c r="AF207">
        <f t="shared" si="75"/>
        <v>0.4551660433156105</v>
      </c>
      <c r="AG207">
        <f t="shared" si="76"/>
        <v>0.45771458441505858</v>
      </c>
      <c r="AI207">
        <f t="shared" si="77"/>
        <v>0.13143510392037969</v>
      </c>
      <c r="AJ207">
        <f t="shared" si="78"/>
        <v>15.639593946310466</v>
      </c>
      <c r="AL207">
        <f t="shared" si="79"/>
        <v>0.13456627729483214</v>
      </c>
      <c r="AM207">
        <f t="shared" si="80"/>
        <v>16.393632817428749</v>
      </c>
      <c r="AO207">
        <f t="shared" si="81"/>
        <v>0.13381701629253331</v>
      </c>
      <c r="AP207">
        <f t="shared" si="82"/>
        <v>16.211582544378246</v>
      </c>
    </row>
    <row r="208" spans="1:42" x14ac:dyDescent="0.2">
      <c r="A208" s="3">
        <v>210</v>
      </c>
      <c r="B208" s="3">
        <v>1.48E-7</v>
      </c>
      <c r="C208" s="2">
        <v>1.073E-2</v>
      </c>
      <c r="D208" s="3">
        <v>120000</v>
      </c>
      <c r="E208" s="3">
        <v>135000000000</v>
      </c>
      <c r="F208" s="3">
        <v>120000000000</v>
      </c>
      <c r="G208" s="3">
        <v>10800000000</v>
      </c>
      <c r="H208" s="3">
        <v>15500000000</v>
      </c>
      <c r="I208" s="2"/>
      <c r="J208" s="7">
        <f t="shared" si="83"/>
        <v>0.14799999999999999</v>
      </c>
      <c r="K208" s="7">
        <f t="shared" si="84"/>
        <v>10.73</v>
      </c>
      <c r="L208" s="7">
        <f t="shared" si="85"/>
        <v>135</v>
      </c>
      <c r="M208" s="7">
        <f t="shared" si="86"/>
        <v>120</v>
      </c>
      <c r="O208">
        <f t="shared" si="87"/>
        <v>8.0937499999999996E-2</v>
      </c>
      <c r="P208">
        <f t="shared" si="88"/>
        <v>80.9375</v>
      </c>
      <c r="V208">
        <f t="shared" si="72"/>
        <v>447.70093576015415</v>
      </c>
      <c r="W208">
        <f t="shared" si="73"/>
        <v>134.01803571870056</v>
      </c>
      <c r="AE208">
        <f t="shared" si="74"/>
        <v>0.43688385588970841</v>
      </c>
      <c r="AF208">
        <f t="shared" si="75"/>
        <v>0.42671816560838488</v>
      </c>
      <c r="AG208">
        <f t="shared" si="76"/>
        <v>0.42910742288911741</v>
      </c>
      <c r="AI208">
        <f t="shared" si="77"/>
        <v>0.14115116829181815</v>
      </c>
      <c r="AJ208">
        <f t="shared" si="78"/>
        <v>17.894444577420096</v>
      </c>
      <c r="AL208">
        <f t="shared" si="79"/>
        <v>0.14451380709032308</v>
      </c>
      <c r="AM208">
        <f t="shared" si="80"/>
        <v>18.75719758972766</v>
      </c>
      <c r="AO208">
        <f t="shared" si="81"/>
        <v>0.14370915854000854</v>
      </c>
      <c r="AP208">
        <f t="shared" si="82"/>
        <v>18.548900076851698</v>
      </c>
    </row>
    <row r="209" spans="1:42" x14ac:dyDescent="0.2">
      <c r="A209" s="3">
        <v>210</v>
      </c>
      <c r="B209" s="3">
        <v>1.48E-7</v>
      </c>
      <c r="C209" s="2">
        <v>1.078E-2</v>
      </c>
      <c r="D209" s="3">
        <v>114000</v>
      </c>
      <c r="E209" s="3">
        <v>131000000000</v>
      </c>
      <c r="F209" s="3">
        <v>117000000000</v>
      </c>
      <c r="G209" s="3">
        <v>4870000000</v>
      </c>
      <c r="H209" s="3">
        <v>16400000000</v>
      </c>
      <c r="I209" s="2"/>
      <c r="J209" s="7">
        <f t="shared" si="83"/>
        <v>0.14799999999999999</v>
      </c>
      <c r="K209" s="7">
        <f t="shared" si="84"/>
        <v>10.78</v>
      </c>
      <c r="L209" s="7">
        <f t="shared" si="85"/>
        <v>131</v>
      </c>
      <c r="M209" s="7">
        <f t="shared" si="86"/>
        <v>114</v>
      </c>
      <c r="O209">
        <f t="shared" si="87"/>
        <v>7.7078947368421052E-2</v>
      </c>
      <c r="P209">
        <f t="shared" si="88"/>
        <v>77.078947368421055</v>
      </c>
      <c r="V209">
        <f t="shared" si="72"/>
        <v>438.11666298183081</v>
      </c>
      <c r="W209">
        <f t="shared" si="73"/>
        <v>130.10233304539676</v>
      </c>
      <c r="AE209">
        <f t="shared" si="74"/>
        <v>0.41503966309522294</v>
      </c>
      <c r="AF209">
        <f t="shared" si="75"/>
        <v>0.40538225732796562</v>
      </c>
      <c r="AG209">
        <f t="shared" si="76"/>
        <v>0.40765205174466151</v>
      </c>
      <c r="AI209">
        <f t="shared" si="77"/>
        <v>0.14858017714928229</v>
      </c>
      <c r="AJ209">
        <f t="shared" si="78"/>
        <v>19.920032894500743</v>
      </c>
      <c r="AL209">
        <f t="shared" si="79"/>
        <v>0.15211979693718219</v>
      </c>
      <c r="AM209">
        <f t="shared" si="80"/>
        <v>20.880446519558561</v>
      </c>
      <c r="AO209">
        <f t="shared" si="81"/>
        <v>0.15127279846316691</v>
      </c>
      <c r="AP209">
        <f t="shared" si="82"/>
        <v>20.648570459344455</v>
      </c>
    </row>
    <row r="210" spans="1:42" x14ac:dyDescent="0.2">
      <c r="A210" s="3">
        <v>210</v>
      </c>
      <c r="B210" s="3">
        <v>1.49E-7</v>
      </c>
      <c r="C210" s="2">
        <v>1.0829999999999999E-2</v>
      </c>
      <c r="D210" s="3">
        <v>123000</v>
      </c>
      <c r="E210" s="3">
        <v>137000000000</v>
      </c>
      <c r="F210" s="3">
        <v>122000000000</v>
      </c>
      <c r="G210" s="3">
        <v>3450000000</v>
      </c>
      <c r="H210" s="3">
        <v>15400000000</v>
      </c>
      <c r="I210" s="2"/>
      <c r="J210" s="7">
        <f t="shared" si="83"/>
        <v>0.14899999999999999</v>
      </c>
      <c r="K210" s="7">
        <f t="shared" si="84"/>
        <v>10.83</v>
      </c>
      <c r="L210" s="7">
        <f t="shared" si="85"/>
        <v>137</v>
      </c>
      <c r="M210" s="7">
        <f t="shared" si="86"/>
        <v>123</v>
      </c>
      <c r="O210">
        <f t="shared" si="87"/>
        <v>8.2963414634146332E-2</v>
      </c>
      <c r="P210">
        <f t="shared" si="88"/>
        <v>82.963414634146332</v>
      </c>
      <c r="V210">
        <f t="shared" si="72"/>
        <v>452.63135331276328</v>
      </c>
      <c r="W210">
        <f t="shared" si="73"/>
        <v>135.87216075485645</v>
      </c>
      <c r="AE210">
        <f t="shared" si="74"/>
        <v>0.44780595228695108</v>
      </c>
      <c r="AF210">
        <f t="shared" si="75"/>
        <v>0.43738611974859448</v>
      </c>
      <c r="AG210">
        <f t="shared" si="76"/>
        <v>0.43983510846134533</v>
      </c>
      <c r="AI210">
        <f t="shared" si="77"/>
        <v>0.13863891941648587</v>
      </c>
      <c r="AJ210">
        <f t="shared" si="78"/>
        <v>17.190924256660317</v>
      </c>
      <c r="AL210">
        <f t="shared" si="79"/>
        <v>0.14194170900763442</v>
      </c>
      <c r="AM210">
        <f t="shared" si="80"/>
        <v>18.019758123093915</v>
      </c>
      <c r="AO210">
        <f t="shared" si="81"/>
        <v>0.14115138182242107</v>
      </c>
      <c r="AP210">
        <f t="shared" si="82"/>
        <v>17.819649829639541</v>
      </c>
    </row>
    <row r="211" spans="1:42" x14ac:dyDescent="0.2">
      <c r="A211" s="3">
        <v>210</v>
      </c>
      <c r="B211" s="3">
        <v>1.49E-7</v>
      </c>
      <c r="C211" s="2">
        <v>1.0880000000000001E-2</v>
      </c>
      <c r="D211" s="3">
        <v>115000</v>
      </c>
      <c r="E211" s="3">
        <v>132000000000</v>
      </c>
      <c r="F211" s="3">
        <v>117000000000</v>
      </c>
      <c r="G211" s="3">
        <v>504000000</v>
      </c>
      <c r="H211" s="3">
        <v>16400000000</v>
      </c>
      <c r="I211" s="2"/>
      <c r="J211" s="7">
        <f t="shared" si="83"/>
        <v>0.14899999999999999</v>
      </c>
      <c r="K211" s="7">
        <f t="shared" si="84"/>
        <v>10.88</v>
      </c>
      <c r="L211" s="7">
        <f t="shared" si="85"/>
        <v>132</v>
      </c>
      <c r="M211" s="7">
        <f t="shared" si="86"/>
        <v>115</v>
      </c>
      <c r="O211">
        <f t="shared" si="87"/>
        <v>7.8043478260869548E-2</v>
      </c>
      <c r="P211">
        <f t="shared" si="88"/>
        <v>78.043478260869549</v>
      </c>
      <c r="V211">
        <f t="shared" si="72"/>
        <v>440.53706296415146</v>
      </c>
      <c r="W211">
        <f t="shared" si="73"/>
        <v>130.52250272227161</v>
      </c>
      <c r="AE211">
        <f t="shared" si="74"/>
        <v>0.41868036189430385</v>
      </c>
      <c r="AF211">
        <f t="shared" si="75"/>
        <v>0.4089382420413688</v>
      </c>
      <c r="AG211">
        <f t="shared" si="76"/>
        <v>0.41122794693540415</v>
      </c>
      <c r="AI211">
        <f t="shared" si="77"/>
        <v>0.14828336598458924</v>
      </c>
      <c r="AJ211">
        <f t="shared" si="78"/>
        <v>19.756691014071542</v>
      </c>
      <c r="AL211">
        <f t="shared" si="79"/>
        <v>0.15181591485164375</v>
      </c>
      <c r="AM211">
        <f t="shared" si="80"/>
        <v>20.709229362600578</v>
      </c>
      <c r="AO211">
        <f t="shared" si="81"/>
        <v>0.1509706083839808</v>
      </c>
      <c r="AP211">
        <f t="shared" si="82"/>
        <v>20.479254658267877</v>
      </c>
    </row>
    <row r="212" spans="1:42" x14ac:dyDescent="0.2">
      <c r="A212" s="3">
        <v>210</v>
      </c>
      <c r="B212" s="3">
        <v>1.4999999999999999E-7</v>
      </c>
      <c r="C212" s="2">
        <v>1.094E-2</v>
      </c>
      <c r="D212" s="3">
        <v>117000</v>
      </c>
      <c r="E212" s="3">
        <v>133000000000</v>
      </c>
      <c r="F212" s="3">
        <v>118000000000</v>
      </c>
      <c r="G212" s="2">
        <v>0</v>
      </c>
      <c r="H212" s="3">
        <v>16200000000</v>
      </c>
      <c r="I212" s="2"/>
      <c r="J212" s="7">
        <f t="shared" si="83"/>
        <v>0.15</v>
      </c>
      <c r="K212" s="7">
        <f t="shared" si="84"/>
        <v>10.94</v>
      </c>
      <c r="L212" s="7">
        <f t="shared" si="85"/>
        <v>133</v>
      </c>
      <c r="M212" s="7">
        <f t="shared" si="86"/>
        <v>117</v>
      </c>
      <c r="O212">
        <f t="shared" si="87"/>
        <v>7.9871794871794868E-2</v>
      </c>
      <c r="P212">
        <f t="shared" si="88"/>
        <v>79.871794871794862</v>
      </c>
      <c r="V212">
        <f t="shared" si="72"/>
        <v>445.07974195276483</v>
      </c>
      <c r="W212">
        <f t="shared" si="73"/>
        <v>131.4371212298592</v>
      </c>
      <c r="AE212">
        <f t="shared" si="74"/>
        <v>0.42596175949246567</v>
      </c>
      <c r="AF212">
        <f t="shared" si="75"/>
        <v>0.41605021146817522</v>
      </c>
      <c r="AG212">
        <f t="shared" si="76"/>
        <v>0.41837973731688949</v>
      </c>
      <c r="AI212">
        <f t="shared" si="77"/>
        <v>0.14672678616613116</v>
      </c>
      <c r="AJ212">
        <f t="shared" si="78"/>
        <v>19.192280908729256</v>
      </c>
      <c r="AL212">
        <f t="shared" si="79"/>
        <v>0.15022225269264353</v>
      </c>
      <c r="AM212">
        <f t="shared" si="80"/>
        <v>20.117607095603645</v>
      </c>
      <c r="AO212">
        <f t="shared" si="81"/>
        <v>0.14938581968815856</v>
      </c>
      <c r="AP212">
        <f t="shared" si="82"/>
        <v>19.894202319757756</v>
      </c>
    </row>
    <row r="213" spans="1:42" x14ac:dyDescent="0.2">
      <c r="A213" s="3">
        <v>210</v>
      </c>
      <c r="B213" s="3">
        <v>1.4999999999999999E-7</v>
      </c>
      <c r="C213" s="2">
        <v>1.099E-2</v>
      </c>
      <c r="D213" s="3">
        <v>107000</v>
      </c>
      <c r="E213" s="3">
        <v>126000000000</v>
      </c>
      <c r="F213" s="3">
        <v>112000000000</v>
      </c>
      <c r="G213" s="2">
        <v>0</v>
      </c>
      <c r="H213" s="3">
        <v>17400000000</v>
      </c>
      <c r="I213" s="2"/>
      <c r="J213" s="7">
        <f t="shared" si="83"/>
        <v>0.15</v>
      </c>
      <c r="K213" s="7">
        <f t="shared" si="84"/>
        <v>10.99</v>
      </c>
      <c r="L213" s="7">
        <f t="shared" si="85"/>
        <v>126.00000000000001</v>
      </c>
      <c r="M213" s="7">
        <f t="shared" si="86"/>
        <v>107</v>
      </c>
      <c r="O213">
        <f t="shared" si="87"/>
        <v>7.2967289719626169E-2</v>
      </c>
      <c r="P213">
        <f t="shared" si="88"/>
        <v>72.967289719626166</v>
      </c>
      <c r="V213">
        <f t="shared" si="72"/>
        <v>427.60477467879036</v>
      </c>
      <c r="W213">
        <f t="shared" si="73"/>
        <v>125.11553464338257</v>
      </c>
      <c r="AE213">
        <f t="shared" si="74"/>
        <v>0.38955477150165663</v>
      </c>
      <c r="AF213">
        <f t="shared" si="75"/>
        <v>0.38049036433414318</v>
      </c>
      <c r="AG213">
        <f t="shared" si="76"/>
        <v>0.38262078540946304</v>
      </c>
      <c r="AI213">
        <f t="shared" si="77"/>
        <v>0.16043956991997521</v>
      </c>
      <c r="AJ213">
        <f t="shared" si="78"/>
        <v>23.052133718375146</v>
      </c>
      <c r="AL213">
        <f t="shared" si="79"/>
        <v>0.16426171556111488</v>
      </c>
      <c r="AM213">
        <f t="shared" si="80"/>
        <v>24.163556747997468</v>
      </c>
      <c r="AO213">
        <f t="shared" si="81"/>
        <v>0.16334711124779955</v>
      </c>
      <c r="AP213">
        <f t="shared" si="82"/>
        <v>23.895221952846537</v>
      </c>
    </row>
    <row r="214" spans="1:42" x14ac:dyDescent="0.2">
      <c r="A214" s="3">
        <v>210</v>
      </c>
      <c r="B214" s="3">
        <v>1.5099999999999999E-7</v>
      </c>
      <c r="C214" s="2">
        <v>1.1039999999999999E-2</v>
      </c>
      <c r="D214" s="3">
        <v>116000</v>
      </c>
      <c r="E214" s="3">
        <v>132000000000</v>
      </c>
      <c r="F214" s="3">
        <v>117000000000</v>
      </c>
      <c r="G214" s="3">
        <v>1380000000</v>
      </c>
      <c r="H214" s="3">
        <v>16300000000</v>
      </c>
      <c r="I214" s="2"/>
      <c r="J214" s="7">
        <f t="shared" si="83"/>
        <v>0.151</v>
      </c>
      <c r="K214" s="7">
        <f t="shared" si="84"/>
        <v>11.04</v>
      </c>
      <c r="L214" s="7">
        <f t="shared" si="85"/>
        <v>132</v>
      </c>
      <c r="M214" s="7">
        <f t="shared" si="86"/>
        <v>116</v>
      </c>
      <c r="O214">
        <f t="shared" si="87"/>
        <v>7.9620689655172411E-2</v>
      </c>
      <c r="P214">
        <f t="shared" si="88"/>
        <v>79.620689655172413</v>
      </c>
      <c r="V214">
        <f t="shared" si="72"/>
        <v>444.45929573013836</v>
      </c>
      <c r="W214">
        <f t="shared" si="73"/>
        <v>130.49563943694804</v>
      </c>
      <c r="AE214">
        <f t="shared" si="74"/>
        <v>0.42232106069338476</v>
      </c>
      <c r="AF214">
        <f t="shared" si="75"/>
        <v>0.41249422675477204</v>
      </c>
      <c r="AG214">
        <f t="shared" si="76"/>
        <v>0.41480384212614679</v>
      </c>
      <c r="AI214">
        <f t="shared" si="77"/>
        <v>0.14897828340212871</v>
      </c>
      <c r="AJ214">
        <f t="shared" si="78"/>
        <v>19.703078516926226</v>
      </c>
      <c r="AL214">
        <f t="shared" si="79"/>
        <v>0.15252738725982376</v>
      </c>
      <c r="AM214">
        <f t="shared" si="80"/>
        <v>20.653032021694987</v>
      </c>
      <c r="AO214">
        <f t="shared" si="81"/>
        <v>0.15167811933509759</v>
      </c>
      <c r="AP214">
        <f t="shared" si="82"/>
        <v>20.423681385338593</v>
      </c>
    </row>
    <row r="215" spans="1:42" x14ac:dyDescent="0.2">
      <c r="A215" s="3">
        <v>210</v>
      </c>
      <c r="B215" s="3">
        <v>1.5099999999999999E-7</v>
      </c>
      <c r="C215" s="2">
        <v>1.1089999999999999E-2</v>
      </c>
      <c r="D215" s="3">
        <v>121000</v>
      </c>
      <c r="E215" s="3">
        <v>135000000000</v>
      </c>
      <c r="F215" s="3">
        <v>120000000000</v>
      </c>
      <c r="G215" s="3">
        <v>12700000000</v>
      </c>
      <c r="H215" s="3">
        <v>15800000000</v>
      </c>
      <c r="I215" s="2"/>
      <c r="J215" s="7">
        <f t="shared" si="83"/>
        <v>0.151</v>
      </c>
      <c r="K215" s="7">
        <f t="shared" si="84"/>
        <v>11.09</v>
      </c>
      <c r="L215" s="7">
        <f t="shared" si="85"/>
        <v>135</v>
      </c>
      <c r="M215" s="7">
        <f t="shared" si="86"/>
        <v>121</v>
      </c>
      <c r="O215">
        <f t="shared" si="87"/>
        <v>8.2260330578512397E-2</v>
      </c>
      <c r="P215">
        <f t="shared" si="88"/>
        <v>82.260330578512395</v>
      </c>
      <c r="V215">
        <f t="shared" si="72"/>
        <v>450.92795234521964</v>
      </c>
      <c r="W215">
        <f t="shared" si="73"/>
        <v>134.16777488587056</v>
      </c>
      <c r="AE215">
        <f t="shared" si="74"/>
        <v>0.44052455468878926</v>
      </c>
      <c r="AF215">
        <f t="shared" si="75"/>
        <v>0.43027415032178806</v>
      </c>
      <c r="AG215">
        <f t="shared" si="76"/>
        <v>0.43268331807986005</v>
      </c>
      <c r="AI215">
        <f t="shared" si="77"/>
        <v>0.14282215598881759</v>
      </c>
      <c r="AJ215">
        <f t="shared" si="78"/>
        <v>18.190381128737215</v>
      </c>
      <c r="AL215">
        <f t="shared" si="79"/>
        <v>0.14622460266231038</v>
      </c>
      <c r="AM215">
        <f t="shared" si="80"/>
        <v>19.067402264874836</v>
      </c>
      <c r="AO215">
        <f t="shared" si="81"/>
        <v>0.14541042845348195</v>
      </c>
      <c r="AP215">
        <f t="shared" si="82"/>
        <v>18.855659948370477</v>
      </c>
    </row>
    <row r="216" spans="1:42" x14ac:dyDescent="0.2">
      <c r="A216" s="3">
        <v>210</v>
      </c>
      <c r="B216" s="3">
        <v>1.5200000000000001E-7</v>
      </c>
      <c r="C216" s="2">
        <v>1.1140000000000001E-2</v>
      </c>
      <c r="D216" s="3">
        <v>130000</v>
      </c>
      <c r="E216" s="3">
        <v>141000000000</v>
      </c>
      <c r="F216" s="3">
        <v>124000000000</v>
      </c>
      <c r="G216" s="3">
        <v>8570000000</v>
      </c>
      <c r="H216" s="3">
        <v>14800000000</v>
      </c>
      <c r="I216" s="2"/>
      <c r="J216" s="7">
        <f t="shared" si="83"/>
        <v>0.15200000000000002</v>
      </c>
      <c r="K216" s="7">
        <f t="shared" si="84"/>
        <v>11.14</v>
      </c>
      <c r="L216" s="7">
        <f t="shared" si="85"/>
        <v>141</v>
      </c>
      <c r="M216" s="7">
        <f t="shared" si="86"/>
        <v>130</v>
      </c>
      <c r="O216">
        <f t="shared" si="87"/>
        <v>8.7730769230769251E-2</v>
      </c>
      <c r="P216">
        <f t="shared" si="88"/>
        <v>87.730769230769255</v>
      </c>
      <c r="V216">
        <f t="shared" si="72"/>
        <v>463.97507997932206</v>
      </c>
      <c r="W216">
        <f t="shared" si="73"/>
        <v>140.09373090230804</v>
      </c>
      <c r="AE216">
        <f t="shared" si="74"/>
        <v>0.4732908438805174</v>
      </c>
      <c r="AF216">
        <f t="shared" si="75"/>
        <v>0.46227801274241692</v>
      </c>
      <c r="AG216">
        <f t="shared" si="76"/>
        <v>0.46486637479654386</v>
      </c>
      <c r="AI216">
        <f t="shared" si="77"/>
        <v>0.13381482898351163</v>
      </c>
      <c r="AJ216">
        <f t="shared" si="78"/>
        <v>15.829947673841648</v>
      </c>
      <c r="AL216">
        <f t="shared" si="79"/>
        <v>0.13700269445569094</v>
      </c>
      <c r="AM216">
        <f t="shared" si="80"/>
        <v>16.593164155984454</v>
      </c>
      <c r="AO216">
        <f t="shared" si="81"/>
        <v>0.13623986755560064</v>
      </c>
      <c r="AP216">
        <f t="shared" si="82"/>
        <v>16.408898099826523</v>
      </c>
    </row>
    <row r="217" spans="1:42" x14ac:dyDescent="0.2">
      <c r="A217" s="3">
        <v>220</v>
      </c>
      <c r="B217" s="3">
        <v>1.5200000000000001E-7</v>
      </c>
      <c r="C217" s="2">
        <v>1.119E-2</v>
      </c>
      <c r="D217" s="3">
        <v>112000</v>
      </c>
      <c r="E217" s="3">
        <v>128000000000</v>
      </c>
      <c r="F217" s="3">
        <v>115000000000</v>
      </c>
      <c r="G217" s="3">
        <v>3220000000</v>
      </c>
      <c r="H217" s="3">
        <v>17000000000</v>
      </c>
      <c r="I217" s="2"/>
      <c r="J217" s="7">
        <f t="shared" si="83"/>
        <v>0.15200000000000002</v>
      </c>
      <c r="K217" s="7">
        <f t="shared" si="84"/>
        <v>11.19</v>
      </c>
      <c r="L217" s="7">
        <f t="shared" si="85"/>
        <v>128</v>
      </c>
      <c r="M217" s="7">
        <f t="shared" si="86"/>
        <v>112</v>
      </c>
      <c r="O217">
        <f t="shared" si="87"/>
        <v>7.7066964285714315E-2</v>
      </c>
      <c r="P217">
        <f t="shared" si="88"/>
        <v>77.06696428571432</v>
      </c>
      <c r="V217">
        <f t="shared" si="72"/>
        <v>438.08648677208669</v>
      </c>
      <c r="W217">
        <f t="shared" si="73"/>
        <v>127.828640441799</v>
      </c>
      <c r="AE217">
        <f t="shared" si="74"/>
        <v>0.40775826549706118</v>
      </c>
      <c r="AF217">
        <f t="shared" si="75"/>
        <v>0.3982702879011592</v>
      </c>
      <c r="AG217">
        <f t="shared" si="76"/>
        <v>0.40050026136317624</v>
      </c>
      <c r="AI217">
        <f t="shared" si="77"/>
        <v>0.155320783641576</v>
      </c>
      <c r="AJ217">
        <f t="shared" si="78"/>
        <v>21.422740853795119</v>
      </c>
      <c r="AL217">
        <f t="shared" si="79"/>
        <v>0.15902098463606984</v>
      </c>
      <c r="AM217">
        <f t="shared" si="80"/>
        <v>22.455605222595821</v>
      </c>
      <c r="AO217">
        <f t="shared" si="81"/>
        <v>0.1581355605556079</v>
      </c>
      <c r="AP217">
        <f t="shared" si="82"/>
        <v>22.20623712293083</v>
      </c>
    </row>
    <row r="218" spans="1:42" x14ac:dyDescent="0.2">
      <c r="A218" s="3">
        <v>220</v>
      </c>
      <c r="B218" s="3">
        <v>1.5300000000000001E-7</v>
      </c>
      <c r="C218" s="2">
        <v>1.124E-2</v>
      </c>
      <c r="D218" s="3">
        <v>135000</v>
      </c>
      <c r="E218" s="3">
        <v>144000000000</v>
      </c>
      <c r="F218" s="3">
        <v>127000000000</v>
      </c>
      <c r="G218" s="2">
        <v>0</v>
      </c>
      <c r="H218" s="3">
        <v>14300000000</v>
      </c>
      <c r="I218" s="2"/>
      <c r="J218" s="7">
        <f t="shared" si="83"/>
        <v>0.153</v>
      </c>
      <c r="K218" s="7">
        <f t="shared" si="84"/>
        <v>11.24</v>
      </c>
      <c r="L218" s="7">
        <f t="shared" si="85"/>
        <v>144</v>
      </c>
      <c r="M218" s="7">
        <f t="shared" si="86"/>
        <v>135</v>
      </c>
      <c r="O218">
        <f t="shared" si="87"/>
        <v>9.0555555555555556E-2</v>
      </c>
      <c r="P218">
        <f t="shared" si="88"/>
        <v>90.555555555555557</v>
      </c>
      <c r="V218">
        <f t="shared" si="72"/>
        <v>470.53508456952227</v>
      </c>
      <c r="W218">
        <f t="shared" si="73"/>
        <v>143.45370241998771</v>
      </c>
      <c r="AE218">
        <f t="shared" si="74"/>
        <v>0.49149433787592195</v>
      </c>
      <c r="AF218">
        <f t="shared" si="75"/>
        <v>0.48005793630943294</v>
      </c>
      <c r="AG218">
        <f t="shared" si="76"/>
        <v>0.48274585075025706</v>
      </c>
      <c r="AI218">
        <f t="shared" si="77"/>
        <v>0.12970647897085993</v>
      </c>
      <c r="AJ218">
        <f t="shared" si="78"/>
        <v>14.810842625628984</v>
      </c>
      <c r="AL218">
        <f t="shared" si="79"/>
        <v>0.1327964713802969</v>
      </c>
      <c r="AM218">
        <f t="shared" si="80"/>
        <v>15.524924531596531</v>
      </c>
      <c r="AO218">
        <f t="shared" si="81"/>
        <v>0.13205706460433217</v>
      </c>
      <c r="AP218">
        <f t="shared" si="82"/>
        <v>15.352521210042269</v>
      </c>
    </row>
    <row r="219" spans="1:42" x14ac:dyDescent="0.2">
      <c r="A219" s="3">
        <v>220</v>
      </c>
      <c r="B219" s="3">
        <v>1.5300000000000001E-7</v>
      </c>
      <c r="C219" s="2">
        <v>1.1299999999999999E-2</v>
      </c>
      <c r="D219" s="3">
        <v>119000</v>
      </c>
      <c r="E219" s="3">
        <v>133000000000</v>
      </c>
      <c r="F219" s="3">
        <v>118000000000</v>
      </c>
      <c r="G219" s="2">
        <v>0</v>
      </c>
      <c r="H219" s="3">
        <v>16100000000</v>
      </c>
      <c r="I219" s="2"/>
      <c r="J219" s="7">
        <f t="shared" si="83"/>
        <v>0.153</v>
      </c>
      <c r="K219" s="7">
        <f t="shared" si="84"/>
        <v>11.299999999999999</v>
      </c>
      <c r="L219" s="7">
        <f t="shared" si="85"/>
        <v>133</v>
      </c>
      <c r="M219" s="7">
        <f t="shared" si="86"/>
        <v>119</v>
      </c>
      <c r="O219">
        <f t="shared" si="87"/>
        <v>8.1781512605042017E-2</v>
      </c>
      <c r="P219">
        <f t="shared" si="88"/>
        <v>81.78151260504201</v>
      </c>
      <c r="V219">
        <f t="shared" si="72"/>
        <v>449.76324705742127</v>
      </c>
      <c r="W219">
        <f t="shared" si="73"/>
        <v>132.29182328542652</v>
      </c>
      <c r="AE219">
        <f t="shared" si="74"/>
        <v>0.4332431570906275</v>
      </c>
      <c r="AF219">
        <f t="shared" si="75"/>
        <v>0.42316218089498164</v>
      </c>
      <c r="AG219">
        <f t="shared" si="76"/>
        <v>0.42553152769837477</v>
      </c>
      <c r="AI219">
        <f t="shared" si="77"/>
        <v>0.14714600555517726</v>
      </c>
      <c r="AJ219">
        <f t="shared" si="78"/>
        <v>19.163088874414726</v>
      </c>
      <c r="AL219">
        <f t="shared" si="79"/>
        <v>0.15065145912890823</v>
      </c>
      <c r="AM219">
        <f t="shared" si="80"/>
        <v>20.087007612433617</v>
      </c>
      <c r="AO219">
        <f t="shared" si="81"/>
        <v>0.14981263631583905</v>
      </c>
      <c r="AP219">
        <f t="shared" si="82"/>
        <v>19.863942641945595</v>
      </c>
    </row>
    <row r="220" spans="1:42" x14ac:dyDescent="0.2">
      <c r="A220" s="3">
        <v>220</v>
      </c>
      <c r="B220" s="3">
        <v>1.54E-7</v>
      </c>
      <c r="C220" s="2">
        <v>1.1350000000000001E-2</v>
      </c>
      <c r="D220" s="3">
        <v>117000</v>
      </c>
      <c r="E220" s="3">
        <v>131000000000</v>
      </c>
      <c r="F220" s="3">
        <v>117000000000</v>
      </c>
      <c r="G220" s="3">
        <v>8500000000</v>
      </c>
      <c r="H220" s="3">
        <v>16400000000</v>
      </c>
      <c r="I220" s="2"/>
      <c r="J220" s="7">
        <f t="shared" si="83"/>
        <v>0.154</v>
      </c>
      <c r="K220" s="7">
        <f t="shared" si="84"/>
        <v>11.350000000000001</v>
      </c>
      <c r="L220" s="7">
        <f t="shared" si="85"/>
        <v>131</v>
      </c>
      <c r="M220" s="7">
        <f t="shared" si="86"/>
        <v>117</v>
      </c>
      <c r="O220">
        <f t="shared" si="87"/>
        <v>8.1243589743589723E-2</v>
      </c>
      <c r="P220">
        <f t="shared" si="88"/>
        <v>81.243589743589723</v>
      </c>
      <c r="V220">
        <f t="shared" si="72"/>
        <v>448.45023205588785</v>
      </c>
      <c r="W220">
        <f t="shared" si="73"/>
        <v>130.44925795179313</v>
      </c>
      <c r="AE220">
        <f t="shared" si="74"/>
        <v>0.42596175949246567</v>
      </c>
      <c r="AF220">
        <f t="shared" si="75"/>
        <v>0.41605021146817522</v>
      </c>
      <c r="AG220">
        <f t="shared" si="76"/>
        <v>0.41837973731688949</v>
      </c>
      <c r="AI220">
        <f t="shared" si="77"/>
        <v>0.15063950046389465</v>
      </c>
      <c r="AJ220">
        <f t="shared" si="78"/>
        <v>19.911552862347083</v>
      </c>
      <c r="AL220">
        <f t="shared" si="79"/>
        <v>0.15422817943111403</v>
      </c>
      <c r="AM220">
        <f t="shared" si="80"/>
        <v>20.871557635749671</v>
      </c>
      <c r="AO220">
        <f t="shared" si="81"/>
        <v>0.15336944154650944</v>
      </c>
      <c r="AP220">
        <f t="shared" si="82"/>
        <v>20.639780286037531</v>
      </c>
    </row>
    <row r="221" spans="1:42" x14ac:dyDescent="0.2">
      <c r="A221" s="3">
        <v>220</v>
      </c>
      <c r="B221" s="3">
        <v>1.54E-7</v>
      </c>
      <c r="C221" s="2">
        <v>1.14E-2</v>
      </c>
      <c r="D221" s="3">
        <v>116000</v>
      </c>
      <c r="E221" s="3">
        <v>131000000000</v>
      </c>
      <c r="F221" s="3">
        <v>117000000000</v>
      </c>
      <c r="G221" s="2">
        <v>0</v>
      </c>
      <c r="H221" s="3">
        <v>16600000000</v>
      </c>
      <c r="I221" s="2"/>
      <c r="J221" s="7">
        <f t="shared" si="83"/>
        <v>0.154</v>
      </c>
      <c r="K221" s="7">
        <f t="shared" si="84"/>
        <v>11.4</v>
      </c>
      <c r="L221" s="7">
        <f t="shared" si="85"/>
        <v>131</v>
      </c>
      <c r="M221" s="7">
        <f t="shared" si="86"/>
        <v>116</v>
      </c>
      <c r="O221">
        <f t="shared" si="87"/>
        <v>8.0293103448275865E-2</v>
      </c>
      <c r="P221">
        <f t="shared" si="88"/>
        <v>80.293103448275872</v>
      </c>
      <c r="V221">
        <f t="shared" si="72"/>
        <v>446.11830130236638</v>
      </c>
      <c r="W221">
        <f t="shared" si="73"/>
        <v>130.01035785951592</v>
      </c>
      <c r="AE221">
        <f t="shared" si="74"/>
        <v>0.42232106069338476</v>
      </c>
      <c r="AF221">
        <f t="shared" si="75"/>
        <v>0.41249422675477204</v>
      </c>
      <c r="AG221">
        <f t="shared" si="76"/>
        <v>0.41480384212614679</v>
      </c>
      <c r="AI221">
        <f t="shared" si="77"/>
        <v>0.15193811684720412</v>
      </c>
      <c r="AJ221">
        <f t="shared" si="78"/>
        <v>20.345570207695562</v>
      </c>
      <c r="AL221">
        <f t="shared" si="79"/>
        <v>0.1555577327020719</v>
      </c>
      <c r="AM221">
        <f t="shared" si="80"/>
        <v>21.326500457185045</v>
      </c>
      <c r="AO221">
        <f t="shared" si="81"/>
        <v>0.15469159190466905</v>
      </c>
      <c r="AP221">
        <f t="shared" si="82"/>
        <v>21.089670995730071</v>
      </c>
    </row>
    <row r="222" spans="1:42" x14ac:dyDescent="0.2">
      <c r="A222" s="3">
        <v>220</v>
      </c>
      <c r="B222" s="3">
        <v>1.55E-7</v>
      </c>
      <c r="C222" s="2">
        <v>1.145E-2</v>
      </c>
      <c r="D222" s="3">
        <v>119000</v>
      </c>
      <c r="E222" s="3">
        <v>132000000000</v>
      </c>
      <c r="F222" s="3">
        <v>117000000000</v>
      </c>
      <c r="G222" s="3">
        <v>1810000000</v>
      </c>
      <c r="H222" s="3">
        <v>16100000000</v>
      </c>
      <c r="I222" s="2"/>
      <c r="J222" s="7">
        <f t="shared" si="83"/>
        <v>0.155</v>
      </c>
      <c r="K222" s="7">
        <f t="shared" si="84"/>
        <v>11.45</v>
      </c>
      <c r="L222" s="7">
        <f t="shared" si="85"/>
        <v>132</v>
      </c>
      <c r="M222" s="7">
        <f t="shared" si="86"/>
        <v>119</v>
      </c>
      <c r="O222">
        <f t="shared" si="87"/>
        <v>8.2836134453781518E-2</v>
      </c>
      <c r="P222">
        <f t="shared" si="88"/>
        <v>82.836134453781511</v>
      </c>
      <c r="V222">
        <f t="shared" si="72"/>
        <v>452.32358224498336</v>
      </c>
      <c r="W222">
        <f t="shared" si="73"/>
        <v>131.54299783506346</v>
      </c>
      <c r="AE222">
        <f t="shared" si="74"/>
        <v>0.4332431570906275</v>
      </c>
      <c r="AF222">
        <f t="shared" si="75"/>
        <v>0.42316218089498164</v>
      </c>
      <c r="AG222">
        <f t="shared" si="76"/>
        <v>0.42553152769837477</v>
      </c>
      <c r="AI222">
        <f t="shared" si="77"/>
        <v>0.14906948275197696</v>
      </c>
      <c r="AJ222">
        <f t="shared" si="78"/>
        <v>19.417466160358284</v>
      </c>
      <c r="AL222">
        <f t="shared" si="79"/>
        <v>0.15262075924824037</v>
      </c>
      <c r="AM222">
        <f t="shared" si="80"/>
        <v>20.353649306403973</v>
      </c>
      <c r="AO222">
        <f t="shared" si="81"/>
        <v>0.15177097143107876</v>
      </c>
      <c r="AP222">
        <f t="shared" si="82"/>
        <v>20.127623296484696</v>
      </c>
    </row>
    <row r="223" spans="1:42" x14ac:dyDescent="0.2">
      <c r="A223" s="3">
        <v>220</v>
      </c>
      <c r="B223" s="3">
        <v>1.5599999999999999E-7</v>
      </c>
      <c r="C223" s="2">
        <v>1.1509999999999999E-2</v>
      </c>
      <c r="D223" s="3">
        <v>122000</v>
      </c>
      <c r="E223" s="3">
        <v>134000000000</v>
      </c>
      <c r="F223" s="3">
        <v>119000000000</v>
      </c>
      <c r="G223" s="3">
        <v>5900000000</v>
      </c>
      <c r="H223" s="3">
        <v>15800000000</v>
      </c>
      <c r="I223" s="2"/>
      <c r="J223" s="7">
        <f t="shared" si="83"/>
        <v>0.156</v>
      </c>
      <c r="K223" s="7">
        <f t="shared" si="84"/>
        <v>11.51</v>
      </c>
      <c r="L223" s="7">
        <f t="shared" si="85"/>
        <v>134</v>
      </c>
      <c r="M223" s="7">
        <f t="shared" si="86"/>
        <v>122</v>
      </c>
      <c r="O223">
        <f t="shared" si="87"/>
        <v>8.5241803278688522E-2</v>
      </c>
      <c r="P223">
        <f t="shared" si="88"/>
        <v>85.241803278688522</v>
      </c>
      <c r="V223">
        <f t="shared" si="72"/>
        <v>458.09675094362768</v>
      </c>
      <c r="W223">
        <f t="shared" si="73"/>
        <v>133.15964340359733</v>
      </c>
      <c r="AE223">
        <f t="shared" si="74"/>
        <v>0.44416525348787017</v>
      </c>
      <c r="AF223">
        <f t="shared" si="75"/>
        <v>0.4338301350351913</v>
      </c>
      <c r="AG223">
        <f t="shared" si="76"/>
        <v>0.43625921327060269</v>
      </c>
      <c r="AI223">
        <f t="shared" si="77"/>
        <v>0.14634192902208887</v>
      </c>
      <c r="AJ223">
        <f t="shared" si="78"/>
        <v>18.571058384529188</v>
      </c>
      <c r="AL223">
        <f t="shared" si="79"/>
        <v>0.14982822711181035</v>
      </c>
      <c r="AM223">
        <f t="shared" si="80"/>
        <v>19.466433286704671</v>
      </c>
      <c r="AO223">
        <f t="shared" si="81"/>
        <v>0.14899398802996011</v>
      </c>
      <c r="AP223">
        <f t="shared" si="82"/>
        <v>19.250259755515398</v>
      </c>
    </row>
    <row r="224" spans="1:42" x14ac:dyDescent="0.2">
      <c r="A224" s="3">
        <v>220</v>
      </c>
      <c r="B224" s="3">
        <v>1.5599999999999999E-7</v>
      </c>
      <c r="C224" s="2">
        <v>1.1560000000000001E-2</v>
      </c>
      <c r="D224" s="3">
        <v>114000</v>
      </c>
      <c r="E224" s="3">
        <v>128000000000</v>
      </c>
      <c r="F224" s="3">
        <v>115000000000</v>
      </c>
      <c r="G224" s="3">
        <v>12600000000</v>
      </c>
      <c r="H224" s="3">
        <v>16900000000</v>
      </c>
      <c r="I224" s="2"/>
      <c r="J224" s="7">
        <f t="shared" si="83"/>
        <v>0.156</v>
      </c>
      <c r="K224" s="7">
        <f t="shared" si="84"/>
        <v>11.56</v>
      </c>
      <c r="L224" s="7">
        <f t="shared" si="85"/>
        <v>128</v>
      </c>
      <c r="M224" s="7">
        <f t="shared" si="86"/>
        <v>114</v>
      </c>
      <c r="O224">
        <f t="shared" si="87"/>
        <v>7.9947368421052628E-2</v>
      </c>
      <c r="P224">
        <f t="shared" si="88"/>
        <v>79.94736842105263</v>
      </c>
      <c r="V224">
        <f t="shared" si="72"/>
        <v>445.26626097858241</v>
      </c>
      <c r="W224">
        <f t="shared" si="73"/>
        <v>128.01329225962112</v>
      </c>
      <c r="AE224">
        <f t="shared" si="74"/>
        <v>0.41503966309522294</v>
      </c>
      <c r="AF224">
        <f t="shared" si="75"/>
        <v>0.40538225732796562</v>
      </c>
      <c r="AG224">
        <f t="shared" si="76"/>
        <v>0.40765205174466151</v>
      </c>
      <c r="AI224">
        <f t="shared" si="77"/>
        <v>0.15661153807627054</v>
      </c>
      <c r="AJ224">
        <f t="shared" si="78"/>
        <v>21.361371081672413</v>
      </c>
      <c r="AL224">
        <f t="shared" si="79"/>
        <v>0.16034248866351636</v>
      </c>
      <c r="AM224">
        <f t="shared" si="80"/>
        <v>22.391276601678758</v>
      </c>
      <c r="AO224">
        <f t="shared" si="81"/>
        <v>0.15944970648820297</v>
      </c>
      <c r="AP224">
        <f t="shared" si="82"/>
        <v>22.142622867348972</v>
      </c>
    </row>
    <row r="225" spans="1:42" x14ac:dyDescent="0.2">
      <c r="A225" s="3">
        <v>220</v>
      </c>
      <c r="B225" s="3">
        <v>1.5699999999999999E-7</v>
      </c>
      <c r="C225" s="2">
        <v>1.1610000000000001E-2</v>
      </c>
      <c r="D225" s="3">
        <v>129000</v>
      </c>
      <c r="E225" s="3">
        <v>138000000000</v>
      </c>
      <c r="F225" s="3">
        <v>122000000000</v>
      </c>
      <c r="G225" s="2">
        <v>0</v>
      </c>
      <c r="H225" s="3">
        <v>15200000000</v>
      </c>
      <c r="I225" s="2"/>
      <c r="J225" s="7">
        <f t="shared" si="83"/>
        <v>0.157</v>
      </c>
      <c r="K225" s="7">
        <f t="shared" si="84"/>
        <v>11.610000000000001</v>
      </c>
      <c r="L225" s="7">
        <f t="shared" si="85"/>
        <v>138</v>
      </c>
      <c r="M225" s="7">
        <f t="shared" si="86"/>
        <v>129</v>
      </c>
      <c r="O225">
        <f t="shared" si="87"/>
        <v>8.9499999999999996E-2</v>
      </c>
      <c r="P225">
        <f t="shared" si="88"/>
        <v>89.5</v>
      </c>
      <c r="V225">
        <f t="shared" si="72"/>
        <v>468.09728817657498</v>
      </c>
      <c r="W225">
        <f t="shared" si="73"/>
        <v>137.79186854778231</v>
      </c>
      <c r="AE225">
        <f t="shared" si="74"/>
        <v>0.46965014508143649</v>
      </c>
      <c r="AF225">
        <f t="shared" si="75"/>
        <v>0.45872202802901374</v>
      </c>
      <c r="AG225">
        <f t="shared" si="76"/>
        <v>0.46129047960580122</v>
      </c>
      <c r="AI225">
        <f t="shared" si="77"/>
        <v>0.13928807933259243</v>
      </c>
      <c r="AJ225">
        <f t="shared" si="78"/>
        <v>16.754589517426652</v>
      </c>
      <c r="AL225">
        <f t="shared" si="79"/>
        <v>0.14260633383520252</v>
      </c>
      <c r="AM225">
        <f t="shared" si="80"/>
        <v>17.562386178205749</v>
      </c>
      <c r="AO225">
        <f t="shared" si="81"/>
        <v>0.14181230603885192</v>
      </c>
      <c r="AP225">
        <f t="shared" si="82"/>
        <v>17.367356971759104</v>
      </c>
    </row>
    <row r="226" spans="1:42" x14ac:dyDescent="0.2">
      <c r="A226" s="3">
        <v>220</v>
      </c>
      <c r="B226" s="3">
        <v>1.5699999999999999E-7</v>
      </c>
      <c r="C226" s="2">
        <v>1.166E-2</v>
      </c>
      <c r="D226" s="3">
        <v>133000</v>
      </c>
      <c r="E226" s="3">
        <v>141000000000</v>
      </c>
      <c r="F226" s="3">
        <v>124000000000</v>
      </c>
      <c r="G226" s="2">
        <v>0</v>
      </c>
      <c r="H226" s="3">
        <v>14700000000</v>
      </c>
      <c r="I226" s="2"/>
      <c r="J226" s="7">
        <f t="shared" si="83"/>
        <v>0.157</v>
      </c>
      <c r="K226" s="7">
        <f t="shared" si="84"/>
        <v>11.66</v>
      </c>
      <c r="L226" s="7">
        <f t="shared" si="85"/>
        <v>141</v>
      </c>
      <c r="M226" s="7">
        <f t="shared" si="86"/>
        <v>133</v>
      </c>
      <c r="O226">
        <f t="shared" si="87"/>
        <v>9.1248120300751884E-2</v>
      </c>
      <c r="P226">
        <f t="shared" si="88"/>
        <v>91.248120300751879</v>
      </c>
      <c r="V226">
        <f t="shared" si="72"/>
        <v>472.12596780496932</v>
      </c>
      <c r="W226">
        <f t="shared" si="73"/>
        <v>140.85223972994959</v>
      </c>
      <c r="AE226">
        <f t="shared" si="74"/>
        <v>0.48421294027776013</v>
      </c>
      <c r="AF226">
        <f t="shared" si="75"/>
        <v>0.47294596688262658</v>
      </c>
      <c r="AG226">
        <f t="shared" si="76"/>
        <v>0.47559406036877178</v>
      </c>
      <c r="AI226">
        <f t="shared" si="77"/>
        <v>0.13509896416469491</v>
      </c>
      <c r="AJ226">
        <f t="shared" si="78"/>
        <v>15.829830388466229</v>
      </c>
      <c r="AL226">
        <f t="shared" si="79"/>
        <v>0.13831742153940699</v>
      </c>
      <c r="AM226">
        <f t="shared" si="80"/>
        <v>16.593041215875775</v>
      </c>
      <c r="AO226">
        <f t="shared" si="81"/>
        <v>0.13754727427828498</v>
      </c>
      <c r="AP226">
        <f t="shared" si="82"/>
        <v>16.408776524960107</v>
      </c>
    </row>
    <row r="227" spans="1:42" x14ac:dyDescent="0.2">
      <c r="A227" s="3">
        <v>230</v>
      </c>
      <c r="B227" s="3">
        <v>1.5800000000000001E-7</v>
      </c>
      <c r="C227" s="2">
        <v>1.171E-2</v>
      </c>
      <c r="D227" s="3">
        <v>113000</v>
      </c>
      <c r="E227" s="3">
        <v>127000000000</v>
      </c>
      <c r="F227" s="3">
        <v>114000000000</v>
      </c>
      <c r="G227" s="3">
        <v>12300000000</v>
      </c>
      <c r="H227" s="3">
        <v>17200000000</v>
      </c>
      <c r="I227" s="2"/>
      <c r="J227" s="7">
        <f t="shared" si="83"/>
        <v>0.158</v>
      </c>
      <c r="K227" s="7">
        <f t="shared" si="84"/>
        <v>11.709999999999999</v>
      </c>
      <c r="L227" s="7">
        <f t="shared" si="85"/>
        <v>127.00000000000001</v>
      </c>
      <c r="M227" s="7">
        <f t="shared" si="86"/>
        <v>113</v>
      </c>
      <c r="O227">
        <f t="shared" si="87"/>
        <v>8.027876106194691E-2</v>
      </c>
      <c r="P227">
        <f t="shared" si="88"/>
        <v>80.278761061946909</v>
      </c>
      <c r="V227">
        <f t="shared" si="72"/>
        <v>446.082996145099</v>
      </c>
      <c r="W227">
        <f t="shared" si="73"/>
        <v>126.6580445528169</v>
      </c>
      <c r="AE227">
        <f t="shared" si="74"/>
        <v>0.41139896429614203</v>
      </c>
      <c r="AF227">
        <f t="shared" si="75"/>
        <v>0.40182627261456239</v>
      </c>
      <c r="AG227">
        <f t="shared" si="76"/>
        <v>0.40407615655391887</v>
      </c>
      <c r="AI227">
        <f t="shared" si="77"/>
        <v>0.16002308962047793</v>
      </c>
      <c r="AJ227">
        <f t="shared" si="78"/>
        <v>22.023229330696324</v>
      </c>
      <c r="AL227">
        <f t="shared" si="79"/>
        <v>0.16383531346762295</v>
      </c>
      <c r="AM227">
        <f t="shared" si="80"/>
        <v>23.085045324123374</v>
      </c>
      <c r="AO227">
        <f t="shared" si="81"/>
        <v>0.16292308334839525</v>
      </c>
      <c r="AP227">
        <f t="shared" si="82"/>
        <v>22.828687331270689</v>
      </c>
    </row>
    <row r="228" spans="1:42" x14ac:dyDescent="0.2">
      <c r="A228" s="3">
        <v>230</v>
      </c>
      <c r="B228" s="3">
        <v>1.5900000000000001E-7</v>
      </c>
      <c r="C228" s="2">
        <v>1.1769999999999999E-2</v>
      </c>
      <c r="D228" s="3">
        <v>116000</v>
      </c>
      <c r="E228" s="3">
        <v>129000000000</v>
      </c>
      <c r="F228" s="3">
        <v>115000000000</v>
      </c>
      <c r="G228" s="3">
        <v>3590000000</v>
      </c>
      <c r="H228" s="3">
        <v>16700000000</v>
      </c>
      <c r="I228" s="2"/>
      <c r="J228" s="7">
        <f t="shared" si="83"/>
        <v>0.159</v>
      </c>
      <c r="K228" s="7">
        <f t="shared" si="84"/>
        <v>11.77</v>
      </c>
      <c r="L228" s="7">
        <f t="shared" si="85"/>
        <v>129</v>
      </c>
      <c r="M228" s="7">
        <f t="shared" si="86"/>
        <v>116</v>
      </c>
      <c r="O228">
        <f t="shared" si="87"/>
        <v>8.290086206896552E-2</v>
      </c>
      <c r="P228">
        <f t="shared" si="88"/>
        <v>82.900862068965523</v>
      </c>
      <c r="V228">
        <f t="shared" si="72"/>
        <v>452.48013036852734</v>
      </c>
      <c r="W228">
        <f t="shared" si="73"/>
        <v>128.18242417133604</v>
      </c>
      <c r="AE228">
        <f t="shared" si="74"/>
        <v>0.42232106069338476</v>
      </c>
      <c r="AF228">
        <f t="shared" si="75"/>
        <v>0.41249422675477204</v>
      </c>
      <c r="AG228">
        <f t="shared" si="76"/>
        <v>0.41480384212614679</v>
      </c>
      <c r="AI228">
        <f t="shared" si="77"/>
        <v>0.15687117258899647</v>
      </c>
      <c r="AJ228">
        <f t="shared" si="78"/>
        <v>21.005908889875155</v>
      </c>
      <c r="AL228">
        <f t="shared" si="79"/>
        <v>0.16060830843915219</v>
      </c>
      <c r="AM228">
        <f t="shared" si="80"/>
        <v>22.018676349216488</v>
      </c>
      <c r="AO228">
        <f t="shared" si="81"/>
        <v>0.15971404618728818</v>
      </c>
      <c r="AP228">
        <f t="shared" si="82"/>
        <v>21.774160317521307</v>
      </c>
    </row>
    <row r="229" spans="1:42" x14ac:dyDescent="0.2">
      <c r="A229" s="3">
        <v>230</v>
      </c>
      <c r="B229" s="3">
        <v>1.5900000000000001E-7</v>
      </c>
      <c r="C229" s="2">
        <v>1.1820000000000001E-2</v>
      </c>
      <c r="D229" s="3">
        <v>121000</v>
      </c>
      <c r="E229" s="3">
        <v>132000000000</v>
      </c>
      <c r="F229" s="3">
        <v>118000000000</v>
      </c>
      <c r="G229" s="3">
        <v>8200000000</v>
      </c>
      <c r="H229" s="3">
        <v>16100000000</v>
      </c>
      <c r="I229" s="2"/>
      <c r="J229" s="7">
        <f t="shared" si="83"/>
        <v>0.159</v>
      </c>
      <c r="K229" s="7">
        <f t="shared" si="84"/>
        <v>11.82</v>
      </c>
      <c r="L229" s="7">
        <f t="shared" si="85"/>
        <v>132</v>
      </c>
      <c r="M229" s="7">
        <f t="shared" si="86"/>
        <v>121</v>
      </c>
      <c r="O229">
        <f t="shared" si="87"/>
        <v>8.5735537190082645E-2</v>
      </c>
      <c r="P229">
        <f t="shared" si="88"/>
        <v>85.735537190082638</v>
      </c>
      <c r="V229">
        <f t="shared" si="72"/>
        <v>459.27035571539568</v>
      </c>
      <c r="W229">
        <f t="shared" si="73"/>
        <v>131.730688138494</v>
      </c>
      <c r="AE229">
        <f t="shared" si="74"/>
        <v>0.44052455468878926</v>
      </c>
      <c r="AF229">
        <f t="shared" si="75"/>
        <v>0.43027415032178806</v>
      </c>
      <c r="AG229">
        <f t="shared" si="76"/>
        <v>0.43268331807986005</v>
      </c>
      <c r="AI229">
        <f t="shared" si="77"/>
        <v>0.15038889272994702</v>
      </c>
      <c r="AJ229">
        <f t="shared" si="78"/>
        <v>19.387764196724426</v>
      </c>
      <c r="AL229">
        <f t="shared" si="79"/>
        <v>0.15397160147885663</v>
      </c>
      <c r="AM229">
        <f t="shared" si="80"/>
        <v>20.322515308459927</v>
      </c>
      <c r="AO229">
        <f t="shared" si="81"/>
        <v>0.15311429221260683</v>
      </c>
      <c r="AP229">
        <f t="shared" si="82"/>
        <v>20.09683503965185</v>
      </c>
    </row>
    <row r="230" spans="1:42" x14ac:dyDescent="0.2">
      <c r="A230" s="3">
        <v>230</v>
      </c>
      <c r="B230" s="3">
        <v>1.5900000000000001E-7</v>
      </c>
      <c r="C230" s="2">
        <v>1.187E-2</v>
      </c>
      <c r="D230" s="3">
        <v>110000</v>
      </c>
      <c r="E230" s="3">
        <v>125000000000</v>
      </c>
      <c r="F230" s="3">
        <v>112000000000</v>
      </c>
      <c r="G230" s="2">
        <v>0</v>
      </c>
      <c r="H230" s="3">
        <v>17900000000</v>
      </c>
      <c r="I230" s="2"/>
      <c r="J230" s="7">
        <f t="shared" si="83"/>
        <v>0.159</v>
      </c>
      <c r="K230" s="7">
        <f t="shared" si="84"/>
        <v>11.870000000000001</v>
      </c>
      <c r="L230" s="7">
        <f t="shared" si="85"/>
        <v>125.00000000000001</v>
      </c>
      <c r="M230" s="7">
        <f t="shared" si="86"/>
        <v>110</v>
      </c>
      <c r="O230">
        <f t="shared" si="87"/>
        <v>7.8068181818181814E-2</v>
      </c>
      <c r="P230">
        <f t="shared" si="88"/>
        <v>78.068181818181813</v>
      </c>
      <c r="V230">
        <f t="shared" si="72"/>
        <v>440.5988347823681</v>
      </c>
      <c r="W230">
        <f t="shared" si="73"/>
        <v>124.83010770368244</v>
      </c>
      <c r="AE230">
        <f t="shared" si="74"/>
        <v>0.40047686789889936</v>
      </c>
      <c r="AF230">
        <f t="shared" si="75"/>
        <v>0.39115831847435278</v>
      </c>
      <c r="AG230">
        <f t="shared" si="76"/>
        <v>0.39334847098169096</v>
      </c>
      <c r="AI230">
        <f t="shared" si="77"/>
        <v>0.1654277820029417</v>
      </c>
      <c r="AJ230">
        <f t="shared" si="78"/>
        <v>23.558429850109469</v>
      </c>
      <c r="AL230">
        <f t="shared" si="79"/>
        <v>0.16936876162674228</v>
      </c>
      <c r="AM230">
        <f t="shared" si="80"/>
        <v>24.694263165889797</v>
      </c>
      <c r="AO230">
        <f t="shared" si="81"/>
        <v>0.16842572143386753</v>
      </c>
      <c r="AP230">
        <f t="shared" si="82"/>
        <v>24.420034908968503</v>
      </c>
    </row>
    <row r="231" spans="1:42" x14ac:dyDescent="0.2">
      <c r="A231" s="3">
        <v>230</v>
      </c>
      <c r="B231" s="3">
        <v>1.6E-7</v>
      </c>
      <c r="C231" s="2">
        <v>1.192E-2</v>
      </c>
      <c r="D231" s="3">
        <v>110000</v>
      </c>
      <c r="E231" s="3">
        <v>125000000000</v>
      </c>
      <c r="F231" s="3">
        <v>112000000000</v>
      </c>
      <c r="G231" s="3">
        <v>1590000000</v>
      </c>
      <c r="H231" s="3">
        <v>17700000000</v>
      </c>
      <c r="I231" s="2"/>
      <c r="J231" s="7">
        <f t="shared" si="83"/>
        <v>0.16</v>
      </c>
      <c r="K231" s="7">
        <f t="shared" si="84"/>
        <v>11.92</v>
      </c>
      <c r="L231" s="7">
        <f t="shared" si="85"/>
        <v>125.00000000000001</v>
      </c>
      <c r="M231" s="7">
        <f t="shared" si="86"/>
        <v>110</v>
      </c>
      <c r="O231">
        <f t="shared" si="87"/>
        <v>7.8727272727272729E-2</v>
      </c>
      <c r="P231">
        <f t="shared" si="88"/>
        <v>78.727272727272734</v>
      </c>
      <c r="V231">
        <f t="shared" si="72"/>
        <v>442.24290400399525</v>
      </c>
      <c r="W231">
        <f t="shared" si="73"/>
        <v>124.36604296426003</v>
      </c>
      <c r="AE231">
        <f t="shared" si="74"/>
        <v>0.40047686789889936</v>
      </c>
      <c r="AF231">
        <f t="shared" si="75"/>
        <v>0.39115831847435278</v>
      </c>
      <c r="AG231">
        <f t="shared" si="76"/>
        <v>0.39334847098169096</v>
      </c>
      <c r="AI231">
        <f t="shared" si="77"/>
        <v>0.16646820830484699</v>
      </c>
      <c r="AJ231">
        <f t="shared" si="78"/>
        <v>23.657665022182378</v>
      </c>
      <c r="AL231">
        <f t="shared" si="79"/>
        <v>0.17043397396401741</v>
      </c>
      <c r="AM231">
        <f t="shared" si="80"/>
        <v>24.798282808543082</v>
      </c>
      <c r="AO231">
        <f t="shared" si="81"/>
        <v>0.16948500270074718</v>
      </c>
      <c r="AP231">
        <f t="shared" si="82"/>
        <v>24.522899419958257</v>
      </c>
    </row>
    <row r="232" spans="1:42" x14ac:dyDescent="0.2">
      <c r="A232" s="3">
        <v>230</v>
      </c>
      <c r="B232" s="3">
        <v>1.6E-7</v>
      </c>
      <c r="C232" s="2">
        <v>1.197E-2</v>
      </c>
      <c r="D232" s="3">
        <v>115000</v>
      </c>
      <c r="E232" s="3">
        <v>128000000000</v>
      </c>
      <c r="F232" s="3">
        <v>114000000000</v>
      </c>
      <c r="G232" s="3">
        <v>5840000000</v>
      </c>
      <c r="H232" s="3">
        <v>17000000000</v>
      </c>
      <c r="I232" s="2"/>
      <c r="J232" s="7">
        <f t="shared" si="83"/>
        <v>0.16</v>
      </c>
      <c r="K232" s="7">
        <f t="shared" si="84"/>
        <v>11.969999999999999</v>
      </c>
      <c r="L232" s="7">
        <f t="shared" si="85"/>
        <v>128</v>
      </c>
      <c r="M232" s="7">
        <f t="shared" si="86"/>
        <v>115</v>
      </c>
      <c r="O232">
        <f t="shared" si="87"/>
        <v>8.1934782608695661E-2</v>
      </c>
      <c r="P232">
        <f t="shared" si="88"/>
        <v>81.934782608695656</v>
      </c>
      <c r="V232">
        <f t="shared" si="72"/>
        <v>450.13648244642349</v>
      </c>
      <c r="W232">
        <f t="shared" si="73"/>
        <v>127.73903525325525</v>
      </c>
      <c r="AE232">
        <f t="shared" si="74"/>
        <v>0.41868036189430385</v>
      </c>
      <c r="AF232">
        <f t="shared" si="75"/>
        <v>0.4089382420413688</v>
      </c>
      <c r="AG232">
        <f t="shared" si="76"/>
        <v>0.41122794693540415</v>
      </c>
      <c r="AI232">
        <f t="shared" si="77"/>
        <v>0.15923046011767975</v>
      </c>
      <c r="AJ232">
        <f t="shared" si="78"/>
        <v>21.735991860150399</v>
      </c>
      <c r="AL232">
        <f t="shared" si="79"/>
        <v>0.16302380118297319</v>
      </c>
      <c r="AM232">
        <f t="shared" si="80"/>
        <v>22.783959142493462</v>
      </c>
      <c r="AO232">
        <f t="shared" si="81"/>
        <v>0.16211608953984516</v>
      </c>
      <c r="AP232">
        <f t="shared" si="82"/>
        <v>22.530944692965669</v>
      </c>
    </row>
    <row r="233" spans="1:42" x14ac:dyDescent="0.2">
      <c r="A233" s="3">
        <v>230</v>
      </c>
      <c r="B233" s="3">
        <v>1.61E-7</v>
      </c>
      <c r="C233" s="2">
        <v>1.2019999999999999E-2</v>
      </c>
      <c r="D233" s="3">
        <v>121000</v>
      </c>
      <c r="E233" s="3">
        <v>131000000000</v>
      </c>
      <c r="F233" s="3">
        <v>117000000000</v>
      </c>
      <c r="G233" s="2">
        <v>0</v>
      </c>
      <c r="H233" s="3">
        <v>16100000000</v>
      </c>
      <c r="I233" s="2"/>
      <c r="J233" s="7">
        <f t="shared" si="83"/>
        <v>0.161</v>
      </c>
      <c r="K233" s="7">
        <f t="shared" si="84"/>
        <v>12.02</v>
      </c>
      <c r="L233" s="7">
        <f t="shared" si="85"/>
        <v>131</v>
      </c>
      <c r="M233" s="7">
        <f t="shared" si="86"/>
        <v>121</v>
      </c>
      <c r="O233">
        <f t="shared" si="87"/>
        <v>8.6495867768595053E-2</v>
      </c>
      <c r="P233">
        <f t="shared" si="88"/>
        <v>86.495867768595048</v>
      </c>
      <c r="V233">
        <f t="shared" si="72"/>
        <v>461.07032183517981</v>
      </c>
      <c r="W233">
        <f t="shared" si="73"/>
        <v>131.21642650777056</v>
      </c>
      <c r="AE233">
        <f t="shared" si="74"/>
        <v>0.44052455468878926</v>
      </c>
      <c r="AF233">
        <f t="shared" si="75"/>
        <v>0.43027415032178806</v>
      </c>
      <c r="AG233">
        <f t="shared" si="76"/>
        <v>0.43268331807986005</v>
      </c>
      <c r="AI233">
        <f t="shared" si="77"/>
        <v>0.15228057691522937</v>
      </c>
      <c r="AJ233">
        <f t="shared" si="78"/>
        <v>19.715814352337361</v>
      </c>
      <c r="AL233">
        <f t="shared" si="79"/>
        <v>0.1559083511829932</v>
      </c>
      <c r="AM233">
        <f t="shared" si="80"/>
        <v>20.666381895743513</v>
      </c>
      <c r="AO233">
        <f t="shared" si="81"/>
        <v>0.15504025815238806</v>
      </c>
      <c r="AP233">
        <f t="shared" si="82"/>
        <v>20.436883009865927</v>
      </c>
    </row>
    <row r="234" spans="1:42" x14ac:dyDescent="0.2">
      <c r="A234" s="3">
        <v>230</v>
      </c>
      <c r="B234" s="3">
        <v>1.61E-7</v>
      </c>
      <c r="C234" s="2">
        <v>1.208E-2</v>
      </c>
      <c r="D234" s="3">
        <v>117000</v>
      </c>
      <c r="E234" s="3">
        <v>128000000000</v>
      </c>
      <c r="F234" s="3">
        <v>115000000000</v>
      </c>
      <c r="G234" s="2">
        <v>0</v>
      </c>
      <c r="H234" s="3">
        <v>16800000000</v>
      </c>
      <c r="I234" s="2"/>
      <c r="J234" s="7">
        <f t="shared" si="83"/>
        <v>0.161</v>
      </c>
      <c r="K234" s="7">
        <f t="shared" si="84"/>
        <v>12.08</v>
      </c>
      <c r="L234" s="7">
        <f t="shared" si="85"/>
        <v>128</v>
      </c>
      <c r="M234" s="7">
        <f t="shared" si="86"/>
        <v>117</v>
      </c>
      <c r="O234">
        <f t="shared" si="87"/>
        <v>8.3564102564102571E-2</v>
      </c>
      <c r="P234">
        <f t="shared" si="88"/>
        <v>83.564102564102569</v>
      </c>
      <c r="V234">
        <f t="shared" si="72"/>
        <v>454.08031515855612</v>
      </c>
      <c r="W234">
        <f t="shared" si="73"/>
        <v>128.8318344730996</v>
      </c>
      <c r="AE234">
        <f t="shared" si="74"/>
        <v>0.42596175949246567</v>
      </c>
      <c r="AF234">
        <f t="shared" si="75"/>
        <v>0.41605021146817522</v>
      </c>
      <c r="AG234">
        <f t="shared" si="76"/>
        <v>0.41837973731688949</v>
      </c>
      <c r="AI234">
        <f t="shared" si="77"/>
        <v>0.15748675048498079</v>
      </c>
      <c r="AJ234">
        <f t="shared" si="78"/>
        <v>21.192207804154428</v>
      </c>
      <c r="AL234">
        <f t="shared" si="79"/>
        <v>0.16123855122343742</v>
      </c>
      <c r="AM234">
        <f t="shared" si="80"/>
        <v>22.213957377960881</v>
      </c>
      <c r="AO234">
        <f t="shared" si="81"/>
        <v>0.16034077979862352</v>
      </c>
      <c r="AP234">
        <f t="shared" si="82"/>
        <v>21.967272762584436</v>
      </c>
    </row>
    <row r="235" spans="1:42" x14ac:dyDescent="0.2">
      <c r="A235" s="3">
        <v>230</v>
      </c>
      <c r="B235" s="3">
        <v>1.6199999999999999E-7</v>
      </c>
      <c r="C235" s="2">
        <v>1.213E-2</v>
      </c>
      <c r="D235" s="3">
        <v>134000</v>
      </c>
      <c r="E235" s="3">
        <v>139000000000</v>
      </c>
      <c r="F235" s="3">
        <v>123000000000</v>
      </c>
      <c r="G235" s="3">
        <v>2140000000</v>
      </c>
      <c r="H235" s="3">
        <v>14900000000</v>
      </c>
      <c r="I235" s="2"/>
      <c r="J235" s="7">
        <f t="shared" si="83"/>
        <v>0.16200000000000001</v>
      </c>
      <c r="K235" s="7">
        <f t="shared" si="84"/>
        <v>12.13</v>
      </c>
      <c r="L235" s="7">
        <f t="shared" si="85"/>
        <v>139</v>
      </c>
      <c r="M235" s="7">
        <f t="shared" si="86"/>
        <v>134</v>
      </c>
      <c r="O235">
        <f t="shared" si="87"/>
        <v>9.4108208955223871E-2</v>
      </c>
      <c r="P235">
        <f t="shared" si="88"/>
        <v>94.108208955223873</v>
      </c>
      <c r="V235">
        <f t="shared" si="72"/>
        <v>478.62562082270944</v>
      </c>
      <c r="W235">
        <f t="shared" si="73"/>
        <v>139.98414853938183</v>
      </c>
      <c r="AE235">
        <f t="shared" si="74"/>
        <v>0.48785363907684104</v>
      </c>
      <c r="AF235">
        <f t="shared" si="75"/>
        <v>0.47650195159602976</v>
      </c>
      <c r="AG235">
        <f t="shared" si="76"/>
        <v>0.47916995555951442</v>
      </c>
      <c r="AI235">
        <f t="shared" si="77"/>
        <v>0.13836116940262935</v>
      </c>
      <c r="AJ235">
        <f t="shared" si="78"/>
        <v>16.223038439137458</v>
      </c>
      <c r="AL235">
        <f t="shared" si="79"/>
        <v>0.14165734216598835</v>
      </c>
      <c r="AM235">
        <f t="shared" si="80"/>
        <v>17.005207185509647</v>
      </c>
      <c r="AO235">
        <f t="shared" si="81"/>
        <v>0.14086859832683371</v>
      </c>
      <c r="AP235">
        <f t="shared" si="82"/>
        <v>16.816365417130456</v>
      </c>
    </row>
    <row r="236" spans="1:42" x14ac:dyDescent="0.2">
      <c r="A236" s="3">
        <v>230</v>
      </c>
      <c r="B236" s="3">
        <v>1.6299999999999999E-7</v>
      </c>
      <c r="C236" s="2">
        <v>1.218E-2</v>
      </c>
      <c r="D236" s="3">
        <v>126000</v>
      </c>
      <c r="E236" s="3">
        <v>133000000000</v>
      </c>
      <c r="F236" s="3">
        <v>118000000000</v>
      </c>
      <c r="G236" s="2">
        <v>0</v>
      </c>
      <c r="H236" s="3">
        <v>15600000000</v>
      </c>
      <c r="I236" s="2"/>
      <c r="J236" s="7">
        <f t="shared" si="83"/>
        <v>0.16299999999999998</v>
      </c>
      <c r="K236" s="7">
        <f t="shared" si="84"/>
        <v>12.18</v>
      </c>
      <c r="L236" s="7">
        <f t="shared" si="85"/>
        <v>133</v>
      </c>
      <c r="M236" s="7">
        <f t="shared" si="86"/>
        <v>126</v>
      </c>
      <c r="O236">
        <f t="shared" si="87"/>
        <v>9.0499999999999983E-2</v>
      </c>
      <c r="P236">
        <f t="shared" si="88"/>
        <v>90.499999999999986</v>
      </c>
      <c r="V236">
        <f t="shared" si="72"/>
        <v>470.40717531806769</v>
      </c>
      <c r="W236">
        <f t="shared" si="73"/>
        <v>133.9265285598637</v>
      </c>
      <c r="AE236">
        <f t="shared" si="74"/>
        <v>0.45872804868419381</v>
      </c>
      <c r="AF236">
        <f t="shared" si="75"/>
        <v>0.44805407388880408</v>
      </c>
      <c r="AG236">
        <f t="shared" si="76"/>
        <v>0.45056279403357324</v>
      </c>
      <c r="AI236">
        <f t="shared" si="77"/>
        <v>0.14805431423144375</v>
      </c>
      <c r="AJ236">
        <f t="shared" si="78"/>
        <v>18.424138561050292</v>
      </c>
      <c r="AL236">
        <f t="shared" si="79"/>
        <v>0.15158140640748172</v>
      </c>
      <c r="AM236">
        <f t="shared" si="80"/>
        <v>19.312429950813552</v>
      </c>
      <c r="AO236">
        <f t="shared" si="81"/>
        <v>0.15073740567581334</v>
      </c>
      <c r="AP236">
        <f t="shared" si="82"/>
        <v>19.097966617093128</v>
      </c>
    </row>
    <row r="237" spans="1:42" x14ac:dyDescent="0.2">
      <c r="A237" s="3">
        <v>240</v>
      </c>
      <c r="B237" s="3">
        <v>1.6299999999999999E-7</v>
      </c>
      <c r="C237" s="2">
        <v>1.2239999999999999E-2</v>
      </c>
      <c r="D237" s="3">
        <v>116000</v>
      </c>
      <c r="E237" s="3">
        <v>127000000000</v>
      </c>
      <c r="F237" s="3">
        <v>114000000000</v>
      </c>
      <c r="G237" s="3">
        <v>851000000</v>
      </c>
      <c r="H237" s="3">
        <v>17000000000</v>
      </c>
      <c r="I237" s="2"/>
      <c r="J237" s="7">
        <f t="shared" si="83"/>
        <v>0.16299999999999998</v>
      </c>
      <c r="K237" s="7">
        <f t="shared" si="84"/>
        <v>12.239999999999998</v>
      </c>
      <c r="L237" s="7">
        <f t="shared" si="85"/>
        <v>127.00000000000001</v>
      </c>
      <c r="M237" s="7">
        <f t="shared" si="86"/>
        <v>116</v>
      </c>
      <c r="O237">
        <f t="shared" si="87"/>
        <v>8.3862068965517234E-2</v>
      </c>
      <c r="P237">
        <f t="shared" si="88"/>
        <v>83.862068965517238</v>
      </c>
      <c r="V237">
        <f t="shared" si="72"/>
        <v>454.79690866928462</v>
      </c>
      <c r="W237">
        <f t="shared" si="73"/>
        <v>127.52945082609598</v>
      </c>
      <c r="AE237">
        <f t="shared" si="74"/>
        <v>0.42232106069338476</v>
      </c>
      <c r="AF237">
        <f t="shared" si="75"/>
        <v>0.41249422675477204</v>
      </c>
      <c r="AG237">
        <f t="shared" si="76"/>
        <v>0.41480384212614679</v>
      </c>
      <c r="AI237">
        <f t="shared" si="77"/>
        <v>0.16081761718243032</v>
      </c>
      <c r="AJ237">
        <f t="shared" si="78"/>
        <v>21.844717486157336</v>
      </c>
      <c r="AL237">
        <f t="shared" si="79"/>
        <v>0.16464876902881637</v>
      </c>
      <c r="AM237">
        <f t="shared" si="80"/>
        <v>22.897926806661832</v>
      </c>
      <c r="AO237">
        <f t="shared" si="81"/>
        <v>0.16373200961338347</v>
      </c>
      <c r="AP237">
        <f t="shared" si="82"/>
        <v>22.643646753310176</v>
      </c>
    </row>
    <row r="238" spans="1:42" x14ac:dyDescent="0.2">
      <c r="A238" s="3">
        <v>240</v>
      </c>
      <c r="B238" s="3">
        <v>1.6400000000000001E-7</v>
      </c>
      <c r="C238" s="2">
        <v>1.2290000000000001E-2</v>
      </c>
      <c r="D238" s="3">
        <v>132000</v>
      </c>
      <c r="E238" s="3">
        <v>137000000000</v>
      </c>
      <c r="F238" s="3">
        <v>121000000000</v>
      </c>
      <c r="G238" s="3">
        <v>4780000000</v>
      </c>
      <c r="H238" s="3">
        <v>15100000000</v>
      </c>
      <c r="I238" s="2"/>
      <c r="J238" s="7">
        <f t="shared" si="83"/>
        <v>0.16400000000000001</v>
      </c>
      <c r="K238" s="7">
        <f t="shared" si="84"/>
        <v>12.290000000000001</v>
      </c>
      <c r="L238" s="7">
        <f t="shared" si="85"/>
        <v>137</v>
      </c>
      <c r="M238" s="7">
        <f t="shared" si="86"/>
        <v>132</v>
      </c>
      <c r="O238">
        <f t="shared" si="87"/>
        <v>9.4170454545454557E-2</v>
      </c>
      <c r="P238">
        <f t="shared" si="88"/>
        <v>94.170454545454561</v>
      </c>
      <c r="V238">
        <f t="shared" si="72"/>
        <v>478.7658441860051</v>
      </c>
      <c r="W238">
        <f t="shared" si="73"/>
        <v>137.85444555305071</v>
      </c>
      <c r="AE238">
        <f t="shared" si="74"/>
        <v>0.48057224147867922</v>
      </c>
      <c r="AF238">
        <f t="shared" si="75"/>
        <v>0.46938998216922334</v>
      </c>
      <c r="AG238">
        <f t="shared" si="76"/>
        <v>0.47201816517802914</v>
      </c>
      <c r="AI238">
        <f t="shared" si="77"/>
        <v>0.14219159459372346</v>
      </c>
      <c r="AJ238">
        <f t="shared" si="78"/>
        <v>16.938892566334676</v>
      </c>
      <c r="AL238">
        <f t="shared" si="79"/>
        <v>0.14557901942759821</v>
      </c>
      <c r="AM238">
        <f t="shared" si="80"/>
        <v>17.755575114012078</v>
      </c>
      <c r="AO238">
        <f t="shared" si="81"/>
        <v>0.14476843980688825</v>
      </c>
      <c r="AP238">
        <f t="shared" si="82"/>
        <v>17.558400556446156</v>
      </c>
    </row>
    <row r="239" spans="1:42" x14ac:dyDescent="0.2">
      <c r="A239" s="3">
        <v>240</v>
      </c>
      <c r="B239" s="3">
        <v>1.6500000000000001E-7</v>
      </c>
      <c r="C239" s="2">
        <v>1.234E-2</v>
      </c>
      <c r="D239" s="3">
        <v>121000</v>
      </c>
      <c r="E239" s="3">
        <v>129000000000</v>
      </c>
      <c r="F239" s="3">
        <v>115000000000</v>
      </c>
      <c r="G239" s="2">
        <v>0</v>
      </c>
      <c r="H239" s="3">
        <v>16300000000</v>
      </c>
      <c r="I239" s="2"/>
      <c r="J239" s="7">
        <f t="shared" si="83"/>
        <v>0.16500000000000001</v>
      </c>
      <c r="K239" s="7">
        <f t="shared" si="84"/>
        <v>12.34</v>
      </c>
      <c r="L239" s="7">
        <f t="shared" si="85"/>
        <v>129</v>
      </c>
      <c r="M239" s="7">
        <f t="shared" si="86"/>
        <v>121</v>
      </c>
      <c r="O239">
        <f t="shared" si="87"/>
        <v>8.8512396694214887E-2</v>
      </c>
      <c r="P239">
        <f t="shared" si="88"/>
        <v>88.512396694214885</v>
      </c>
      <c r="V239">
        <f t="shared" si="72"/>
        <v>465.80188387051328</v>
      </c>
      <c r="W239">
        <f t="shared" si="73"/>
        <v>129.883545118547</v>
      </c>
      <c r="AE239">
        <f t="shared" si="74"/>
        <v>0.44052455468878926</v>
      </c>
      <c r="AF239">
        <f t="shared" si="75"/>
        <v>0.43027415032178806</v>
      </c>
      <c r="AG239">
        <f t="shared" si="76"/>
        <v>0.43268331807986005</v>
      </c>
      <c r="AI239">
        <f t="shared" si="77"/>
        <v>0.15606394528579406</v>
      </c>
      <c r="AJ239">
        <f t="shared" si="78"/>
        <v>20.240694601318058</v>
      </c>
      <c r="AL239">
        <f t="shared" si="79"/>
        <v>0.15978185059126634</v>
      </c>
      <c r="AM239">
        <f t="shared" si="80"/>
        <v>21.216568435397249</v>
      </c>
      <c r="AO239">
        <f t="shared" si="81"/>
        <v>0.15889219003195049</v>
      </c>
      <c r="AP239">
        <f t="shared" si="82"/>
        <v>20.980959762208446</v>
      </c>
    </row>
    <row r="240" spans="1:42" x14ac:dyDescent="0.2">
      <c r="A240" s="3">
        <v>240</v>
      </c>
      <c r="B240" s="3">
        <v>1.6500000000000001E-7</v>
      </c>
      <c r="C240" s="2">
        <v>1.239E-2</v>
      </c>
      <c r="D240" s="3">
        <v>130000</v>
      </c>
      <c r="E240" s="3">
        <v>135000000000</v>
      </c>
      <c r="F240" s="3">
        <v>120000000000</v>
      </c>
      <c r="G240" s="3">
        <v>10000000000</v>
      </c>
      <c r="H240" s="3">
        <v>15300000000</v>
      </c>
      <c r="I240" s="2"/>
      <c r="J240" s="7">
        <f t="shared" si="83"/>
        <v>0.16500000000000001</v>
      </c>
      <c r="K240" s="7">
        <f t="shared" si="84"/>
        <v>12.39</v>
      </c>
      <c r="L240" s="7">
        <f t="shared" si="85"/>
        <v>135</v>
      </c>
      <c r="M240" s="7">
        <f t="shared" si="86"/>
        <v>130</v>
      </c>
      <c r="O240">
        <f t="shared" si="87"/>
        <v>9.3519230769230771E-2</v>
      </c>
      <c r="P240">
        <f t="shared" si="88"/>
        <v>93.519230769230774</v>
      </c>
      <c r="V240">
        <f t="shared" si="72"/>
        <v>477.29623901873771</v>
      </c>
      <c r="W240">
        <f t="shared" si="73"/>
        <v>136.18376740959033</v>
      </c>
      <c r="AE240">
        <f t="shared" si="74"/>
        <v>0.4732908438805174</v>
      </c>
      <c r="AF240">
        <f t="shared" si="75"/>
        <v>0.46227801274241692</v>
      </c>
      <c r="AG240">
        <f t="shared" si="76"/>
        <v>0.46486637479654386</v>
      </c>
      <c r="AI240">
        <f t="shared" si="77"/>
        <v>0.14525951830446984</v>
      </c>
      <c r="AJ240">
        <f t="shared" si="78"/>
        <v>17.606198534910057</v>
      </c>
      <c r="AL240">
        <f t="shared" si="79"/>
        <v>0.14872003016571711</v>
      </c>
      <c r="AM240">
        <f t="shared" si="80"/>
        <v>18.45505420939384</v>
      </c>
      <c r="AO240">
        <f t="shared" si="81"/>
        <v>0.14789196149127698</v>
      </c>
      <c r="AP240">
        <f t="shared" si="82"/>
        <v>18.25011197996864</v>
      </c>
    </row>
    <row r="241" spans="1:42" x14ac:dyDescent="0.2">
      <c r="A241" s="3">
        <v>240</v>
      </c>
      <c r="B241" s="3">
        <v>1.66E-7</v>
      </c>
      <c r="C241" s="2">
        <v>1.244E-2</v>
      </c>
      <c r="D241" s="3">
        <v>119000</v>
      </c>
      <c r="E241" s="3">
        <v>128000000000</v>
      </c>
      <c r="F241" s="3">
        <v>114000000000</v>
      </c>
      <c r="G241" s="3">
        <v>4960000000</v>
      </c>
      <c r="H241" s="3">
        <v>16700000000</v>
      </c>
      <c r="I241" s="2"/>
      <c r="J241" s="7">
        <f t="shared" si="83"/>
        <v>0.16600000000000001</v>
      </c>
      <c r="K241" s="7">
        <f t="shared" si="84"/>
        <v>12.44</v>
      </c>
      <c r="L241" s="7">
        <f t="shared" si="85"/>
        <v>128</v>
      </c>
      <c r="M241" s="7">
        <f t="shared" si="86"/>
        <v>119</v>
      </c>
      <c r="O241">
        <f t="shared" si="87"/>
        <v>8.7596638655462203E-2</v>
      </c>
      <c r="P241">
        <f t="shared" si="88"/>
        <v>87.596638655462201</v>
      </c>
      <c r="V241">
        <f t="shared" si="72"/>
        <v>463.66068264181143</v>
      </c>
      <c r="W241">
        <f t="shared" si="73"/>
        <v>128.3266022492684</v>
      </c>
      <c r="AE241">
        <f t="shared" si="74"/>
        <v>0.4332431570906275</v>
      </c>
      <c r="AF241">
        <f t="shared" si="75"/>
        <v>0.42316218089498164</v>
      </c>
      <c r="AG241">
        <f t="shared" si="76"/>
        <v>0.42553152769837477</v>
      </c>
      <c r="AI241">
        <f t="shared" si="77"/>
        <v>0.15964860733437533</v>
      </c>
      <c r="AJ241">
        <f t="shared" si="78"/>
        <v>21.096356247585771</v>
      </c>
      <c r="AL241">
        <f t="shared" si="79"/>
        <v>0.16345190990456709</v>
      </c>
      <c r="AM241">
        <f t="shared" si="80"/>
        <v>22.113484486608336</v>
      </c>
      <c r="AO241">
        <f t="shared" si="81"/>
        <v>0.16254181456489727</v>
      </c>
      <c r="AP241">
        <f t="shared" si="82"/>
        <v>21.867915616442762</v>
      </c>
    </row>
    <row r="242" spans="1:42" x14ac:dyDescent="0.2">
      <c r="A242" s="3">
        <v>240</v>
      </c>
      <c r="B242" s="3">
        <v>1.66E-7</v>
      </c>
      <c r="C242" s="2">
        <v>1.2500000000000001E-2</v>
      </c>
      <c r="D242" s="3">
        <v>123000</v>
      </c>
      <c r="E242" s="3">
        <v>131000000000</v>
      </c>
      <c r="F242" s="3">
        <v>116000000000</v>
      </c>
      <c r="G242" s="3">
        <v>2630000000</v>
      </c>
      <c r="H242" s="3">
        <v>16100000000</v>
      </c>
      <c r="I242" s="2"/>
      <c r="J242" s="7">
        <f t="shared" si="83"/>
        <v>0.16600000000000001</v>
      </c>
      <c r="K242" s="7">
        <f t="shared" si="84"/>
        <v>12.5</v>
      </c>
      <c r="L242" s="7">
        <f t="shared" si="85"/>
        <v>131</v>
      </c>
      <c r="M242" s="7">
        <f t="shared" si="86"/>
        <v>123</v>
      </c>
      <c r="O242">
        <f t="shared" si="87"/>
        <v>8.9780487804878059E-2</v>
      </c>
      <c r="P242">
        <f t="shared" si="88"/>
        <v>89.780487804878064</v>
      </c>
      <c r="V242">
        <f t="shared" si="72"/>
        <v>468.74662766822206</v>
      </c>
      <c r="W242">
        <f t="shared" si="73"/>
        <v>131.20094389997314</v>
      </c>
      <c r="AE242">
        <f t="shared" si="74"/>
        <v>0.44780595228695108</v>
      </c>
      <c r="AF242">
        <f t="shared" si="75"/>
        <v>0.43738611974859448</v>
      </c>
      <c r="AG242">
        <f t="shared" si="76"/>
        <v>0.43983510846134533</v>
      </c>
      <c r="AI242">
        <f t="shared" si="77"/>
        <v>0.15445678270561516</v>
      </c>
      <c r="AJ242">
        <f t="shared" si="78"/>
        <v>19.841786999838778</v>
      </c>
      <c r="AL242">
        <f t="shared" si="79"/>
        <v>0.15813640063937795</v>
      </c>
      <c r="AM242">
        <f t="shared" si="80"/>
        <v>20.79842811991449</v>
      </c>
      <c r="AO242">
        <f t="shared" si="81"/>
        <v>0.15725590189612013</v>
      </c>
      <c r="AP242">
        <f t="shared" si="82"/>
        <v>20.56746286892837</v>
      </c>
    </row>
    <row r="243" spans="1:42" x14ac:dyDescent="0.2">
      <c r="A243" s="3">
        <v>240</v>
      </c>
      <c r="B243" s="3">
        <v>1.66E-7</v>
      </c>
      <c r="C243" s="2">
        <v>1.255E-2</v>
      </c>
      <c r="D243" s="3">
        <v>119000</v>
      </c>
      <c r="E243" s="3">
        <v>127000000000</v>
      </c>
      <c r="F243" s="3">
        <v>114000000000</v>
      </c>
      <c r="G243" s="3">
        <v>4930000000</v>
      </c>
      <c r="H243" s="3">
        <v>16800000000</v>
      </c>
      <c r="I243" s="2"/>
      <c r="J243" s="7">
        <f t="shared" si="83"/>
        <v>0.16600000000000001</v>
      </c>
      <c r="K243" s="7">
        <f t="shared" si="84"/>
        <v>12.55</v>
      </c>
      <c r="L243" s="7">
        <f t="shared" si="85"/>
        <v>127.00000000000001</v>
      </c>
      <c r="M243" s="7">
        <f t="shared" si="86"/>
        <v>119</v>
      </c>
      <c r="O243">
        <f t="shared" si="87"/>
        <v>8.6903361344537827E-2</v>
      </c>
      <c r="P243">
        <f t="shared" si="88"/>
        <v>86.903361344537828</v>
      </c>
      <c r="V243">
        <f t="shared" si="72"/>
        <v>462.03137436993308</v>
      </c>
      <c r="W243">
        <f t="shared" si="73"/>
        <v>128.77913341088464</v>
      </c>
      <c r="AE243">
        <f t="shared" si="74"/>
        <v>0.4332431570906275</v>
      </c>
      <c r="AF243">
        <f t="shared" si="75"/>
        <v>0.42316218089498164</v>
      </c>
      <c r="AG243">
        <f t="shared" si="76"/>
        <v>0.42553152769837477</v>
      </c>
      <c r="AI243">
        <f t="shared" si="77"/>
        <v>0.15964860733437533</v>
      </c>
      <c r="AJ243">
        <f t="shared" si="78"/>
        <v>21.282899590611049</v>
      </c>
      <c r="AL243">
        <f t="shared" si="79"/>
        <v>0.16345190990456709</v>
      </c>
      <c r="AM243">
        <f t="shared" si="80"/>
        <v>22.309021728853267</v>
      </c>
      <c r="AO243">
        <f t="shared" si="81"/>
        <v>0.16254181456489727</v>
      </c>
      <c r="AP243">
        <f t="shared" si="82"/>
        <v>22.061281429771437</v>
      </c>
    </row>
    <row r="244" spans="1:42" x14ac:dyDescent="0.2">
      <c r="A244" s="3">
        <v>240</v>
      </c>
      <c r="B244" s="3">
        <v>1.67E-7</v>
      </c>
      <c r="C244" s="2">
        <v>1.26E-2</v>
      </c>
      <c r="D244" s="3">
        <v>127000</v>
      </c>
      <c r="E244" s="3">
        <v>132000000000</v>
      </c>
      <c r="F244" s="3">
        <v>118000000000</v>
      </c>
      <c r="G244" s="3">
        <v>2220000000</v>
      </c>
      <c r="H244" s="3">
        <v>15600000000</v>
      </c>
      <c r="I244" s="2"/>
      <c r="J244" s="7">
        <f t="shared" si="83"/>
        <v>0.16700000000000001</v>
      </c>
      <c r="K244" s="7">
        <f t="shared" si="84"/>
        <v>12.6</v>
      </c>
      <c r="L244" s="7">
        <f t="shared" si="85"/>
        <v>132</v>
      </c>
      <c r="M244" s="7">
        <f t="shared" si="86"/>
        <v>127</v>
      </c>
      <c r="O244">
        <f t="shared" si="87"/>
        <v>9.2590551181102376E-2</v>
      </c>
      <c r="P244">
        <f t="shared" si="88"/>
        <v>92.59055118110237</v>
      </c>
      <c r="V244">
        <f t="shared" si="72"/>
        <v>475.19060970685018</v>
      </c>
      <c r="W244">
        <f t="shared" si="73"/>
        <v>133.63058676427505</v>
      </c>
      <c r="AE244">
        <f t="shared" si="74"/>
        <v>0.46236874748327472</v>
      </c>
      <c r="AF244">
        <f t="shared" si="75"/>
        <v>0.45161005860220732</v>
      </c>
      <c r="AG244">
        <f t="shared" si="76"/>
        <v>0.45413868922431594</v>
      </c>
      <c r="AI244">
        <f t="shared" si="77"/>
        <v>0.15049315878740352</v>
      </c>
      <c r="AJ244">
        <f t="shared" si="78"/>
        <v>18.760486495425958</v>
      </c>
      <c r="AL244">
        <f t="shared" si="79"/>
        <v>0.1540783514625492</v>
      </c>
      <c r="AM244">
        <f t="shared" si="80"/>
        <v>19.664994381449301</v>
      </c>
      <c r="AO244">
        <f t="shared" si="81"/>
        <v>0.15322044781558691</v>
      </c>
      <c r="AP244">
        <f t="shared" si="82"/>
        <v>19.446615841649788</v>
      </c>
    </row>
    <row r="245" spans="1:42" x14ac:dyDescent="0.2">
      <c r="A245" s="3">
        <v>240</v>
      </c>
      <c r="B245" s="3">
        <v>1.68E-7</v>
      </c>
      <c r="C245" s="2">
        <v>1.265E-2</v>
      </c>
      <c r="D245" s="3">
        <v>123000</v>
      </c>
      <c r="E245" s="3">
        <v>129000000000</v>
      </c>
      <c r="F245" s="3">
        <v>115000000000</v>
      </c>
      <c r="G245" s="2">
        <v>0</v>
      </c>
      <c r="H245" s="3">
        <v>16200000000</v>
      </c>
      <c r="I245" s="2"/>
      <c r="J245" s="7">
        <f t="shared" si="83"/>
        <v>0.16799999999999998</v>
      </c>
      <c r="K245" s="7">
        <f t="shared" si="84"/>
        <v>12.65</v>
      </c>
      <c r="L245" s="7">
        <f t="shared" si="85"/>
        <v>129</v>
      </c>
      <c r="M245" s="7">
        <f t="shared" si="86"/>
        <v>123</v>
      </c>
      <c r="O245">
        <f t="shared" si="87"/>
        <v>9.0865853658536569E-2</v>
      </c>
      <c r="P245">
        <f t="shared" si="88"/>
        <v>90.865853658536565</v>
      </c>
      <c r="V245">
        <f t="shared" si="72"/>
        <v>471.24870202914701</v>
      </c>
      <c r="W245">
        <f t="shared" si="73"/>
        <v>130.50433822987205</v>
      </c>
      <c r="AE245">
        <f t="shared" si="74"/>
        <v>0.44780595228695108</v>
      </c>
      <c r="AF245">
        <f t="shared" si="75"/>
        <v>0.43738611974859448</v>
      </c>
      <c r="AG245">
        <f t="shared" si="76"/>
        <v>0.43983510846134533</v>
      </c>
      <c r="AI245">
        <f t="shared" si="77"/>
        <v>0.15631770779845386</v>
      </c>
      <c r="AJ245">
        <f t="shared" si="78"/>
        <v>20.079888443836843</v>
      </c>
      <c r="AL245">
        <f t="shared" si="79"/>
        <v>0.16004165847840657</v>
      </c>
      <c r="AM245">
        <f t="shared" si="80"/>
        <v>21.048009257353467</v>
      </c>
      <c r="AO245">
        <f t="shared" si="81"/>
        <v>0.15915055131655528</v>
      </c>
      <c r="AP245">
        <f t="shared" si="82"/>
        <v>20.814272423355511</v>
      </c>
    </row>
    <row r="246" spans="1:42" x14ac:dyDescent="0.2">
      <c r="A246" s="3">
        <v>240</v>
      </c>
      <c r="B246" s="3">
        <v>1.68E-7</v>
      </c>
      <c r="C246" s="2">
        <v>1.2699999999999999E-2</v>
      </c>
      <c r="D246" s="3">
        <v>117000</v>
      </c>
      <c r="E246" s="3">
        <v>126000000000</v>
      </c>
      <c r="F246" s="3">
        <v>113000000000</v>
      </c>
      <c r="G246" s="3">
        <v>259000000</v>
      </c>
      <c r="H246" s="3">
        <v>17100000000</v>
      </c>
      <c r="I246" s="2"/>
      <c r="J246" s="7">
        <f t="shared" si="83"/>
        <v>0.16799999999999998</v>
      </c>
      <c r="K246" s="7">
        <f t="shared" si="84"/>
        <v>12.7</v>
      </c>
      <c r="L246" s="7">
        <f t="shared" si="85"/>
        <v>126.00000000000001</v>
      </c>
      <c r="M246" s="7">
        <f t="shared" si="86"/>
        <v>117</v>
      </c>
      <c r="O246">
        <f t="shared" si="87"/>
        <v>8.6589743589743584E-2</v>
      </c>
      <c r="P246">
        <f t="shared" si="88"/>
        <v>86.589743589743591</v>
      </c>
      <c r="V246">
        <f t="shared" si="72"/>
        <v>461.29194628886853</v>
      </c>
      <c r="W246">
        <f t="shared" si="73"/>
        <v>126.81773542902123</v>
      </c>
      <c r="AE246">
        <f t="shared" si="74"/>
        <v>0.42596175949246567</v>
      </c>
      <c r="AF246">
        <f t="shared" si="75"/>
        <v>0.41605021146817522</v>
      </c>
      <c r="AG246">
        <f t="shared" si="76"/>
        <v>0.41837973731688949</v>
      </c>
      <c r="AI246">
        <f t="shared" si="77"/>
        <v>0.16433400050606689</v>
      </c>
      <c r="AJ246">
        <f t="shared" si="78"/>
        <v>22.279887343771623</v>
      </c>
      <c r="AL246">
        <f t="shared" si="79"/>
        <v>0.16824892301576075</v>
      </c>
      <c r="AM246">
        <f t="shared" si="80"/>
        <v>23.354077706962183</v>
      </c>
      <c r="AO246">
        <f t="shared" si="81"/>
        <v>0.16731211805073756</v>
      </c>
      <c r="AP246">
        <f t="shared" si="82"/>
        <v>23.094732126227012</v>
      </c>
    </row>
    <row r="247" spans="1:42" x14ac:dyDescent="0.2">
      <c r="A247" s="3">
        <v>250</v>
      </c>
      <c r="B247" s="3">
        <v>1.6899999999999999E-7</v>
      </c>
      <c r="C247" s="2">
        <v>1.2749999999999999E-2</v>
      </c>
      <c r="D247" s="3">
        <v>131000</v>
      </c>
      <c r="E247" s="3">
        <v>134000000000</v>
      </c>
      <c r="F247" s="3">
        <v>119000000000</v>
      </c>
      <c r="G247" s="3">
        <v>8230000000</v>
      </c>
      <c r="H247" s="3">
        <v>15400000000</v>
      </c>
      <c r="I247" s="2"/>
      <c r="J247" s="7">
        <f t="shared" si="83"/>
        <v>0.16899999999999998</v>
      </c>
      <c r="K247" s="7">
        <f t="shared" si="84"/>
        <v>12.75</v>
      </c>
      <c r="L247" s="7">
        <f t="shared" si="85"/>
        <v>134</v>
      </c>
      <c r="M247" s="7">
        <f t="shared" si="86"/>
        <v>131</v>
      </c>
      <c r="O247">
        <f t="shared" si="87"/>
        <v>9.600381679389311E-2</v>
      </c>
      <c r="P247">
        <f t="shared" si="88"/>
        <v>96.003816793893108</v>
      </c>
      <c r="V247">
        <f t="shared" si="72"/>
        <v>482.87301414050341</v>
      </c>
      <c r="W247">
        <f t="shared" si="73"/>
        <v>135.64642894071775</v>
      </c>
      <c r="AE247">
        <f t="shared" si="74"/>
        <v>0.47693154267959831</v>
      </c>
      <c r="AF247">
        <f t="shared" si="75"/>
        <v>0.46583399745582016</v>
      </c>
      <c r="AG247">
        <f t="shared" si="76"/>
        <v>0.4684422699872865</v>
      </c>
      <c r="AI247">
        <f t="shared" si="77"/>
        <v>0.14764522864442298</v>
      </c>
      <c r="AJ247">
        <f t="shared" si="78"/>
        <v>17.842207530503586</v>
      </c>
      <c r="AL247">
        <f t="shared" si="79"/>
        <v>0.15116257519041429</v>
      </c>
      <c r="AM247">
        <f t="shared" si="80"/>
        <v>18.70244201425966</v>
      </c>
      <c r="AO247">
        <f t="shared" si="81"/>
        <v>0.15032090649842034</v>
      </c>
      <c r="AP247">
        <f t="shared" si="82"/>
        <v>18.494752558644464</v>
      </c>
    </row>
    <row r="248" spans="1:42" x14ac:dyDescent="0.2">
      <c r="A248" s="3">
        <v>250</v>
      </c>
      <c r="B248" s="3">
        <v>1.7100000000000001E-7</v>
      </c>
      <c r="C248" s="2">
        <v>1.281E-2</v>
      </c>
      <c r="D248" s="3">
        <v>121000</v>
      </c>
      <c r="E248" s="3">
        <v>126000000000</v>
      </c>
      <c r="F248" s="3">
        <v>113000000000</v>
      </c>
      <c r="G248" s="2">
        <v>0</v>
      </c>
      <c r="H248" s="3">
        <v>16200000000</v>
      </c>
      <c r="I248" s="2"/>
      <c r="J248" s="7">
        <f t="shared" si="83"/>
        <v>0.17100000000000001</v>
      </c>
      <c r="K248" s="7">
        <f t="shared" si="84"/>
        <v>12.81</v>
      </c>
      <c r="L248" s="7">
        <f t="shared" si="85"/>
        <v>126.00000000000001</v>
      </c>
      <c r="M248" s="7">
        <f t="shared" si="86"/>
        <v>121</v>
      </c>
      <c r="O248">
        <f t="shared" si="87"/>
        <v>9.1599173553719021E-2</v>
      </c>
      <c r="P248">
        <f t="shared" si="88"/>
        <v>91.599173553719027</v>
      </c>
      <c r="V248">
        <f t="shared" si="72"/>
        <v>472.9298004939875</v>
      </c>
      <c r="W248">
        <f t="shared" si="73"/>
        <v>127.92596266254776</v>
      </c>
      <c r="AE248">
        <f t="shared" si="74"/>
        <v>0.44052455468878926</v>
      </c>
      <c r="AF248">
        <f t="shared" si="75"/>
        <v>0.43027415032178806</v>
      </c>
      <c r="AG248">
        <f t="shared" si="76"/>
        <v>0.43268331807986005</v>
      </c>
      <c r="AI248">
        <f t="shared" si="77"/>
        <v>0.16173899784164114</v>
      </c>
      <c r="AJ248">
        <f t="shared" si="78"/>
        <v>21.011612467008455</v>
      </c>
      <c r="AL248">
        <f t="shared" si="79"/>
        <v>0.16559209970367603</v>
      </c>
      <c r="AM248">
        <f t="shared" si="80"/>
        <v>22.024654915513675</v>
      </c>
      <c r="AO248">
        <f t="shared" si="81"/>
        <v>0.16467008785129414</v>
      </c>
      <c r="AP248">
        <f t="shared" si="82"/>
        <v>21.780072492211524</v>
      </c>
    </row>
    <row r="249" spans="1:42" x14ac:dyDescent="0.2">
      <c r="A249" s="3">
        <v>250</v>
      </c>
      <c r="B249" s="3">
        <v>1.72E-7</v>
      </c>
      <c r="C249" s="2">
        <v>1.286E-2</v>
      </c>
      <c r="D249" s="3">
        <v>132000</v>
      </c>
      <c r="E249" s="3">
        <v>133000000000</v>
      </c>
      <c r="F249" s="3">
        <v>118000000000</v>
      </c>
      <c r="G249" s="3">
        <v>6140000000</v>
      </c>
      <c r="H249" s="3">
        <v>14900000000</v>
      </c>
      <c r="I249" s="2"/>
      <c r="J249" s="7">
        <f t="shared" si="83"/>
        <v>0.17200000000000001</v>
      </c>
      <c r="K249" s="7">
        <f t="shared" si="84"/>
        <v>12.86</v>
      </c>
      <c r="L249" s="7">
        <f t="shared" si="85"/>
        <v>133</v>
      </c>
      <c r="M249" s="7">
        <f t="shared" si="86"/>
        <v>132</v>
      </c>
      <c r="O249">
        <f t="shared" si="87"/>
        <v>9.8931818181818204E-2</v>
      </c>
      <c r="P249">
        <f t="shared" si="88"/>
        <v>98.931818181818201</v>
      </c>
      <c r="V249">
        <f t="shared" si="72"/>
        <v>489.34283601195278</v>
      </c>
      <c r="W249">
        <f t="shared" si="73"/>
        <v>134.87476497640577</v>
      </c>
      <c r="AE249">
        <f t="shared" si="74"/>
        <v>0.48057224147867922</v>
      </c>
      <c r="AF249">
        <f t="shared" si="75"/>
        <v>0.46938998216922334</v>
      </c>
      <c r="AG249">
        <f t="shared" si="76"/>
        <v>0.47201816517802914</v>
      </c>
      <c r="AI249">
        <f t="shared" si="77"/>
        <v>0.14912776993975876</v>
      </c>
      <c r="AJ249">
        <f t="shared" si="78"/>
        <v>17.724504345245233</v>
      </c>
      <c r="AL249">
        <f t="shared" si="79"/>
        <v>0.15268043500943226</v>
      </c>
      <c r="AM249">
        <f t="shared" si="80"/>
        <v>18.579063951683914</v>
      </c>
      <c r="AO249">
        <f t="shared" si="81"/>
        <v>0.15183031491941937</v>
      </c>
      <c r="AP249">
        <f t="shared" si="82"/>
        <v>18.372744601781736</v>
      </c>
    </row>
    <row r="250" spans="1:42" x14ac:dyDescent="0.2">
      <c r="A250" s="3">
        <v>250</v>
      </c>
      <c r="B250" s="3">
        <v>1.72E-7</v>
      </c>
      <c r="C250" s="2">
        <v>1.291E-2</v>
      </c>
      <c r="D250" s="3">
        <v>122000</v>
      </c>
      <c r="E250" s="3">
        <v>126000000000</v>
      </c>
      <c r="F250" s="3">
        <v>113000000000</v>
      </c>
      <c r="G250" s="3">
        <v>11500000000</v>
      </c>
      <c r="H250" s="3">
        <v>16100000000</v>
      </c>
      <c r="I250" s="2"/>
      <c r="J250" s="7">
        <f t="shared" si="83"/>
        <v>0.17200000000000001</v>
      </c>
      <c r="K250" s="7">
        <f t="shared" si="84"/>
        <v>12.91</v>
      </c>
      <c r="L250" s="7">
        <f t="shared" si="85"/>
        <v>126.00000000000001</v>
      </c>
      <c r="M250" s="7">
        <f t="shared" si="86"/>
        <v>122</v>
      </c>
      <c r="O250">
        <f t="shared" si="87"/>
        <v>9.2635245901639351E-2</v>
      </c>
      <c r="P250">
        <f t="shared" si="88"/>
        <v>92.635245901639351</v>
      </c>
      <c r="V250">
        <f t="shared" si="72"/>
        <v>475.29221641175354</v>
      </c>
      <c r="W250">
        <f t="shared" si="73"/>
        <v>128.34209754269295</v>
      </c>
      <c r="AE250">
        <f t="shared" si="74"/>
        <v>0.44416525348787017</v>
      </c>
      <c r="AF250">
        <f t="shared" si="75"/>
        <v>0.4338301350351913</v>
      </c>
      <c r="AG250">
        <f t="shared" si="76"/>
        <v>0.43625921327060269</v>
      </c>
      <c r="AI250">
        <f t="shared" si="77"/>
        <v>0.16135135763973901</v>
      </c>
      <c r="AJ250">
        <f t="shared" si="78"/>
        <v>20.829918657191296</v>
      </c>
      <c r="AL250">
        <f t="shared" si="79"/>
        <v>0.16519522476430373</v>
      </c>
      <c r="AM250">
        <f t="shared" si="80"/>
        <v>21.834201019231738</v>
      </c>
      <c r="AO250">
        <f t="shared" si="81"/>
        <v>0.16427542269969964</v>
      </c>
      <c r="AP250">
        <f t="shared" si="82"/>
        <v>21.591733574605019</v>
      </c>
    </row>
    <row r="251" spans="1:42" x14ac:dyDescent="0.2">
      <c r="A251" s="3">
        <v>250</v>
      </c>
      <c r="B251" s="3">
        <v>1.73E-7</v>
      </c>
      <c r="C251" s="2">
        <v>1.2959999999999999E-2</v>
      </c>
      <c r="D251" s="3">
        <v>110000</v>
      </c>
      <c r="E251" s="3">
        <v>120000000000</v>
      </c>
      <c r="F251" s="3">
        <v>108000000000</v>
      </c>
      <c r="G251" s="3">
        <v>9370000000</v>
      </c>
      <c r="H251" s="3">
        <v>17900000000</v>
      </c>
      <c r="I251" s="2"/>
      <c r="J251" s="7">
        <f t="shared" si="83"/>
        <v>0.17299999999999999</v>
      </c>
      <c r="K251" s="7">
        <f t="shared" si="84"/>
        <v>12.959999999999999</v>
      </c>
      <c r="L251" s="7">
        <f t="shared" si="85"/>
        <v>120.00000000000001</v>
      </c>
      <c r="M251" s="7">
        <f t="shared" si="86"/>
        <v>110</v>
      </c>
      <c r="O251">
        <f t="shared" si="87"/>
        <v>8.4636363636363635E-2</v>
      </c>
      <c r="P251">
        <f t="shared" si="88"/>
        <v>84.63636363636364</v>
      </c>
      <c r="V251">
        <f t="shared" si="72"/>
        <v>456.65244189088509</v>
      </c>
      <c r="W251">
        <f t="shared" si="73"/>
        <v>120.441707860487</v>
      </c>
      <c r="AE251">
        <f t="shared" si="74"/>
        <v>0.40047686789889936</v>
      </c>
      <c r="AF251">
        <f t="shared" si="75"/>
        <v>0.39115831847435278</v>
      </c>
      <c r="AG251">
        <f t="shared" si="76"/>
        <v>0.39334847098169096</v>
      </c>
      <c r="AI251">
        <f t="shared" si="77"/>
        <v>0.17999375022961578</v>
      </c>
      <c r="AJ251">
        <f t="shared" si="78"/>
        <v>25.72175660129896</v>
      </c>
      <c r="AL251">
        <f t="shared" si="79"/>
        <v>0.1842817343485938</v>
      </c>
      <c r="AM251">
        <f t="shared" si="80"/>
        <v>26.961891375731401</v>
      </c>
      <c r="AO251">
        <f t="shared" si="81"/>
        <v>0.18325565917018288</v>
      </c>
      <c r="AP251">
        <f t="shared" si="82"/>
        <v>26.66248124854522</v>
      </c>
    </row>
    <row r="252" spans="1:42" x14ac:dyDescent="0.2">
      <c r="A252" s="3">
        <v>250</v>
      </c>
      <c r="B252" s="3">
        <v>1.74E-7</v>
      </c>
      <c r="C252" s="2">
        <v>1.3010000000000001E-2</v>
      </c>
      <c r="D252" s="3">
        <v>127000</v>
      </c>
      <c r="E252" s="3">
        <v>129000000000</v>
      </c>
      <c r="F252" s="3">
        <v>115000000000</v>
      </c>
      <c r="G252" s="2">
        <v>0</v>
      </c>
      <c r="H252" s="3">
        <v>15500000000</v>
      </c>
      <c r="I252" s="2"/>
      <c r="J252" s="7">
        <f t="shared" si="83"/>
        <v>0.17399999999999999</v>
      </c>
      <c r="K252" s="7">
        <f t="shared" si="84"/>
        <v>13.010000000000002</v>
      </c>
      <c r="L252" s="7">
        <f t="shared" si="85"/>
        <v>129</v>
      </c>
      <c r="M252" s="7">
        <f t="shared" si="86"/>
        <v>127</v>
      </c>
      <c r="O252">
        <f t="shared" si="87"/>
        <v>9.7169291338582653E-2</v>
      </c>
      <c r="P252">
        <f t="shared" si="88"/>
        <v>97.169291338582653</v>
      </c>
      <c r="V252">
        <f t="shared" si="72"/>
        <v>485.46128072968173</v>
      </c>
      <c r="W252">
        <f t="shared" si="73"/>
        <v>130.80342865769876</v>
      </c>
      <c r="AE252">
        <f t="shared" si="74"/>
        <v>0.46236874748327472</v>
      </c>
      <c r="AF252">
        <f t="shared" si="75"/>
        <v>0.45161005860220732</v>
      </c>
      <c r="AG252">
        <f t="shared" si="76"/>
        <v>0.45413868922431594</v>
      </c>
      <c r="AI252">
        <f t="shared" si="77"/>
        <v>0.1568012552635222</v>
      </c>
      <c r="AJ252">
        <f t="shared" si="78"/>
        <v>19.370946770277122</v>
      </c>
      <c r="AL252">
        <f t="shared" si="79"/>
        <v>0.16053672547594944</v>
      </c>
      <c r="AM252">
        <f t="shared" si="80"/>
        <v>20.304887055766304</v>
      </c>
      <c r="AO252">
        <f t="shared" si="81"/>
        <v>0.15964286179588094</v>
      </c>
      <c r="AP252">
        <f t="shared" si="82"/>
        <v>20.079402547608236</v>
      </c>
    </row>
    <row r="253" spans="1:42" x14ac:dyDescent="0.2">
      <c r="A253" s="3">
        <v>250</v>
      </c>
      <c r="B253" s="3">
        <v>1.74E-7</v>
      </c>
      <c r="C253" s="2">
        <v>1.307E-2</v>
      </c>
      <c r="D253" s="3">
        <v>119000</v>
      </c>
      <c r="E253" s="3">
        <v>124000000000</v>
      </c>
      <c r="F253" s="3">
        <v>111000000000</v>
      </c>
      <c r="G253" s="3">
        <v>5370000000</v>
      </c>
      <c r="H253" s="3">
        <v>16500000000</v>
      </c>
      <c r="I253" s="2"/>
      <c r="J253" s="7">
        <f t="shared" si="83"/>
        <v>0.17399999999999999</v>
      </c>
      <c r="K253" s="7">
        <f t="shared" si="84"/>
        <v>13.07</v>
      </c>
      <c r="L253" s="7">
        <f t="shared" si="85"/>
        <v>124.00000000000001</v>
      </c>
      <c r="M253" s="7">
        <f t="shared" si="86"/>
        <v>119</v>
      </c>
      <c r="O253">
        <f t="shared" si="87"/>
        <v>9.1626050420168054E-2</v>
      </c>
      <c r="P253">
        <f t="shared" si="88"/>
        <v>91.626050420168056</v>
      </c>
      <c r="V253">
        <f t="shared" si="72"/>
        <v>472.99127168215654</v>
      </c>
      <c r="W253">
        <f t="shared" si="73"/>
        <v>125.79513314990548</v>
      </c>
      <c r="AE253">
        <f t="shared" si="74"/>
        <v>0.4332431570906275</v>
      </c>
      <c r="AF253">
        <f t="shared" si="75"/>
        <v>0.42316218089498164</v>
      </c>
      <c r="AG253">
        <f t="shared" si="76"/>
        <v>0.42553152769837477</v>
      </c>
      <c r="AI253">
        <f t="shared" si="77"/>
        <v>0.16734251612157411</v>
      </c>
      <c r="AJ253">
        <f t="shared" si="78"/>
        <v>22.164740848548714</v>
      </c>
      <c r="AL253">
        <f t="shared" si="79"/>
        <v>0.17132911038189563</v>
      </c>
      <c r="AM253">
        <f t="shared" si="80"/>
        <v>23.23337960128384</v>
      </c>
      <c r="AO253">
        <f t="shared" si="81"/>
        <v>0.17037515502585615</v>
      </c>
      <c r="AP253">
        <f t="shared" si="82"/>
        <v>22.975374365506987</v>
      </c>
    </row>
    <row r="254" spans="1:42" x14ac:dyDescent="0.2">
      <c r="A254" s="3">
        <v>250</v>
      </c>
      <c r="B254" s="3">
        <v>1.74E-7</v>
      </c>
      <c r="C254" s="2">
        <v>1.312E-2</v>
      </c>
      <c r="D254" s="3">
        <v>123000</v>
      </c>
      <c r="E254" s="3">
        <v>126000000000</v>
      </c>
      <c r="F254" s="3">
        <v>113000000000</v>
      </c>
      <c r="G254" s="2">
        <v>0</v>
      </c>
      <c r="H254" s="3">
        <v>16100000000</v>
      </c>
      <c r="I254" s="2"/>
      <c r="J254" s="7">
        <f t="shared" si="83"/>
        <v>0.17399999999999999</v>
      </c>
      <c r="K254" s="7">
        <f t="shared" si="84"/>
        <v>13.12</v>
      </c>
      <c r="L254" s="7">
        <f t="shared" si="85"/>
        <v>126.00000000000001</v>
      </c>
      <c r="M254" s="7">
        <f t="shared" si="86"/>
        <v>123</v>
      </c>
      <c r="O254">
        <f t="shared" si="87"/>
        <v>9.4E-2</v>
      </c>
      <c r="P254">
        <f t="shared" si="88"/>
        <v>94</v>
      </c>
      <c r="V254">
        <f t="shared" si="72"/>
        <v>478.38173076260369</v>
      </c>
      <c r="W254">
        <f t="shared" si="73"/>
        <v>128.55842112105927</v>
      </c>
      <c r="AE254">
        <f t="shared" si="74"/>
        <v>0.44780595228695108</v>
      </c>
      <c r="AF254">
        <f t="shared" si="75"/>
        <v>0.43738611974859448</v>
      </c>
      <c r="AG254">
        <f t="shared" si="76"/>
        <v>0.43983510846134533</v>
      </c>
      <c r="AI254">
        <f t="shared" si="77"/>
        <v>0.16190048307697008</v>
      </c>
      <c r="AJ254">
        <f t="shared" si="78"/>
        <v>20.825939635030778</v>
      </c>
      <c r="AL254">
        <f t="shared" si="79"/>
        <v>0.16575743199549253</v>
      </c>
      <c r="AM254">
        <f t="shared" si="80"/>
        <v>21.83003015466225</v>
      </c>
      <c r="AO254">
        <f t="shared" si="81"/>
        <v>0.16483449957786084</v>
      </c>
      <c r="AP254">
        <f t="shared" si="82"/>
        <v>21.587609027227217</v>
      </c>
    </row>
    <row r="255" spans="1:42" x14ac:dyDescent="0.2">
      <c r="A255" s="3">
        <v>250</v>
      </c>
      <c r="B255" s="3">
        <v>1.7499999999999999E-7</v>
      </c>
      <c r="C255" s="2">
        <v>1.3169999999999999E-2</v>
      </c>
      <c r="D255" s="3">
        <v>119000</v>
      </c>
      <c r="E255" s="3">
        <v>123000000000</v>
      </c>
      <c r="F255" s="3">
        <v>110000000000</v>
      </c>
      <c r="G255" s="3">
        <v>179000000</v>
      </c>
      <c r="H255" s="3">
        <v>16600000000</v>
      </c>
      <c r="I255" s="2"/>
      <c r="J255" s="7">
        <f t="shared" si="83"/>
        <v>0.17499999999999999</v>
      </c>
      <c r="K255" s="7">
        <f t="shared" si="84"/>
        <v>13.17</v>
      </c>
      <c r="L255" s="7">
        <f t="shared" si="85"/>
        <v>123.00000000000001</v>
      </c>
      <c r="M255" s="7">
        <f t="shared" si="86"/>
        <v>119</v>
      </c>
      <c r="O255">
        <f t="shared" si="87"/>
        <v>9.1995798319327721E-2</v>
      </c>
      <c r="P255">
        <f t="shared" si="88"/>
        <v>91.995798319327719</v>
      </c>
      <c r="V255">
        <f t="shared" si="72"/>
        <v>473.83591993057667</v>
      </c>
      <c r="W255">
        <f t="shared" si="73"/>
        <v>125.57089384172806</v>
      </c>
      <c r="AE255">
        <f t="shared" si="74"/>
        <v>0.4332431570906275</v>
      </c>
      <c r="AF255">
        <f t="shared" si="75"/>
        <v>0.42316218089498164</v>
      </c>
      <c r="AG255">
        <f t="shared" si="76"/>
        <v>0.42553152769837477</v>
      </c>
      <c r="AI255">
        <f t="shared" si="77"/>
        <v>0.16830425471997398</v>
      </c>
      <c r="AJ255">
        <f t="shared" si="78"/>
        <v>22.334325705844421</v>
      </c>
      <c r="AL255">
        <f t="shared" si="79"/>
        <v>0.17231376044156169</v>
      </c>
      <c r="AM255">
        <f t="shared" si="80"/>
        <v>23.41114073059741</v>
      </c>
      <c r="AO255">
        <f t="shared" si="81"/>
        <v>0.17135432258347602</v>
      </c>
      <c r="AP255">
        <f t="shared" si="82"/>
        <v>23.151161468533054</v>
      </c>
    </row>
    <row r="256" spans="1:42" x14ac:dyDescent="0.2">
      <c r="A256" s="3">
        <v>250</v>
      </c>
      <c r="B256" s="3">
        <v>1.7599999999999999E-7</v>
      </c>
      <c r="C256" s="2">
        <v>1.3220000000000001E-2</v>
      </c>
      <c r="D256" s="3">
        <v>122000</v>
      </c>
      <c r="E256" s="3">
        <v>125000000000</v>
      </c>
      <c r="F256" s="3">
        <v>112000000000</v>
      </c>
      <c r="G256" s="3">
        <v>9510000000</v>
      </c>
      <c r="H256" s="3">
        <v>16200000000</v>
      </c>
      <c r="I256" s="2"/>
      <c r="J256" s="7">
        <f t="shared" si="83"/>
        <v>0.17599999999999999</v>
      </c>
      <c r="K256" s="7">
        <f t="shared" si="84"/>
        <v>13.22</v>
      </c>
      <c r="L256" s="7">
        <f t="shared" si="85"/>
        <v>125.00000000000001</v>
      </c>
      <c r="M256" s="7">
        <f t="shared" si="86"/>
        <v>122</v>
      </c>
      <c r="O256">
        <f t="shared" si="87"/>
        <v>9.4729508196721296E-2</v>
      </c>
      <c r="P256">
        <f t="shared" si="88"/>
        <v>94.729508196721298</v>
      </c>
      <c r="V256">
        <f t="shared" si="72"/>
        <v>480.02294154392251</v>
      </c>
      <c r="W256">
        <f t="shared" si="73"/>
        <v>127.07725969055262</v>
      </c>
      <c r="AE256">
        <f t="shared" si="74"/>
        <v>0.44416525348787017</v>
      </c>
      <c r="AF256">
        <f t="shared" si="75"/>
        <v>0.4338301350351913</v>
      </c>
      <c r="AG256">
        <f t="shared" si="76"/>
        <v>0.43625921327060269</v>
      </c>
      <c r="AI256">
        <f t="shared" si="77"/>
        <v>0.16510371479415153</v>
      </c>
      <c r="AJ256">
        <f t="shared" si="78"/>
        <v>21.330094860423621</v>
      </c>
      <c r="AL256">
        <f t="shared" si="79"/>
        <v>0.16903697417742705</v>
      </c>
      <c r="AM256">
        <f t="shared" si="80"/>
        <v>22.358492445719875</v>
      </c>
      <c r="AO256">
        <f t="shared" si="81"/>
        <v>0.16809578136713449</v>
      </c>
      <c r="AP256">
        <f t="shared" si="82"/>
        <v>22.110202777403437</v>
      </c>
    </row>
    <row r="257" spans="1:42" x14ac:dyDescent="0.2">
      <c r="A257" s="3">
        <v>260</v>
      </c>
      <c r="B257" s="3">
        <v>1.7599999999999999E-7</v>
      </c>
      <c r="C257" s="2">
        <v>1.328E-2</v>
      </c>
      <c r="D257" s="3">
        <v>128000</v>
      </c>
      <c r="E257" s="3">
        <v>129000000000</v>
      </c>
      <c r="F257" s="3">
        <v>115000000000</v>
      </c>
      <c r="G257" s="3">
        <v>359000000</v>
      </c>
      <c r="H257" s="3">
        <v>15400000000</v>
      </c>
      <c r="I257" s="2"/>
      <c r="J257" s="7">
        <f t="shared" si="83"/>
        <v>0.17599999999999999</v>
      </c>
      <c r="K257" s="7">
        <f t="shared" si="84"/>
        <v>13.28</v>
      </c>
      <c r="L257" s="7">
        <f t="shared" si="85"/>
        <v>129</v>
      </c>
      <c r="M257" s="7">
        <f t="shared" si="86"/>
        <v>128</v>
      </c>
      <c r="O257">
        <f t="shared" si="87"/>
        <v>9.8187499999999997E-2</v>
      </c>
      <c r="P257">
        <f t="shared" si="88"/>
        <v>98.1875</v>
      </c>
      <c r="V257">
        <f t="shared" si="72"/>
        <v>487.70838554592166</v>
      </c>
      <c r="W257">
        <f t="shared" si="73"/>
        <v>131.22595775826349</v>
      </c>
      <c r="AE257">
        <f t="shared" si="74"/>
        <v>0.46600944628235563</v>
      </c>
      <c r="AF257">
        <f t="shared" si="75"/>
        <v>0.4551660433156105</v>
      </c>
      <c r="AG257">
        <f t="shared" si="76"/>
        <v>0.45771458441505858</v>
      </c>
      <c r="AI257">
        <f t="shared" si="77"/>
        <v>0.15736447816317567</v>
      </c>
      <c r="AJ257">
        <f t="shared" si="78"/>
        <v>19.465211584536362</v>
      </c>
      <c r="AL257">
        <f t="shared" si="79"/>
        <v>0.16111336601286022</v>
      </c>
      <c r="AM257">
        <f t="shared" si="80"/>
        <v>20.403696702479269</v>
      </c>
      <c r="AO257">
        <f t="shared" si="81"/>
        <v>0.16021629161555007</v>
      </c>
      <c r="AP257">
        <f t="shared" si="82"/>
        <v>20.177114919338621</v>
      </c>
    </row>
    <row r="258" spans="1:42" x14ac:dyDescent="0.2">
      <c r="A258" s="3">
        <v>260</v>
      </c>
      <c r="B258" s="3">
        <v>1.7599999999999999E-7</v>
      </c>
      <c r="C258" s="2">
        <v>1.333E-2</v>
      </c>
      <c r="D258" s="3">
        <v>117000</v>
      </c>
      <c r="E258" s="3">
        <v>122000000000</v>
      </c>
      <c r="F258" s="3">
        <v>110000000000</v>
      </c>
      <c r="G258" s="3">
        <v>12600000000</v>
      </c>
      <c r="H258" s="3">
        <v>16900000000</v>
      </c>
      <c r="I258" s="2"/>
      <c r="J258" s="7">
        <f t="shared" si="83"/>
        <v>0.17599999999999999</v>
      </c>
      <c r="K258" s="7">
        <f t="shared" si="84"/>
        <v>13.33</v>
      </c>
      <c r="L258" s="7">
        <f t="shared" si="85"/>
        <v>122.00000000000001</v>
      </c>
      <c r="M258" s="7">
        <f t="shared" si="86"/>
        <v>117</v>
      </c>
      <c r="O258">
        <f t="shared" si="87"/>
        <v>9.0551282051282045E-2</v>
      </c>
      <c r="P258">
        <f t="shared" si="88"/>
        <v>90.551282051282044</v>
      </c>
      <c r="V258">
        <f t="shared" si="72"/>
        <v>470.52524694833875</v>
      </c>
      <c r="W258">
        <f t="shared" si="73"/>
        <v>124.32914148477775</v>
      </c>
      <c r="AE258">
        <f t="shared" si="74"/>
        <v>0.42596175949246567</v>
      </c>
      <c r="AF258">
        <f t="shared" si="75"/>
        <v>0.41605021146817522</v>
      </c>
      <c r="AG258">
        <f t="shared" si="76"/>
        <v>0.41837973731688949</v>
      </c>
      <c r="AI258">
        <f t="shared" si="77"/>
        <v>0.1721594291015939</v>
      </c>
      <c r="AJ258">
        <f t="shared" si="78"/>
        <v>23.385110101769744</v>
      </c>
      <c r="AL258">
        <f t="shared" si="79"/>
        <v>0.17626077649270175</v>
      </c>
      <c r="AM258">
        <f t="shared" si="80"/>
        <v>24.512587073528024</v>
      </c>
      <c r="AO258">
        <f t="shared" si="81"/>
        <v>0.17527936176743936</v>
      </c>
      <c r="AP258">
        <f t="shared" si="82"/>
        <v>24.240376318315441</v>
      </c>
    </row>
    <row r="259" spans="1:42" x14ac:dyDescent="0.2">
      <c r="A259" s="3">
        <v>260</v>
      </c>
      <c r="B259" s="3">
        <v>1.7700000000000001E-7</v>
      </c>
      <c r="C259" s="2">
        <v>1.338E-2</v>
      </c>
      <c r="D259" s="3">
        <v>148000</v>
      </c>
      <c r="E259" s="3">
        <v>142000000000</v>
      </c>
      <c r="F259" s="3">
        <v>125000000000</v>
      </c>
      <c r="G259" s="3">
        <v>1220000000</v>
      </c>
      <c r="H259" s="3">
        <v>13900000000</v>
      </c>
      <c r="I259" s="2"/>
      <c r="J259" s="7">
        <f t="shared" si="83"/>
        <v>0.17700000000000002</v>
      </c>
      <c r="K259" s="7">
        <f t="shared" si="84"/>
        <v>13.379999999999999</v>
      </c>
      <c r="L259" s="7">
        <f t="shared" si="85"/>
        <v>142</v>
      </c>
      <c r="M259" s="7">
        <f t="shared" si="86"/>
        <v>148</v>
      </c>
      <c r="O259">
        <f t="shared" si="87"/>
        <v>0.10919594594594598</v>
      </c>
      <c r="P259">
        <f t="shared" si="88"/>
        <v>109.19594594594598</v>
      </c>
      <c r="V259">
        <f t="shared" si="72"/>
        <v>511.2175259878407</v>
      </c>
      <c r="W259">
        <f t="shared" si="73"/>
        <v>144.75247079412551</v>
      </c>
      <c r="AE259">
        <f t="shared" si="74"/>
        <v>0.53882342226397362</v>
      </c>
      <c r="AF259">
        <f t="shared" si="75"/>
        <v>0.5262857375836747</v>
      </c>
      <c r="AG259">
        <f t="shared" si="76"/>
        <v>0.52923248822991142</v>
      </c>
      <c r="AI259">
        <f t="shared" si="77"/>
        <v>0.13687229796010858</v>
      </c>
      <c r="AJ259">
        <f t="shared" si="78"/>
        <v>14.669444748229013</v>
      </c>
      <c r="AL259">
        <f t="shared" si="79"/>
        <v>0.14013300139693494</v>
      </c>
      <c r="AM259">
        <f t="shared" si="80"/>
        <v>15.376709373887406</v>
      </c>
      <c r="AO259">
        <f t="shared" si="81"/>
        <v>0.13935274504153497</v>
      </c>
      <c r="AP259">
        <f t="shared" si="82"/>
        <v>15.205951972443213</v>
      </c>
    </row>
    <row r="260" spans="1:42" x14ac:dyDescent="0.2">
      <c r="A260" s="3">
        <v>260</v>
      </c>
      <c r="B260" s="3">
        <v>1.7800000000000001E-7</v>
      </c>
      <c r="C260" s="2">
        <v>1.3429999999999999E-2</v>
      </c>
      <c r="D260" s="3">
        <v>121000</v>
      </c>
      <c r="E260" s="3">
        <v>124000000000</v>
      </c>
      <c r="F260" s="3">
        <v>111000000000</v>
      </c>
      <c r="G260" s="2">
        <v>0</v>
      </c>
      <c r="H260" s="3">
        <v>16400000000</v>
      </c>
      <c r="I260" s="2"/>
      <c r="J260" s="7">
        <f t="shared" si="83"/>
        <v>0.17800000000000002</v>
      </c>
      <c r="K260" s="7">
        <f t="shared" si="84"/>
        <v>13.43</v>
      </c>
      <c r="L260" s="7">
        <f t="shared" si="85"/>
        <v>124.00000000000001</v>
      </c>
      <c r="M260" s="7">
        <f t="shared" si="86"/>
        <v>121</v>
      </c>
      <c r="O260">
        <f t="shared" si="87"/>
        <v>9.4756198347107468E-2</v>
      </c>
      <c r="P260">
        <f t="shared" si="88"/>
        <v>94.756198347107471</v>
      </c>
      <c r="V260">
        <f t="shared" si="72"/>
        <v>480.08285398180215</v>
      </c>
      <c r="W260">
        <f t="shared" si="73"/>
        <v>126.01991405902884</v>
      </c>
      <c r="AE260">
        <f t="shared" si="74"/>
        <v>0.44052455468878926</v>
      </c>
      <c r="AF260">
        <f t="shared" si="75"/>
        <v>0.43027415032178806</v>
      </c>
      <c r="AG260">
        <f t="shared" si="76"/>
        <v>0.43268331807986005</v>
      </c>
      <c r="AI260">
        <f t="shared" si="77"/>
        <v>0.16835989249012936</v>
      </c>
      <c r="AJ260">
        <f t="shared" si="78"/>
        <v>22.028567949408547</v>
      </c>
      <c r="AL260">
        <f t="shared" si="79"/>
        <v>0.17237072366815401</v>
      </c>
      <c r="AM260">
        <f t="shared" si="80"/>
        <v>23.090641336092791</v>
      </c>
      <c r="AO260">
        <f t="shared" si="81"/>
        <v>0.17141096864052843</v>
      </c>
      <c r="AP260">
        <f t="shared" si="82"/>
        <v>22.834221199875156</v>
      </c>
    </row>
    <row r="261" spans="1:42" x14ac:dyDescent="0.2">
      <c r="A261" s="3">
        <v>260</v>
      </c>
      <c r="B261" s="3">
        <v>1.7800000000000001E-7</v>
      </c>
      <c r="C261" s="2">
        <v>1.349E-2</v>
      </c>
      <c r="D261" s="3">
        <v>133000</v>
      </c>
      <c r="E261" s="3">
        <v>131000000000</v>
      </c>
      <c r="F261" s="3">
        <v>117000000000</v>
      </c>
      <c r="G261" s="3">
        <v>2300000000</v>
      </c>
      <c r="H261" s="3">
        <v>15000000000</v>
      </c>
      <c r="I261" s="2"/>
      <c r="J261" s="7">
        <f t="shared" si="83"/>
        <v>0.17800000000000002</v>
      </c>
      <c r="K261" s="7">
        <f t="shared" si="84"/>
        <v>13.49</v>
      </c>
      <c r="L261" s="7">
        <f t="shared" si="85"/>
        <v>131</v>
      </c>
      <c r="M261" s="7">
        <f t="shared" si="86"/>
        <v>133</v>
      </c>
      <c r="O261">
        <f t="shared" si="87"/>
        <v>0.10192857142857145</v>
      </c>
      <c r="P261">
        <f t="shared" si="88"/>
        <v>101.92857142857144</v>
      </c>
      <c r="V261">
        <f t="shared" ref="V261:V324" si="89">$S$3*(P261^$S$4)</f>
        <v>495.8550609669594</v>
      </c>
      <c r="W261">
        <f t="shared" ref="W261:W324" si="90">M261/(2*(V261/1000))</f>
        <v>134.11177022236973</v>
      </c>
      <c r="AE261">
        <f t="shared" si="74"/>
        <v>0.48421294027776013</v>
      </c>
      <c r="AF261">
        <f t="shared" si="75"/>
        <v>0.47294596688262658</v>
      </c>
      <c r="AG261">
        <f t="shared" si="76"/>
        <v>0.47559406036877178</v>
      </c>
      <c r="AI261">
        <f t="shared" si="77"/>
        <v>0.15316952625041846</v>
      </c>
      <c r="AJ261">
        <f t="shared" si="78"/>
        <v>18.314272036055698</v>
      </c>
      <c r="AL261">
        <f t="shared" si="79"/>
        <v>0.15681847792365888</v>
      </c>
      <c r="AM261">
        <f t="shared" si="80"/>
        <v>19.197266380974632</v>
      </c>
      <c r="AO261">
        <f t="shared" si="81"/>
        <v>0.15594531733461608</v>
      </c>
      <c r="AP261">
        <f t="shared" si="82"/>
        <v>18.984081931536181</v>
      </c>
    </row>
    <row r="262" spans="1:42" x14ac:dyDescent="0.2">
      <c r="A262" s="3">
        <v>260</v>
      </c>
      <c r="B262" s="3">
        <v>1.79E-7</v>
      </c>
      <c r="C262" s="2">
        <v>1.354E-2</v>
      </c>
      <c r="D262" s="3">
        <v>118000</v>
      </c>
      <c r="E262" s="3">
        <v>122000000000</v>
      </c>
      <c r="F262" s="3">
        <v>109000000000</v>
      </c>
      <c r="G262" s="2">
        <v>0</v>
      </c>
      <c r="H262" s="3">
        <v>17000000000</v>
      </c>
      <c r="I262" s="2"/>
      <c r="J262" s="7">
        <f t="shared" si="83"/>
        <v>0.17899999999999999</v>
      </c>
      <c r="K262" s="7">
        <f t="shared" si="84"/>
        <v>13.54</v>
      </c>
      <c r="L262" s="7">
        <f t="shared" si="85"/>
        <v>122.00000000000001</v>
      </c>
      <c r="M262" s="7">
        <f t="shared" si="86"/>
        <v>118</v>
      </c>
      <c r="O262">
        <f t="shared" si="87"/>
        <v>9.2940677966101698E-2</v>
      </c>
      <c r="P262">
        <f t="shared" si="88"/>
        <v>92.940677966101703</v>
      </c>
      <c r="V262">
        <f t="shared" si="89"/>
        <v>475.98584043018786</v>
      </c>
      <c r="W262">
        <f t="shared" si="90"/>
        <v>123.95326706919855</v>
      </c>
      <c r="AE262">
        <f t="shared" si="74"/>
        <v>0.42960245829154659</v>
      </c>
      <c r="AF262">
        <f t="shared" si="75"/>
        <v>0.41960619618157846</v>
      </c>
      <c r="AG262">
        <f t="shared" si="76"/>
        <v>0.42195563250763213</v>
      </c>
      <c r="AI262">
        <f t="shared" si="77"/>
        <v>0.17361011766538331</v>
      </c>
      <c r="AJ262">
        <f t="shared" si="78"/>
        <v>23.352621633716705</v>
      </c>
      <c r="AL262">
        <f t="shared" si="79"/>
        <v>0.1777460247537872</v>
      </c>
      <c r="AM262">
        <f t="shared" si="80"/>
        <v>24.47853222415721</v>
      </c>
      <c r="AO262">
        <f t="shared" si="81"/>
        <v>0.1767563402106839</v>
      </c>
      <c r="AP262">
        <f t="shared" si="82"/>
        <v>24.206699645929294</v>
      </c>
    </row>
    <row r="263" spans="1:42" x14ac:dyDescent="0.2">
      <c r="A263" s="3">
        <v>260</v>
      </c>
      <c r="B263" s="3">
        <v>1.79E-7</v>
      </c>
      <c r="C263" s="2">
        <v>1.359E-2</v>
      </c>
      <c r="D263" s="3">
        <v>123000</v>
      </c>
      <c r="E263" s="3">
        <v>125000000000</v>
      </c>
      <c r="F263" s="3">
        <v>112000000000</v>
      </c>
      <c r="G263" s="3">
        <v>197000000</v>
      </c>
      <c r="H263" s="3">
        <v>16100000000</v>
      </c>
      <c r="I263" s="2"/>
      <c r="J263" s="7">
        <f t="shared" si="83"/>
        <v>0.17899999999999999</v>
      </c>
      <c r="K263" s="7">
        <f t="shared" si="84"/>
        <v>13.59</v>
      </c>
      <c r="L263" s="7">
        <f t="shared" si="85"/>
        <v>125.00000000000001</v>
      </c>
      <c r="M263" s="7">
        <f t="shared" si="86"/>
        <v>123</v>
      </c>
      <c r="O263">
        <f t="shared" si="87"/>
        <v>9.6134146341463403E-2</v>
      </c>
      <c r="P263">
        <f t="shared" si="88"/>
        <v>96.134146341463406</v>
      </c>
      <c r="V263">
        <f t="shared" si="89"/>
        <v>483.16331381572439</v>
      </c>
      <c r="W263">
        <f t="shared" si="90"/>
        <v>127.28615406312849</v>
      </c>
      <c r="AE263">
        <f t="shared" si="74"/>
        <v>0.44780595228695108</v>
      </c>
      <c r="AF263">
        <f t="shared" si="75"/>
        <v>0.43738611974859448</v>
      </c>
      <c r="AG263">
        <f t="shared" si="76"/>
        <v>0.43983510846134533</v>
      </c>
      <c r="AI263">
        <f t="shared" si="77"/>
        <v>0.16655279580906693</v>
      </c>
      <c r="AJ263">
        <f t="shared" si="78"/>
        <v>21.571990826224717</v>
      </c>
      <c r="AL263">
        <f t="shared" si="79"/>
        <v>0.17052057659306416</v>
      </c>
      <c r="AM263">
        <f t="shared" si="80"/>
        <v>22.612051051971036</v>
      </c>
      <c r="AO263">
        <f t="shared" si="81"/>
        <v>0.16957112312894881</v>
      </c>
      <c r="AP263">
        <f t="shared" si="82"/>
        <v>22.360945631098922</v>
      </c>
    </row>
    <row r="264" spans="1:42" x14ac:dyDescent="0.2">
      <c r="A264" s="3">
        <v>260</v>
      </c>
      <c r="B264" s="3">
        <v>1.8E-7</v>
      </c>
      <c r="C264" s="2">
        <v>1.3639999999999999E-2</v>
      </c>
      <c r="D264" s="3">
        <v>141000</v>
      </c>
      <c r="E264" s="3">
        <v>136000000000</v>
      </c>
      <c r="F264" s="3">
        <v>120000000000</v>
      </c>
      <c r="G264" s="3">
        <v>3260000000</v>
      </c>
      <c r="H264" s="3">
        <v>14400000000</v>
      </c>
      <c r="I264" s="2"/>
      <c r="J264" s="7">
        <f t="shared" si="83"/>
        <v>0.18</v>
      </c>
      <c r="K264" s="7">
        <f t="shared" si="84"/>
        <v>13.639999999999999</v>
      </c>
      <c r="L264" s="7">
        <f t="shared" si="85"/>
        <v>136</v>
      </c>
      <c r="M264" s="7">
        <f t="shared" si="86"/>
        <v>141</v>
      </c>
      <c r="O264">
        <f t="shared" si="87"/>
        <v>0.1074468085106383</v>
      </c>
      <c r="P264">
        <f t="shared" si="88"/>
        <v>107.44680851063831</v>
      </c>
      <c r="V264">
        <f t="shared" si="89"/>
        <v>507.57338019808645</v>
      </c>
      <c r="W264">
        <f t="shared" si="90"/>
        <v>138.89617294840514</v>
      </c>
      <c r="AE264">
        <f t="shared" si="74"/>
        <v>0.51333853067040736</v>
      </c>
      <c r="AF264">
        <f t="shared" si="75"/>
        <v>0.50139384458985226</v>
      </c>
      <c r="AG264">
        <f t="shared" si="76"/>
        <v>0.50420122189471295</v>
      </c>
      <c r="AI264">
        <f t="shared" si="77"/>
        <v>0.14610241686329656</v>
      </c>
      <c r="AJ264">
        <f t="shared" si="78"/>
        <v>16.476203148334385</v>
      </c>
      <c r="AL264">
        <f t="shared" si="79"/>
        <v>0.14958300906416419</v>
      </c>
      <c r="AM264">
        <f t="shared" si="80"/>
        <v>17.270577840218017</v>
      </c>
      <c r="AO264">
        <f t="shared" si="81"/>
        <v>0.14875013534906004</v>
      </c>
      <c r="AP264">
        <f t="shared" si="82"/>
        <v>17.078789147219538</v>
      </c>
    </row>
    <row r="265" spans="1:42" x14ac:dyDescent="0.2">
      <c r="A265" s="3">
        <v>260</v>
      </c>
      <c r="B265" s="3">
        <v>1.8E-7</v>
      </c>
      <c r="C265" s="2">
        <v>1.3690000000000001E-2</v>
      </c>
      <c r="D265" s="3">
        <v>125000</v>
      </c>
      <c r="E265" s="3">
        <v>125000000000</v>
      </c>
      <c r="F265" s="3">
        <v>112000000000</v>
      </c>
      <c r="G265" s="3">
        <v>6330000000</v>
      </c>
      <c r="H265" s="3">
        <v>16000000000</v>
      </c>
      <c r="I265" s="2"/>
      <c r="J265" s="7">
        <f t="shared" si="83"/>
        <v>0.18</v>
      </c>
      <c r="K265" s="7">
        <f t="shared" si="84"/>
        <v>13.690000000000001</v>
      </c>
      <c r="L265" s="7">
        <f t="shared" si="85"/>
        <v>125.00000000000001</v>
      </c>
      <c r="M265" s="7">
        <f t="shared" si="86"/>
        <v>125</v>
      </c>
      <c r="O265">
        <f t="shared" si="87"/>
        <v>9.7859999999999989E-2</v>
      </c>
      <c r="P265">
        <f t="shared" si="88"/>
        <v>97.859999999999985</v>
      </c>
      <c r="V265">
        <f t="shared" si="89"/>
        <v>486.98704128370338</v>
      </c>
      <c r="W265">
        <f t="shared" si="90"/>
        <v>128.34017068554695</v>
      </c>
      <c r="AE265">
        <f t="shared" si="74"/>
        <v>0.4550873498851129</v>
      </c>
      <c r="AF265">
        <f t="shared" si="75"/>
        <v>0.4444980891754009</v>
      </c>
      <c r="AG265">
        <f t="shared" si="76"/>
        <v>0.4469868988428306</v>
      </c>
      <c r="AI265">
        <f t="shared" si="77"/>
        <v>0.16480352622179853</v>
      </c>
      <c r="AJ265">
        <f t="shared" si="78"/>
        <v>21.040904983943566</v>
      </c>
      <c r="AL265">
        <f t="shared" si="79"/>
        <v>0.16872963422437723</v>
      </c>
      <c r="AM265">
        <f t="shared" si="80"/>
        <v>22.055359725918674</v>
      </c>
      <c r="AO265">
        <f t="shared" si="81"/>
        <v>0.16779015267373973</v>
      </c>
      <c r="AP265">
        <f t="shared" si="82"/>
        <v>21.810436327606261</v>
      </c>
    </row>
    <row r="266" spans="1:42" x14ac:dyDescent="0.2">
      <c r="A266" s="3">
        <v>260</v>
      </c>
      <c r="B266" s="3">
        <v>1.8099999999999999E-7</v>
      </c>
      <c r="C266" s="2">
        <v>1.374E-2</v>
      </c>
      <c r="D266" s="3">
        <v>114000</v>
      </c>
      <c r="E266" s="3">
        <v>119000000000</v>
      </c>
      <c r="F266" s="3">
        <v>107000000000</v>
      </c>
      <c r="G266" s="2">
        <v>0</v>
      </c>
      <c r="H266" s="3">
        <v>17400000000</v>
      </c>
      <c r="I266" s="2"/>
      <c r="J266" s="7">
        <f t="shared" si="83"/>
        <v>0.18099999999999999</v>
      </c>
      <c r="K266" s="7">
        <f t="shared" si="84"/>
        <v>13.74</v>
      </c>
      <c r="L266" s="7">
        <f t="shared" si="85"/>
        <v>119.00000000000001</v>
      </c>
      <c r="M266" s="7">
        <f t="shared" si="86"/>
        <v>114</v>
      </c>
      <c r="O266">
        <f t="shared" si="87"/>
        <v>9.060526315789473E-2</v>
      </c>
      <c r="P266">
        <f t="shared" si="88"/>
        <v>90.605263157894726</v>
      </c>
      <c r="V266">
        <f t="shared" si="89"/>
        <v>470.64949264603882</v>
      </c>
      <c r="W266">
        <f t="shared" si="90"/>
        <v>121.10923498406481</v>
      </c>
      <c r="AE266">
        <f t="shared" si="74"/>
        <v>0.41503966309522294</v>
      </c>
      <c r="AF266">
        <f t="shared" si="75"/>
        <v>0.40538225732796562</v>
      </c>
      <c r="AG266">
        <f t="shared" si="76"/>
        <v>0.40765205174466151</v>
      </c>
      <c r="AI266">
        <f t="shared" si="77"/>
        <v>0.18170954097310876</v>
      </c>
      <c r="AJ266">
        <f t="shared" si="78"/>
        <v>25.389726527870152</v>
      </c>
      <c r="AL266">
        <f t="shared" si="79"/>
        <v>0.18603840030831065</v>
      </c>
      <c r="AM266">
        <f t="shared" si="80"/>
        <v>26.613852985040321</v>
      </c>
      <c r="AO266">
        <f t="shared" si="81"/>
        <v>0.18500254406644062</v>
      </c>
      <c r="AP266">
        <f t="shared" si="82"/>
        <v>26.318307802541078</v>
      </c>
    </row>
    <row r="267" spans="1:42" x14ac:dyDescent="0.2">
      <c r="A267" s="3">
        <v>270</v>
      </c>
      <c r="B267" s="3">
        <v>1.8199999999999999E-7</v>
      </c>
      <c r="C267" s="2">
        <v>1.38E-2</v>
      </c>
      <c r="D267" s="3">
        <v>121000</v>
      </c>
      <c r="E267" s="3">
        <v>123000000000</v>
      </c>
      <c r="F267" s="3">
        <v>110000000000</v>
      </c>
      <c r="G267" s="3">
        <v>2950000000</v>
      </c>
      <c r="H267" s="3">
        <v>16500000000</v>
      </c>
      <c r="I267" s="2"/>
      <c r="J267" s="7">
        <f t="shared" si="83"/>
        <v>0.182</v>
      </c>
      <c r="K267" s="7">
        <f t="shared" si="84"/>
        <v>13.799999999999999</v>
      </c>
      <c r="L267" s="7">
        <f t="shared" si="85"/>
        <v>123.00000000000001</v>
      </c>
      <c r="M267" s="7">
        <f t="shared" si="86"/>
        <v>121</v>
      </c>
      <c r="O267">
        <f t="shared" si="87"/>
        <v>9.6462809917355369E-2</v>
      </c>
      <c r="P267">
        <f t="shared" si="88"/>
        <v>96.462809917355372</v>
      </c>
      <c r="V267">
        <f t="shared" si="89"/>
        <v>483.89441624853526</v>
      </c>
      <c r="W267">
        <f t="shared" si="90"/>
        <v>125.02727448073365</v>
      </c>
      <c r="AE267">
        <f t="shared" si="74"/>
        <v>0.44052455468878926</v>
      </c>
      <c r="AF267">
        <f t="shared" si="75"/>
        <v>0.43027415032178806</v>
      </c>
      <c r="AG267">
        <f t="shared" si="76"/>
        <v>0.43268331807986005</v>
      </c>
      <c r="AI267">
        <f t="shared" si="77"/>
        <v>0.17214326086069404</v>
      </c>
      <c r="AJ267">
        <f t="shared" si="78"/>
        <v>22.635460737292476</v>
      </c>
      <c r="AL267">
        <f t="shared" si="79"/>
        <v>0.17624422307642709</v>
      </c>
      <c r="AM267">
        <f t="shared" si="80"/>
        <v>23.726794522567424</v>
      </c>
      <c r="AO267">
        <f t="shared" si="81"/>
        <v>0.17526290052009083</v>
      </c>
      <c r="AP267">
        <f t="shared" si="82"/>
        <v>23.463309944771193</v>
      </c>
    </row>
    <row r="268" spans="1:42" x14ac:dyDescent="0.2">
      <c r="A268" s="3">
        <v>270</v>
      </c>
      <c r="B268" s="3">
        <v>1.8199999999999999E-7</v>
      </c>
      <c r="C268" s="2">
        <v>1.3849999999999999E-2</v>
      </c>
      <c r="D268" s="3">
        <v>132000</v>
      </c>
      <c r="E268" s="3">
        <v>128000000000</v>
      </c>
      <c r="F268" s="3">
        <v>115000000000</v>
      </c>
      <c r="G268" s="3">
        <v>4390000000</v>
      </c>
      <c r="H268" s="3">
        <v>15300000000</v>
      </c>
      <c r="I268" s="2"/>
      <c r="J268" s="7">
        <f t="shared" si="83"/>
        <v>0.182</v>
      </c>
      <c r="K268" s="7">
        <f t="shared" si="84"/>
        <v>13.85</v>
      </c>
      <c r="L268" s="7">
        <f t="shared" si="85"/>
        <v>128</v>
      </c>
      <c r="M268" s="7">
        <f t="shared" si="86"/>
        <v>132</v>
      </c>
      <c r="O268">
        <f t="shared" si="87"/>
        <v>0.10330681818181818</v>
      </c>
      <c r="P268">
        <f t="shared" si="88"/>
        <v>103.30681818181819</v>
      </c>
      <c r="V268">
        <f t="shared" si="89"/>
        <v>498.81431367965109</v>
      </c>
      <c r="W268">
        <f t="shared" si="90"/>
        <v>132.3137652428847</v>
      </c>
      <c r="AE268">
        <f t="shared" si="74"/>
        <v>0.48057224147867922</v>
      </c>
      <c r="AF268">
        <f t="shared" si="75"/>
        <v>0.46938998216922334</v>
      </c>
      <c r="AG268">
        <f t="shared" si="76"/>
        <v>0.47201816517802914</v>
      </c>
      <c r="AI268">
        <f t="shared" si="77"/>
        <v>0.15779798912230286</v>
      </c>
      <c r="AJ268">
        <f t="shared" si="78"/>
        <v>19.088987961247785</v>
      </c>
      <c r="AL268">
        <f t="shared" si="79"/>
        <v>0.16155720448672484</v>
      </c>
      <c r="AM268">
        <f t="shared" si="80"/>
        <v>20.009334038166578</v>
      </c>
      <c r="AO268">
        <f t="shared" si="81"/>
        <v>0.16065765881008329</v>
      </c>
      <c r="AP268">
        <f t="shared" si="82"/>
        <v>19.787131627890904</v>
      </c>
    </row>
    <row r="269" spans="1:42" x14ac:dyDescent="0.2">
      <c r="A269" s="3">
        <v>270</v>
      </c>
      <c r="B269" s="3">
        <v>1.8300000000000001E-7</v>
      </c>
      <c r="C269" s="2">
        <v>1.3899999999999999E-2</v>
      </c>
      <c r="D269" s="3">
        <v>133000</v>
      </c>
      <c r="E269" s="3">
        <v>129000000000</v>
      </c>
      <c r="F269" s="3">
        <v>115000000000</v>
      </c>
      <c r="G269" s="3">
        <v>104000000</v>
      </c>
      <c r="H269" s="3">
        <v>15200000000</v>
      </c>
      <c r="I269" s="2"/>
      <c r="J269" s="7">
        <f t="shared" si="83"/>
        <v>0.18300000000000002</v>
      </c>
      <c r="K269" s="7">
        <f t="shared" si="84"/>
        <v>13.899999999999999</v>
      </c>
      <c r="L269" s="7">
        <f t="shared" si="85"/>
        <v>129</v>
      </c>
      <c r="M269" s="7">
        <f t="shared" si="86"/>
        <v>133</v>
      </c>
      <c r="O269">
        <f t="shared" si="87"/>
        <v>0.1046165413533835</v>
      </c>
      <c r="P269">
        <f t="shared" si="88"/>
        <v>104.6165413533835</v>
      </c>
      <c r="V269">
        <f t="shared" si="89"/>
        <v>501.60612931134284</v>
      </c>
      <c r="W269">
        <f t="shared" si="90"/>
        <v>132.5741375834026</v>
      </c>
      <c r="AE269">
        <f t="shared" ref="AE269:AE332" si="91">M269/(2*$Y$5)</f>
        <v>0.48421294027776013</v>
      </c>
      <c r="AF269">
        <f t="shared" ref="AF269:AF332" si="92">M269/(2*$Y$8)</f>
        <v>0.47294596688262658</v>
      </c>
      <c r="AG269">
        <f t="shared" ref="AG269:AG332" si="93">M269/(2*$Y$11)</f>
        <v>0.47559406036877178</v>
      </c>
      <c r="AI269">
        <f t="shared" ref="AI269:AI332" si="94">J269/(2.4*AE269)</f>
        <v>0.15747204103273357</v>
      </c>
      <c r="AJ269">
        <f t="shared" ref="AJ269:AJ332" si="95">K269/(3.14159*(AE269^2))</f>
        <v>18.870895574586669</v>
      </c>
      <c r="AL269">
        <f t="shared" ref="AL269:AL332" si="96">J269/(2.4*AF269)</f>
        <v>0.16122349134848077</v>
      </c>
      <c r="AM269">
        <f t="shared" ref="AM269:AM332" si="97">K269/(3.14159*(AF269^2))</f>
        <v>19.780726663865629</v>
      </c>
      <c r="AO269">
        <f t="shared" ref="AO269:AO332" si="98">J269/(2.4*AG269)</f>
        <v>0.16032580377659969</v>
      </c>
      <c r="AP269">
        <f t="shared" ref="AP269:AP332" si="99">K269/(3.14159*(AG269^2))</f>
        <v>19.561062924266338</v>
      </c>
    </row>
    <row r="270" spans="1:42" x14ac:dyDescent="0.2">
      <c r="A270" s="3">
        <v>270</v>
      </c>
      <c r="B270" s="3">
        <v>1.8300000000000001E-7</v>
      </c>
      <c r="C270" s="2">
        <v>1.3950000000000001E-2</v>
      </c>
      <c r="D270" s="3">
        <v>124000</v>
      </c>
      <c r="E270" s="3">
        <v>124000000000</v>
      </c>
      <c r="F270" s="3">
        <v>111000000000</v>
      </c>
      <c r="G270" s="2">
        <v>0</v>
      </c>
      <c r="H270" s="3">
        <v>16200000000</v>
      </c>
      <c r="I270" s="2"/>
      <c r="J270" s="7">
        <f t="shared" ref="J270:J333" si="100">B270*(10^6)</f>
        <v>0.18300000000000002</v>
      </c>
      <c r="K270" s="7">
        <f t="shared" ref="K270:K333" si="101">C270*1000</f>
        <v>13.950000000000001</v>
      </c>
      <c r="L270" s="7">
        <f t="shared" ref="L270:L333" si="102">E270*(10^-9)</f>
        <v>124.00000000000001</v>
      </c>
      <c r="M270" s="7">
        <f t="shared" ref="M270:M333" si="103">D270*(10^-3)</f>
        <v>124</v>
      </c>
      <c r="O270">
        <f t="shared" ref="O270:O333" si="104">J270-(0.75*(K270/M270))</f>
        <v>9.8625000000000018E-2</v>
      </c>
      <c r="P270">
        <f t="shared" ref="P270:P333" si="105">O270*1000</f>
        <v>98.625000000000014</v>
      </c>
      <c r="V270">
        <f t="shared" si="89"/>
        <v>488.66992566803668</v>
      </c>
      <c r="W270">
        <f t="shared" si="90"/>
        <v>126.87500650923594</v>
      </c>
      <c r="AE270">
        <f t="shared" si="91"/>
        <v>0.45144665108603199</v>
      </c>
      <c r="AF270">
        <f t="shared" si="92"/>
        <v>0.44094210446199766</v>
      </c>
      <c r="AG270">
        <f t="shared" si="93"/>
        <v>0.44341100365208796</v>
      </c>
      <c r="AI270">
        <f t="shared" si="94"/>
        <v>0.16890146336575454</v>
      </c>
      <c r="AJ270">
        <f t="shared" si="95"/>
        <v>21.787722255524574</v>
      </c>
      <c r="AL270">
        <f t="shared" si="96"/>
        <v>0.17292519636570922</v>
      </c>
      <c r="AM270">
        <f t="shared" si="97"/>
        <v>22.8381836389974</v>
      </c>
      <c r="AO270">
        <f t="shared" si="98"/>
        <v>0.17196235405070776</v>
      </c>
      <c r="AP270">
        <f t="shared" si="99"/>
        <v>22.584567029807712</v>
      </c>
    </row>
    <row r="271" spans="1:42" x14ac:dyDescent="0.2">
      <c r="A271" s="3">
        <v>270</v>
      </c>
      <c r="B271" s="3">
        <v>1.8400000000000001E-7</v>
      </c>
      <c r="C271" s="2">
        <v>1.401E-2</v>
      </c>
      <c r="D271" s="3">
        <v>127000</v>
      </c>
      <c r="E271" s="3">
        <v>125000000000</v>
      </c>
      <c r="F271" s="3">
        <v>112000000000</v>
      </c>
      <c r="G271" s="3">
        <v>8300000000</v>
      </c>
      <c r="H271" s="3">
        <v>15800000000</v>
      </c>
      <c r="I271" s="2"/>
      <c r="J271" s="7">
        <f t="shared" si="100"/>
        <v>0.184</v>
      </c>
      <c r="K271" s="7">
        <f t="shared" si="101"/>
        <v>14.01</v>
      </c>
      <c r="L271" s="7">
        <f t="shared" si="102"/>
        <v>125.00000000000001</v>
      </c>
      <c r="M271" s="7">
        <f t="shared" si="103"/>
        <v>127</v>
      </c>
      <c r="O271">
        <f t="shared" si="104"/>
        <v>0.10126377952755905</v>
      </c>
      <c r="P271">
        <f t="shared" si="105"/>
        <v>101.26377952755905</v>
      </c>
      <c r="V271">
        <f t="shared" si="89"/>
        <v>494.41970817993223</v>
      </c>
      <c r="W271">
        <f t="shared" si="90"/>
        <v>128.43339160924123</v>
      </c>
      <c r="AE271">
        <f t="shared" si="91"/>
        <v>0.46236874748327472</v>
      </c>
      <c r="AF271">
        <f t="shared" si="92"/>
        <v>0.45161005860220732</v>
      </c>
      <c r="AG271">
        <f t="shared" si="93"/>
        <v>0.45413868922431594</v>
      </c>
      <c r="AI271">
        <f t="shared" si="94"/>
        <v>0.16581282165797753</v>
      </c>
      <c r="AJ271">
        <f t="shared" si="95"/>
        <v>20.859874269914101</v>
      </c>
      <c r="AL271">
        <f t="shared" si="96"/>
        <v>0.16976297406652124</v>
      </c>
      <c r="AM271">
        <f t="shared" si="97"/>
        <v>21.865600895563865</v>
      </c>
      <c r="AO271">
        <f t="shared" si="98"/>
        <v>0.16881773891058677</v>
      </c>
      <c r="AP271">
        <f t="shared" si="99"/>
        <v>21.622784757262977</v>
      </c>
    </row>
    <row r="272" spans="1:42" x14ac:dyDescent="0.2">
      <c r="A272" s="3">
        <v>270</v>
      </c>
      <c r="B272" s="3">
        <v>1.8400000000000001E-7</v>
      </c>
      <c r="C272" s="2">
        <v>1.406E-2</v>
      </c>
      <c r="D272" s="3">
        <v>124000</v>
      </c>
      <c r="E272" s="3">
        <v>124000000000</v>
      </c>
      <c r="F272" s="3">
        <v>111000000000</v>
      </c>
      <c r="G272" s="3">
        <v>2020000000</v>
      </c>
      <c r="H272" s="3">
        <v>16200000000</v>
      </c>
      <c r="I272" s="2"/>
      <c r="J272" s="7">
        <f t="shared" si="100"/>
        <v>0.184</v>
      </c>
      <c r="K272" s="7">
        <f t="shared" si="101"/>
        <v>14.059999999999999</v>
      </c>
      <c r="L272" s="7">
        <f t="shared" si="102"/>
        <v>124.00000000000001</v>
      </c>
      <c r="M272" s="7">
        <f t="shared" si="103"/>
        <v>124</v>
      </c>
      <c r="O272">
        <f t="shared" si="104"/>
        <v>9.8959677419354852E-2</v>
      </c>
      <c r="P272">
        <f t="shared" si="105"/>
        <v>98.959677419354847</v>
      </c>
      <c r="V272">
        <f t="shared" si="89"/>
        <v>489.40387899492362</v>
      </c>
      <c r="W272">
        <f t="shared" si="90"/>
        <v>126.6847335320019</v>
      </c>
      <c r="AE272">
        <f t="shared" si="91"/>
        <v>0.45144665108603199</v>
      </c>
      <c r="AF272">
        <f t="shared" si="92"/>
        <v>0.44094210446199766</v>
      </c>
      <c r="AG272">
        <f t="shared" si="93"/>
        <v>0.44341100365208796</v>
      </c>
      <c r="AI272">
        <f t="shared" si="94"/>
        <v>0.16982442218196084</v>
      </c>
      <c r="AJ272">
        <f t="shared" si="95"/>
        <v>21.959525083345913</v>
      </c>
      <c r="AL272">
        <f t="shared" si="96"/>
        <v>0.17387014279393712</v>
      </c>
      <c r="AM272">
        <f t="shared" si="97"/>
        <v>23.018269674860459</v>
      </c>
      <c r="AO272">
        <f t="shared" si="98"/>
        <v>0.17290203904552034</v>
      </c>
      <c r="AP272">
        <f t="shared" si="99"/>
        <v>22.762653221440601</v>
      </c>
    </row>
    <row r="273" spans="1:42" x14ac:dyDescent="0.2">
      <c r="A273" s="3">
        <v>270</v>
      </c>
      <c r="B273" s="3">
        <v>1.85E-7</v>
      </c>
      <c r="C273" s="2">
        <v>1.4109999999999999E-2</v>
      </c>
      <c r="D273" s="3">
        <v>134000</v>
      </c>
      <c r="E273" s="3">
        <v>129000000000</v>
      </c>
      <c r="F273" s="3">
        <v>116000000000</v>
      </c>
      <c r="G273" s="2">
        <v>0</v>
      </c>
      <c r="H273" s="3">
        <v>15100000000</v>
      </c>
      <c r="I273" s="2"/>
      <c r="J273" s="7">
        <f t="shared" si="100"/>
        <v>0.185</v>
      </c>
      <c r="K273" s="7">
        <f t="shared" si="101"/>
        <v>14.11</v>
      </c>
      <c r="L273" s="7">
        <f t="shared" si="102"/>
        <v>129</v>
      </c>
      <c r="M273" s="7">
        <f t="shared" si="103"/>
        <v>134</v>
      </c>
      <c r="O273">
        <f t="shared" si="104"/>
        <v>0.10602611940298506</v>
      </c>
      <c r="P273">
        <f t="shared" si="105"/>
        <v>106.02611940298506</v>
      </c>
      <c r="V273">
        <f t="shared" si="89"/>
        <v>504.58913173940624</v>
      </c>
      <c r="W273">
        <f t="shared" si="90"/>
        <v>132.78129825951538</v>
      </c>
      <c r="AE273">
        <f t="shared" si="91"/>
        <v>0.48785363907684104</v>
      </c>
      <c r="AF273">
        <f t="shared" si="92"/>
        <v>0.47650195159602976</v>
      </c>
      <c r="AG273">
        <f t="shared" si="93"/>
        <v>0.47916995555951442</v>
      </c>
      <c r="AI273">
        <f t="shared" si="94"/>
        <v>0.15800503913263228</v>
      </c>
      <c r="AJ273">
        <f t="shared" si="95"/>
        <v>18.871151885921641</v>
      </c>
      <c r="AL273">
        <f t="shared" si="96"/>
        <v>0.16176918704140644</v>
      </c>
      <c r="AM273">
        <f t="shared" si="97"/>
        <v>19.78099533285582</v>
      </c>
      <c r="AO273">
        <f t="shared" si="98"/>
        <v>0.16086846105224839</v>
      </c>
      <c r="AP273">
        <f t="shared" si="99"/>
        <v>19.561328609704095</v>
      </c>
    </row>
    <row r="274" spans="1:42" x14ac:dyDescent="0.2">
      <c r="A274" s="3">
        <v>270</v>
      </c>
      <c r="B274" s="3">
        <v>1.85E-7</v>
      </c>
      <c r="C274" s="2">
        <v>1.4160000000000001E-2</v>
      </c>
      <c r="D274" s="3">
        <v>135000</v>
      </c>
      <c r="E274" s="3">
        <v>130000000000</v>
      </c>
      <c r="F274" s="3">
        <v>116000000000</v>
      </c>
      <c r="G274" s="3">
        <v>131000000</v>
      </c>
      <c r="H274" s="3">
        <v>15200000000</v>
      </c>
      <c r="I274" s="2"/>
      <c r="J274" s="7">
        <f t="shared" si="100"/>
        <v>0.185</v>
      </c>
      <c r="K274" s="7">
        <f t="shared" si="101"/>
        <v>14.16</v>
      </c>
      <c r="L274" s="7">
        <f t="shared" si="102"/>
        <v>130</v>
      </c>
      <c r="M274" s="7">
        <f t="shared" si="103"/>
        <v>135</v>
      </c>
      <c r="O274">
        <f t="shared" si="104"/>
        <v>0.10633333333333334</v>
      </c>
      <c r="P274">
        <f t="shared" si="105"/>
        <v>106.33333333333333</v>
      </c>
      <c r="V274">
        <f t="shared" si="89"/>
        <v>505.23633277168346</v>
      </c>
      <c r="W274">
        <f t="shared" si="90"/>
        <v>133.60084305437962</v>
      </c>
      <c r="AE274">
        <f t="shared" si="91"/>
        <v>0.49149433787592195</v>
      </c>
      <c r="AF274">
        <f t="shared" si="92"/>
        <v>0.48005793630943294</v>
      </c>
      <c r="AG274">
        <f t="shared" si="93"/>
        <v>0.48274585075025706</v>
      </c>
      <c r="AI274">
        <f t="shared" si="94"/>
        <v>0.15683463143535351</v>
      </c>
      <c r="AJ274">
        <f t="shared" si="95"/>
        <v>18.658499250792385</v>
      </c>
      <c r="AL274">
        <f t="shared" si="96"/>
        <v>0.16057089676702568</v>
      </c>
      <c r="AM274">
        <f t="shared" si="97"/>
        <v>19.558089979306661</v>
      </c>
      <c r="AO274">
        <f t="shared" si="98"/>
        <v>0.15967684282223171</v>
      </c>
      <c r="AP274">
        <f t="shared" si="99"/>
        <v>19.340898606245421</v>
      </c>
    </row>
    <row r="275" spans="1:42" x14ac:dyDescent="0.2">
      <c r="A275" s="3">
        <v>270</v>
      </c>
      <c r="B275" s="3">
        <v>1.86E-7</v>
      </c>
      <c r="C275" s="2">
        <v>1.421E-2</v>
      </c>
      <c r="D275" s="3">
        <v>131000</v>
      </c>
      <c r="E275" s="3">
        <v>127000000000</v>
      </c>
      <c r="F275" s="3">
        <v>114000000000</v>
      </c>
      <c r="G275" s="2">
        <v>0</v>
      </c>
      <c r="H275" s="3">
        <v>15400000000</v>
      </c>
      <c r="I275" s="2"/>
      <c r="J275" s="7">
        <f t="shared" si="100"/>
        <v>0.186</v>
      </c>
      <c r="K275" s="7">
        <f t="shared" si="101"/>
        <v>14.21</v>
      </c>
      <c r="L275" s="7">
        <f t="shared" si="102"/>
        <v>127.00000000000001</v>
      </c>
      <c r="M275" s="7">
        <f t="shared" si="103"/>
        <v>131</v>
      </c>
      <c r="O275">
        <f t="shared" si="104"/>
        <v>0.10464503816793894</v>
      </c>
      <c r="P275">
        <f t="shared" si="105"/>
        <v>104.64503816793894</v>
      </c>
      <c r="V275">
        <f t="shared" si="89"/>
        <v>501.66665631624306</v>
      </c>
      <c r="W275">
        <f t="shared" si="90"/>
        <v>130.56478674697843</v>
      </c>
      <c r="AE275">
        <f t="shared" si="91"/>
        <v>0.47693154267959831</v>
      </c>
      <c r="AF275">
        <f t="shared" si="92"/>
        <v>0.46583399745582016</v>
      </c>
      <c r="AG275">
        <f t="shared" si="93"/>
        <v>0.4684422699872865</v>
      </c>
      <c r="AI275">
        <f t="shared" si="94"/>
        <v>0.16249711554948329</v>
      </c>
      <c r="AJ275">
        <f t="shared" si="95"/>
        <v>19.885315216349486</v>
      </c>
      <c r="AL275">
        <f t="shared" si="96"/>
        <v>0.16636827802021928</v>
      </c>
      <c r="AM275">
        <f t="shared" si="97"/>
        <v>20.844054982167044</v>
      </c>
      <c r="AO275">
        <f t="shared" si="98"/>
        <v>0.16544194443021412</v>
      </c>
      <c r="AP275">
        <f t="shared" si="99"/>
        <v>20.612583047712775</v>
      </c>
    </row>
    <row r="276" spans="1:42" x14ac:dyDescent="0.2">
      <c r="A276" s="3">
        <v>270</v>
      </c>
      <c r="B276" s="3">
        <v>1.86E-7</v>
      </c>
      <c r="C276" s="2">
        <v>1.426E-2</v>
      </c>
      <c r="D276" s="3">
        <v>120000</v>
      </c>
      <c r="E276" s="3">
        <v>120000000000</v>
      </c>
      <c r="F276" s="3">
        <v>108000000000</v>
      </c>
      <c r="G276" s="3">
        <v>678000000</v>
      </c>
      <c r="H276" s="3">
        <v>16900000000</v>
      </c>
      <c r="I276" s="2"/>
      <c r="J276" s="7">
        <f t="shared" si="100"/>
        <v>0.186</v>
      </c>
      <c r="K276" s="7">
        <f t="shared" si="101"/>
        <v>14.26</v>
      </c>
      <c r="L276" s="7">
        <f t="shared" si="102"/>
        <v>120.00000000000001</v>
      </c>
      <c r="M276" s="7">
        <f t="shared" si="103"/>
        <v>120</v>
      </c>
      <c r="O276">
        <f t="shared" si="104"/>
        <v>9.6875000000000003E-2</v>
      </c>
      <c r="P276">
        <f t="shared" si="105"/>
        <v>96.875</v>
      </c>
      <c r="V276">
        <f t="shared" si="89"/>
        <v>484.80936253575391</v>
      </c>
      <c r="W276">
        <f t="shared" si="90"/>
        <v>123.75998616481978</v>
      </c>
      <c r="AE276">
        <f t="shared" si="91"/>
        <v>0.43688385588970841</v>
      </c>
      <c r="AF276">
        <f t="shared" si="92"/>
        <v>0.42671816560838488</v>
      </c>
      <c r="AG276">
        <f t="shared" si="93"/>
        <v>0.42910742288911741</v>
      </c>
      <c r="AI276">
        <f t="shared" si="94"/>
        <v>0.17739268447485257</v>
      </c>
      <c r="AJ276">
        <f t="shared" si="95"/>
        <v>23.781433334017755</v>
      </c>
      <c r="AL276">
        <f t="shared" si="96"/>
        <v>0.18161870350540602</v>
      </c>
      <c r="AM276">
        <f t="shared" si="97"/>
        <v>24.928018418407866</v>
      </c>
      <c r="AO276">
        <f t="shared" si="98"/>
        <v>0.18060745600298372</v>
      </c>
      <c r="AP276">
        <f t="shared" si="99"/>
        <v>24.651194323942704</v>
      </c>
    </row>
    <row r="277" spans="1:42" x14ac:dyDescent="0.2">
      <c r="A277" s="3">
        <v>280</v>
      </c>
      <c r="B277" s="3">
        <v>1.8699999999999999E-7</v>
      </c>
      <c r="C277" s="2">
        <v>1.4319999999999999E-2</v>
      </c>
      <c r="D277" s="3">
        <v>124000</v>
      </c>
      <c r="E277" s="3">
        <v>122000000000</v>
      </c>
      <c r="F277" s="3">
        <v>110000000000</v>
      </c>
      <c r="G277" s="2">
        <v>0</v>
      </c>
      <c r="H277" s="3">
        <v>16400000000</v>
      </c>
      <c r="I277" s="2"/>
      <c r="J277" s="7">
        <f t="shared" si="100"/>
        <v>0.187</v>
      </c>
      <c r="K277" s="7">
        <f t="shared" si="101"/>
        <v>14.32</v>
      </c>
      <c r="L277" s="7">
        <f t="shared" si="102"/>
        <v>122.00000000000001</v>
      </c>
      <c r="M277" s="7">
        <f t="shared" si="103"/>
        <v>124</v>
      </c>
      <c r="O277">
        <f t="shared" si="104"/>
        <v>0.10038709677419354</v>
      </c>
      <c r="P277">
        <f t="shared" si="105"/>
        <v>100.38709677419354</v>
      </c>
      <c r="V277">
        <f t="shared" si="89"/>
        <v>492.51881382112737</v>
      </c>
      <c r="W277">
        <f t="shared" si="90"/>
        <v>125.8835160407032</v>
      </c>
      <c r="AE277">
        <f t="shared" si="91"/>
        <v>0.45144665108603199</v>
      </c>
      <c r="AF277">
        <f t="shared" si="92"/>
        <v>0.44094210446199766</v>
      </c>
      <c r="AG277">
        <f t="shared" si="93"/>
        <v>0.44341100365208796</v>
      </c>
      <c r="AI277">
        <f t="shared" si="94"/>
        <v>0.17259329863057976</v>
      </c>
      <c r="AJ277">
        <f t="shared" si="95"/>
        <v>22.365604494559992</v>
      </c>
      <c r="AL277">
        <f t="shared" si="96"/>
        <v>0.17670498207862087</v>
      </c>
      <c r="AM277">
        <f t="shared" si="97"/>
        <v>23.443927577809518</v>
      </c>
      <c r="AO277">
        <f t="shared" si="98"/>
        <v>0.17572109402995817</v>
      </c>
      <c r="AP277">
        <f t="shared" si="99"/>
        <v>23.183584219845621</v>
      </c>
    </row>
    <row r="278" spans="1:42" x14ac:dyDescent="0.2">
      <c r="A278" s="3">
        <v>280</v>
      </c>
      <c r="B278" s="3">
        <v>1.8699999999999999E-7</v>
      </c>
      <c r="C278" s="2">
        <v>1.4370000000000001E-2</v>
      </c>
      <c r="D278" s="3">
        <v>131000</v>
      </c>
      <c r="E278" s="3">
        <v>127000000000</v>
      </c>
      <c r="F278" s="3">
        <v>113000000000</v>
      </c>
      <c r="G278" s="2">
        <v>0</v>
      </c>
      <c r="H278" s="3">
        <v>15500000000</v>
      </c>
      <c r="I278" s="2"/>
      <c r="J278" s="7">
        <f t="shared" si="100"/>
        <v>0.187</v>
      </c>
      <c r="K278" s="7">
        <f t="shared" si="101"/>
        <v>14.370000000000001</v>
      </c>
      <c r="L278" s="7">
        <f t="shared" si="102"/>
        <v>127.00000000000001</v>
      </c>
      <c r="M278" s="7">
        <f t="shared" si="103"/>
        <v>131</v>
      </c>
      <c r="O278">
        <f t="shared" si="104"/>
        <v>0.10472900763358778</v>
      </c>
      <c r="P278">
        <f t="shared" si="105"/>
        <v>104.72900763358778</v>
      </c>
      <c r="V278">
        <f t="shared" si="89"/>
        <v>501.84495342348919</v>
      </c>
      <c r="W278">
        <f t="shared" si="90"/>
        <v>130.51839926489581</v>
      </c>
      <c r="AE278">
        <f t="shared" si="91"/>
        <v>0.47693154267959831</v>
      </c>
      <c r="AF278">
        <f t="shared" si="92"/>
        <v>0.46583399745582016</v>
      </c>
      <c r="AG278">
        <f t="shared" si="93"/>
        <v>0.4684422699872865</v>
      </c>
      <c r="AI278">
        <f t="shared" si="94"/>
        <v>0.1633707559556633</v>
      </c>
      <c r="AJ278">
        <f t="shared" si="95"/>
        <v>20.109217428496983</v>
      </c>
      <c r="AL278">
        <f t="shared" si="96"/>
        <v>0.16726273112785486</v>
      </c>
      <c r="AM278">
        <f t="shared" si="97"/>
        <v>21.078752293718537</v>
      </c>
      <c r="AO278">
        <f t="shared" si="98"/>
        <v>0.16633141724973138</v>
      </c>
      <c r="AP278">
        <f t="shared" si="99"/>
        <v>20.844674060213411</v>
      </c>
    </row>
    <row r="279" spans="1:42" x14ac:dyDescent="0.2">
      <c r="A279" s="3">
        <v>280</v>
      </c>
      <c r="B279" s="3">
        <v>1.8799999999999999E-7</v>
      </c>
      <c r="C279" s="2">
        <v>1.4420000000000001E-2</v>
      </c>
      <c r="D279" s="3">
        <v>135000</v>
      </c>
      <c r="E279" s="3">
        <v>129000000000</v>
      </c>
      <c r="F279" s="3">
        <v>115000000000</v>
      </c>
      <c r="G279" s="3">
        <v>2460000000</v>
      </c>
      <c r="H279" s="3">
        <v>15200000000</v>
      </c>
      <c r="I279" s="2"/>
      <c r="J279" s="7">
        <f t="shared" si="100"/>
        <v>0.188</v>
      </c>
      <c r="K279" s="7">
        <f t="shared" si="101"/>
        <v>14.42</v>
      </c>
      <c r="L279" s="7">
        <f t="shared" si="102"/>
        <v>129</v>
      </c>
      <c r="M279" s="7">
        <f t="shared" si="103"/>
        <v>135</v>
      </c>
      <c r="O279">
        <f t="shared" si="104"/>
        <v>0.10788888888888888</v>
      </c>
      <c r="P279">
        <f t="shared" si="105"/>
        <v>107.88888888888889</v>
      </c>
      <c r="V279">
        <f t="shared" si="89"/>
        <v>508.49751013738808</v>
      </c>
      <c r="W279">
        <f t="shared" si="90"/>
        <v>132.74401281092321</v>
      </c>
      <c r="AE279">
        <f t="shared" si="91"/>
        <v>0.49149433787592195</v>
      </c>
      <c r="AF279">
        <f t="shared" si="92"/>
        <v>0.48005793630943294</v>
      </c>
      <c r="AG279">
        <f t="shared" si="93"/>
        <v>0.48274585075025706</v>
      </c>
      <c r="AI279">
        <f t="shared" si="94"/>
        <v>0.15937789572889979</v>
      </c>
      <c r="AJ279">
        <f t="shared" si="95"/>
        <v>19.001098813306935</v>
      </c>
      <c r="AL279">
        <f t="shared" si="96"/>
        <v>0.16317474914703151</v>
      </c>
      <c r="AM279">
        <f t="shared" si="97"/>
        <v>19.917207450678109</v>
      </c>
      <c r="AO279">
        <f t="shared" si="98"/>
        <v>0.16226619703015982</v>
      </c>
      <c r="AP279">
        <f t="shared" si="99"/>
        <v>19.696028100427892</v>
      </c>
    </row>
    <row r="280" spans="1:42" x14ac:dyDescent="0.2">
      <c r="A280" s="3">
        <v>280</v>
      </c>
      <c r="B280" s="3">
        <v>1.8799999999999999E-7</v>
      </c>
      <c r="C280" s="2">
        <v>1.447E-2</v>
      </c>
      <c r="D280" s="3">
        <v>120000</v>
      </c>
      <c r="E280" s="3">
        <v>120000000000</v>
      </c>
      <c r="F280" s="3">
        <v>108000000000</v>
      </c>
      <c r="G280" s="3">
        <v>3500000000</v>
      </c>
      <c r="H280" s="3">
        <v>17000000000</v>
      </c>
      <c r="I280" s="2"/>
      <c r="J280" s="7">
        <f t="shared" si="100"/>
        <v>0.188</v>
      </c>
      <c r="K280" s="7">
        <f t="shared" si="101"/>
        <v>14.47</v>
      </c>
      <c r="L280" s="7">
        <f t="shared" si="102"/>
        <v>120.00000000000001</v>
      </c>
      <c r="M280" s="7">
        <f t="shared" si="103"/>
        <v>120</v>
      </c>
      <c r="O280">
        <f t="shared" si="104"/>
        <v>9.7562499999999996E-2</v>
      </c>
      <c r="P280">
        <f t="shared" si="105"/>
        <v>97.5625</v>
      </c>
      <c r="V280">
        <f t="shared" si="89"/>
        <v>486.33060798057926</v>
      </c>
      <c r="W280">
        <f t="shared" si="90"/>
        <v>123.37286408754267</v>
      </c>
      <c r="AE280">
        <f t="shared" si="91"/>
        <v>0.43688385588970841</v>
      </c>
      <c r="AF280">
        <f t="shared" si="92"/>
        <v>0.42671816560838488</v>
      </c>
      <c r="AG280">
        <f t="shared" si="93"/>
        <v>0.42910742288911741</v>
      </c>
      <c r="AI280">
        <f t="shared" si="94"/>
        <v>0.17930013269501227</v>
      </c>
      <c r="AJ280">
        <f t="shared" si="95"/>
        <v>24.131650795458413</v>
      </c>
      <c r="AL280">
        <f t="shared" si="96"/>
        <v>0.18357159279041038</v>
      </c>
      <c r="AM280">
        <f t="shared" si="97"/>
        <v>25.295121073938418</v>
      </c>
      <c r="AO280">
        <f t="shared" si="98"/>
        <v>0.18254947165892979</v>
      </c>
      <c r="AP280">
        <f t="shared" si="99"/>
        <v>25.014220327310728</v>
      </c>
    </row>
    <row r="281" spans="1:42" x14ac:dyDescent="0.2">
      <c r="A281" s="3">
        <v>280</v>
      </c>
      <c r="B281" s="3">
        <v>1.8900000000000001E-7</v>
      </c>
      <c r="C281" s="2">
        <v>1.453E-2</v>
      </c>
      <c r="D281" s="3">
        <v>127000</v>
      </c>
      <c r="E281" s="3">
        <v>124000000000</v>
      </c>
      <c r="F281" s="3">
        <v>111000000000</v>
      </c>
      <c r="G281" s="3">
        <v>2690000000</v>
      </c>
      <c r="H281" s="3">
        <v>16000000000</v>
      </c>
      <c r="I281" s="2"/>
      <c r="J281" s="7">
        <f t="shared" si="100"/>
        <v>0.189</v>
      </c>
      <c r="K281" s="7">
        <f t="shared" si="101"/>
        <v>14.53</v>
      </c>
      <c r="L281" s="7">
        <f t="shared" si="102"/>
        <v>124.00000000000001</v>
      </c>
      <c r="M281" s="7">
        <f t="shared" si="103"/>
        <v>127</v>
      </c>
      <c r="O281">
        <f t="shared" si="104"/>
        <v>0.10319291338582678</v>
      </c>
      <c r="P281">
        <f t="shared" si="105"/>
        <v>103.19291338582678</v>
      </c>
      <c r="V281">
        <f t="shared" si="89"/>
        <v>498.57058385554234</v>
      </c>
      <c r="W281">
        <f t="shared" si="90"/>
        <v>127.36411263765758</v>
      </c>
      <c r="AE281">
        <f t="shared" si="91"/>
        <v>0.46236874748327472</v>
      </c>
      <c r="AF281">
        <f t="shared" si="92"/>
        <v>0.45161005860220732</v>
      </c>
      <c r="AG281">
        <f t="shared" si="93"/>
        <v>0.45413868922431594</v>
      </c>
      <c r="AI281">
        <f t="shared" si="94"/>
        <v>0.17031860485520517</v>
      </c>
      <c r="AJ281">
        <f t="shared" si="95"/>
        <v>21.634116569725329</v>
      </c>
      <c r="AL281">
        <f t="shared" si="96"/>
        <v>0.17437609836180717</v>
      </c>
      <c r="AM281">
        <f t="shared" si="97"/>
        <v>22.677172092258598</v>
      </c>
      <c r="AO281">
        <f t="shared" si="98"/>
        <v>0.17340517746793968</v>
      </c>
      <c r="AP281">
        <f t="shared" si="99"/>
        <v>22.425343506283443</v>
      </c>
    </row>
    <row r="282" spans="1:42" x14ac:dyDescent="0.2">
      <c r="A282" s="3">
        <v>280</v>
      </c>
      <c r="B282" s="3">
        <v>1.9000000000000001E-7</v>
      </c>
      <c r="C282" s="2">
        <v>1.4579999999999999E-2</v>
      </c>
      <c r="D282" s="3">
        <v>133000</v>
      </c>
      <c r="E282" s="3">
        <v>127000000000</v>
      </c>
      <c r="F282" s="3">
        <v>113000000000</v>
      </c>
      <c r="G282" s="3">
        <v>4160000000</v>
      </c>
      <c r="H282" s="3">
        <v>15400000000</v>
      </c>
      <c r="I282" s="2"/>
      <c r="J282" s="7">
        <f t="shared" si="100"/>
        <v>0.19</v>
      </c>
      <c r="K282" s="7">
        <f t="shared" si="101"/>
        <v>14.58</v>
      </c>
      <c r="L282" s="7">
        <f t="shared" si="102"/>
        <v>127.00000000000001</v>
      </c>
      <c r="M282" s="7">
        <f t="shared" si="103"/>
        <v>133</v>
      </c>
      <c r="O282">
        <f t="shared" si="104"/>
        <v>0.10778195488721805</v>
      </c>
      <c r="P282">
        <f t="shared" si="105"/>
        <v>107.78195488721805</v>
      </c>
      <c r="V282">
        <f t="shared" si="89"/>
        <v>508.27416773484782</v>
      </c>
      <c r="W282">
        <f t="shared" si="90"/>
        <v>130.83490018066621</v>
      </c>
      <c r="AE282">
        <f t="shared" si="91"/>
        <v>0.48421294027776013</v>
      </c>
      <c r="AF282">
        <f t="shared" si="92"/>
        <v>0.47294596688262658</v>
      </c>
      <c r="AG282">
        <f t="shared" si="93"/>
        <v>0.47559406036877178</v>
      </c>
      <c r="AI282">
        <f t="shared" si="94"/>
        <v>0.16349556172797475</v>
      </c>
      <c r="AJ282">
        <f t="shared" si="95"/>
        <v>19.794076077516092</v>
      </c>
      <c r="AL282">
        <f t="shared" si="96"/>
        <v>0.16739051014323136</v>
      </c>
      <c r="AM282">
        <f t="shared" si="97"/>
        <v>20.748416889148267</v>
      </c>
      <c r="AO282">
        <f t="shared" si="98"/>
        <v>0.1664584847953767</v>
      </c>
      <c r="AP282">
        <f t="shared" si="99"/>
        <v>20.518007009770017</v>
      </c>
    </row>
    <row r="283" spans="1:42" x14ac:dyDescent="0.2">
      <c r="A283" s="3">
        <v>280</v>
      </c>
      <c r="B283" s="3">
        <v>1.9000000000000001E-7</v>
      </c>
      <c r="C283" s="2">
        <v>1.4630000000000001E-2</v>
      </c>
      <c r="D283" s="3">
        <v>129000</v>
      </c>
      <c r="E283" s="3">
        <v>124000000000</v>
      </c>
      <c r="F283" s="3">
        <v>111000000000</v>
      </c>
      <c r="G283" s="2">
        <v>0</v>
      </c>
      <c r="H283" s="3">
        <v>15800000000</v>
      </c>
      <c r="I283" s="2"/>
      <c r="J283" s="7">
        <f t="shared" si="100"/>
        <v>0.19</v>
      </c>
      <c r="K283" s="7">
        <f t="shared" si="101"/>
        <v>14.63</v>
      </c>
      <c r="L283" s="7">
        <f t="shared" si="102"/>
        <v>124.00000000000001</v>
      </c>
      <c r="M283" s="7">
        <f t="shared" si="103"/>
        <v>129</v>
      </c>
      <c r="O283">
        <f t="shared" si="104"/>
        <v>0.10494186046511628</v>
      </c>
      <c r="P283">
        <f t="shared" si="105"/>
        <v>104.94186046511628</v>
      </c>
      <c r="V283">
        <f t="shared" si="89"/>
        <v>502.29655943370966</v>
      </c>
      <c r="W283">
        <f t="shared" si="90"/>
        <v>128.41019670275554</v>
      </c>
      <c r="AE283">
        <f t="shared" si="91"/>
        <v>0.46965014508143649</v>
      </c>
      <c r="AF283">
        <f t="shared" si="92"/>
        <v>0.45872202802901374</v>
      </c>
      <c r="AG283">
        <f t="shared" si="93"/>
        <v>0.46129047960580122</v>
      </c>
      <c r="AI283">
        <f t="shared" si="94"/>
        <v>0.16856519154899721</v>
      </c>
      <c r="AJ283">
        <f t="shared" si="95"/>
        <v>21.112803155895946</v>
      </c>
      <c r="AL283">
        <f t="shared" si="96"/>
        <v>0.17258091355852534</v>
      </c>
      <c r="AM283">
        <f t="shared" si="97"/>
        <v>22.130724357205004</v>
      </c>
      <c r="AO283">
        <f t="shared" si="98"/>
        <v>0.1716199881998845</v>
      </c>
      <c r="AP283">
        <f t="shared" si="99"/>
        <v>21.884964039348468</v>
      </c>
    </row>
    <row r="284" spans="1:42" x14ac:dyDescent="0.2">
      <c r="A284" s="3">
        <v>280</v>
      </c>
      <c r="B284" s="3">
        <v>1.91E-7</v>
      </c>
      <c r="C284" s="2">
        <v>1.468E-2</v>
      </c>
      <c r="D284" s="3">
        <v>146000</v>
      </c>
      <c r="E284" s="3">
        <v>135000000000</v>
      </c>
      <c r="F284" s="3">
        <v>120000000000</v>
      </c>
      <c r="G284" s="2">
        <v>0</v>
      </c>
      <c r="H284" s="3">
        <v>14400000000</v>
      </c>
      <c r="I284" s="2"/>
      <c r="J284" s="7">
        <f t="shared" si="100"/>
        <v>0.191</v>
      </c>
      <c r="K284" s="7">
        <f t="shared" si="101"/>
        <v>14.68</v>
      </c>
      <c r="L284" s="7">
        <f t="shared" si="102"/>
        <v>135</v>
      </c>
      <c r="M284" s="7">
        <f t="shared" si="103"/>
        <v>146</v>
      </c>
      <c r="O284">
        <f t="shared" si="104"/>
        <v>0.11558904109589041</v>
      </c>
      <c r="P284">
        <f t="shared" si="105"/>
        <v>115.58904109589041</v>
      </c>
      <c r="V284">
        <f t="shared" si="89"/>
        <v>524.26736367408296</v>
      </c>
      <c r="W284">
        <f t="shared" si="90"/>
        <v>139.24193085072775</v>
      </c>
      <c r="AE284">
        <f t="shared" si="91"/>
        <v>0.53154202466581191</v>
      </c>
      <c r="AF284">
        <f t="shared" si="92"/>
        <v>0.51917376815686822</v>
      </c>
      <c r="AG284">
        <f t="shared" si="93"/>
        <v>0.52208069784842615</v>
      </c>
      <c r="AI284">
        <f t="shared" si="94"/>
        <v>0.14972162056870011</v>
      </c>
      <c r="AJ284">
        <f t="shared" si="95"/>
        <v>16.538698766154369</v>
      </c>
      <c r="AL284">
        <f t="shared" si="96"/>
        <v>0.15328843291883587</v>
      </c>
      <c r="AM284">
        <f t="shared" si="97"/>
        <v>17.336086587744099</v>
      </c>
      <c r="AO284">
        <f t="shared" si="98"/>
        <v>0.15243492751467033</v>
      </c>
      <c r="AP284">
        <f t="shared" si="99"/>
        <v>17.143570424177799</v>
      </c>
    </row>
    <row r="285" spans="1:42" x14ac:dyDescent="0.2">
      <c r="A285" s="3">
        <v>280</v>
      </c>
      <c r="B285" s="3">
        <v>1.92E-7</v>
      </c>
      <c r="C285" s="2">
        <v>1.473E-2</v>
      </c>
      <c r="D285" s="3">
        <v>124000</v>
      </c>
      <c r="E285" s="3">
        <v>121000000000</v>
      </c>
      <c r="F285" s="3">
        <v>109000000000</v>
      </c>
      <c r="G285" s="2">
        <v>0</v>
      </c>
      <c r="H285" s="3">
        <v>16400000000</v>
      </c>
      <c r="I285" s="2"/>
      <c r="J285" s="7">
        <f t="shared" si="100"/>
        <v>0.192</v>
      </c>
      <c r="K285" s="7">
        <f t="shared" si="101"/>
        <v>14.73</v>
      </c>
      <c r="L285" s="7">
        <f t="shared" si="102"/>
        <v>121.00000000000001</v>
      </c>
      <c r="M285" s="7">
        <f t="shared" si="103"/>
        <v>124</v>
      </c>
      <c r="O285">
        <f t="shared" si="104"/>
        <v>0.10290725806451613</v>
      </c>
      <c r="P285">
        <f t="shared" si="105"/>
        <v>102.90725806451613</v>
      </c>
      <c r="V285">
        <f t="shared" si="89"/>
        <v>497.95868790095295</v>
      </c>
      <c r="W285">
        <f t="shared" si="90"/>
        <v>124.508320682884</v>
      </c>
      <c r="AE285">
        <f t="shared" si="91"/>
        <v>0.45144665108603199</v>
      </c>
      <c r="AF285">
        <f t="shared" si="92"/>
        <v>0.44094210446199766</v>
      </c>
      <c r="AG285">
        <f t="shared" si="93"/>
        <v>0.44341100365208796</v>
      </c>
      <c r="AI285">
        <f t="shared" si="94"/>
        <v>0.17720809271161131</v>
      </c>
      <c r="AJ285">
        <f t="shared" si="95"/>
        <v>23.005960489166807</v>
      </c>
      <c r="AL285">
        <f t="shared" si="96"/>
        <v>0.18142971421976045</v>
      </c>
      <c r="AM285">
        <f t="shared" si="97"/>
        <v>24.115157347844566</v>
      </c>
      <c r="AO285">
        <f t="shared" si="98"/>
        <v>0.18041951900402123</v>
      </c>
      <c r="AP285">
        <f t="shared" si="99"/>
        <v>23.847360025022766</v>
      </c>
    </row>
    <row r="286" spans="1:42" x14ac:dyDescent="0.2">
      <c r="A286" s="3">
        <v>280</v>
      </c>
      <c r="B286" s="3">
        <v>1.92E-7</v>
      </c>
      <c r="C286" s="2">
        <v>1.478E-2</v>
      </c>
      <c r="D286" s="3">
        <v>149000</v>
      </c>
      <c r="E286" s="3">
        <v>137000000000</v>
      </c>
      <c r="F286" s="3">
        <v>121000000000</v>
      </c>
      <c r="G286" s="3">
        <v>12400000000</v>
      </c>
      <c r="H286" s="3">
        <v>14200000000</v>
      </c>
      <c r="I286" s="2"/>
      <c r="J286" s="7">
        <f t="shared" si="100"/>
        <v>0.192</v>
      </c>
      <c r="K286" s="7">
        <f t="shared" si="101"/>
        <v>14.78</v>
      </c>
      <c r="L286" s="7">
        <f t="shared" si="102"/>
        <v>137</v>
      </c>
      <c r="M286" s="7">
        <f t="shared" si="103"/>
        <v>149</v>
      </c>
      <c r="O286">
        <f t="shared" si="104"/>
        <v>0.11760402684563759</v>
      </c>
      <c r="P286">
        <f t="shared" si="105"/>
        <v>117.60402684563759</v>
      </c>
      <c r="V286">
        <f t="shared" si="89"/>
        <v>528.29673150358155</v>
      </c>
      <c r="W286">
        <f t="shared" si="90"/>
        <v>141.01923324031569</v>
      </c>
      <c r="AE286">
        <f t="shared" si="91"/>
        <v>0.54246412106305453</v>
      </c>
      <c r="AF286">
        <f t="shared" si="92"/>
        <v>0.52984172229707782</v>
      </c>
      <c r="AG286">
        <f t="shared" si="93"/>
        <v>0.53280838342065406</v>
      </c>
      <c r="AI286">
        <f t="shared" si="94"/>
        <v>0.14747519124993158</v>
      </c>
      <c r="AJ286">
        <f t="shared" si="95"/>
        <v>15.987585877370892</v>
      </c>
      <c r="AL286">
        <f t="shared" si="96"/>
        <v>0.15098848700167988</v>
      </c>
      <c r="AM286">
        <f t="shared" si="97"/>
        <v>16.7584026420685</v>
      </c>
      <c r="AO286">
        <f t="shared" si="98"/>
        <v>0.15014778762750761</v>
      </c>
      <c r="AP286">
        <f t="shared" si="99"/>
        <v>16.572301622797447</v>
      </c>
    </row>
    <row r="287" spans="1:42" x14ac:dyDescent="0.2">
      <c r="A287" s="3">
        <v>290</v>
      </c>
      <c r="B287" s="3">
        <v>1.92E-7</v>
      </c>
      <c r="C287" s="2">
        <v>1.4840000000000001E-2</v>
      </c>
      <c r="D287" s="3">
        <v>129000</v>
      </c>
      <c r="E287" s="3">
        <v>124000000000</v>
      </c>
      <c r="F287" s="3">
        <v>111000000000</v>
      </c>
      <c r="G287" s="3">
        <v>16200000000</v>
      </c>
      <c r="H287" s="3">
        <v>15900000000</v>
      </c>
      <c r="I287" s="2"/>
      <c r="J287" s="7">
        <f t="shared" si="100"/>
        <v>0.192</v>
      </c>
      <c r="K287" s="7">
        <f t="shared" si="101"/>
        <v>14.840000000000002</v>
      </c>
      <c r="L287" s="7">
        <f t="shared" si="102"/>
        <v>124.00000000000001</v>
      </c>
      <c r="M287" s="7">
        <f t="shared" si="103"/>
        <v>129</v>
      </c>
      <c r="O287">
        <f t="shared" si="104"/>
        <v>0.10572093023255813</v>
      </c>
      <c r="P287">
        <f t="shared" si="105"/>
        <v>105.72093023255813</v>
      </c>
      <c r="V287">
        <f t="shared" si="89"/>
        <v>503.94516120624422</v>
      </c>
      <c r="W287">
        <f t="shared" si="90"/>
        <v>127.99011671351832</v>
      </c>
      <c r="AE287">
        <f t="shared" si="91"/>
        <v>0.46965014508143649</v>
      </c>
      <c r="AF287">
        <f t="shared" si="92"/>
        <v>0.45872202802901374</v>
      </c>
      <c r="AG287">
        <f t="shared" si="93"/>
        <v>0.46129047960580122</v>
      </c>
      <c r="AI287">
        <f t="shared" si="94"/>
        <v>0.17033956198635508</v>
      </c>
      <c r="AJ287">
        <f t="shared" si="95"/>
        <v>21.415857746650435</v>
      </c>
      <c r="AL287">
        <f t="shared" si="96"/>
        <v>0.17439755475387825</v>
      </c>
      <c r="AM287">
        <f t="shared" si="97"/>
        <v>22.448390257069192</v>
      </c>
      <c r="AO287">
        <f t="shared" si="98"/>
        <v>0.17342651439146223</v>
      </c>
      <c r="AP287">
        <f t="shared" si="99"/>
        <v>22.199102279147727</v>
      </c>
    </row>
    <row r="288" spans="1:42" x14ac:dyDescent="0.2">
      <c r="A288" s="3">
        <v>290</v>
      </c>
      <c r="B288" s="3">
        <v>1.9299999999999999E-7</v>
      </c>
      <c r="C288" s="2">
        <v>1.489E-2</v>
      </c>
      <c r="D288" s="3">
        <v>126000</v>
      </c>
      <c r="E288" s="3">
        <v>122000000000</v>
      </c>
      <c r="F288" s="3">
        <v>110000000000</v>
      </c>
      <c r="G288" s="2">
        <v>0</v>
      </c>
      <c r="H288" s="3">
        <v>16200000000</v>
      </c>
      <c r="I288" s="2"/>
      <c r="J288" s="7">
        <f t="shared" si="100"/>
        <v>0.193</v>
      </c>
      <c r="K288" s="7">
        <f t="shared" si="101"/>
        <v>14.89</v>
      </c>
      <c r="L288" s="7">
        <f t="shared" si="102"/>
        <v>122.00000000000001</v>
      </c>
      <c r="M288" s="7">
        <f t="shared" si="103"/>
        <v>126</v>
      </c>
      <c r="O288">
        <f t="shared" si="104"/>
        <v>0.10436904761904761</v>
      </c>
      <c r="P288">
        <f t="shared" si="105"/>
        <v>104.36904761904761</v>
      </c>
      <c r="V288">
        <f t="shared" si="89"/>
        <v>501.08006795343562</v>
      </c>
      <c r="W288">
        <f t="shared" si="90"/>
        <v>125.7284095480215</v>
      </c>
      <c r="AE288">
        <f t="shared" si="91"/>
        <v>0.45872804868419381</v>
      </c>
      <c r="AF288">
        <f t="shared" si="92"/>
        <v>0.44805407388880408</v>
      </c>
      <c r="AG288">
        <f t="shared" si="93"/>
        <v>0.45056279403357324</v>
      </c>
      <c r="AI288">
        <f t="shared" si="94"/>
        <v>0.17530357451943956</v>
      </c>
      <c r="AJ288">
        <f t="shared" si="95"/>
        <v>22.523433758131269</v>
      </c>
      <c r="AL288">
        <f t="shared" si="96"/>
        <v>0.17947982476468696</v>
      </c>
      <c r="AM288">
        <f t="shared" si="97"/>
        <v>23.609366335600477</v>
      </c>
      <c r="AO288">
        <f t="shared" si="98"/>
        <v>0.1784804864750428</v>
      </c>
      <c r="AP288">
        <f t="shared" si="99"/>
        <v>23.347185790518612</v>
      </c>
    </row>
    <row r="289" spans="1:42" x14ac:dyDescent="0.2">
      <c r="A289" s="3">
        <v>290</v>
      </c>
      <c r="B289" s="3">
        <v>1.9399999999999999E-7</v>
      </c>
      <c r="C289" s="2">
        <v>1.494E-2</v>
      </c>
      <c r="D289" s="3">
        <v>134000</v>
      </c>
      <c r="E289" s="3">
        <v>126000000000</v>
      </c>
      <c r="F289" s="3">
        <v>113000000000</v>
      </c>
      <c r="G289" s="3">
        <v>829000000</v>
      </c>
      <c r="H289" s="3">
        <v>15400000000</v>
      </c>
      <c r="I289" s="2"/>
      <c r="J289" s="7">
        <f t="shared" si="100"/>
        <v>0.19399999999999998</v>
      </c>
      <c r="K289" s="7">
        <f t="shared" si="101"/>
        <v>14.94</v>
      </c>
      <c r="L289" s="7">
        <f t="shared" si="102"/>
        <v>126.00000000000001</v>
      </c>
      <c r="M289" s="7">
        <f t="shared" si="103"/>
        <v>134</v>
      </c>
      <c r="O289">
        <f t="shared" si="104"/>
        <v>0.11038059701492535</v>
      </c>
      <c r="P289">
        <f t="shared" si="105"/>
        <v>110.38059701492534</v>
      </c>
      <c r="V289">
        <f t="shared" si="89"/>
        <v>513.66718842549642</v>
      </c>
      <c r="W289">
        <f t="shared" si="90"/>
        <v>130.43465011921401</v>
      </c>
      <c r="AE289">
        <f t="shared" si="91"/>
        <v>0.48785363907684104</v>
      </c>
      <c r="AF289">
        <f t="shared" si="92"/>
        <v>0.47650195159602976</v>
      </c>
      <c r="AG289">
        <f t="shared" si="93"/>
        <v>0.47916995555951442</v>
      </c>
      <c r="AI289">
        <f t="shared" si="94"/>
        <v>0.16569177076611169</v>
      </c>
      <c r="AJ289">
        <f t="shared" si="95"/>
        <v>19.981219643917033</v>
      </c>
      <c r="AL289">
        <f t="shared" si="96"/>
        <v>0.16963903938396133</v>
      </c>
      <c r="AM289">
        <f t="shared" si="97"/>
        <v>20.944583293612045</v>
      </c>
      <c r="AO289">
        <f t="shared" si="98"/>
        <v>0.16869449429262801</v>
      </c>
      <c r="AP289">
        <f t="shared" si="99"/>
        <v>20.711994998510217</v>
      </c>
    </row>
    <row r="290" spans="1:42" x14ac:dyDescent="0.2">
      <c r="A290" s="3">
        <v>290</v>
      </c>
      <c r="B290" s="3">
        <v>1.9399999999999999E-7</v>
      </c>
      <c r="C290" s="2">
        <v>1.499E-2</v>
      </c>
      <c r="D290" s="3">
        <v>131000</v>
      </c>
      <c r="E290" s="3">
        <v>125000000000</v>
      </c>
      <c r="F290" s="3">
        <v>112000000000</v>
      </c>
      <c r="G290" s="3">
        <v>6490000000</v>
      </c>
      <c r="H290" s="3">
        <v>15700000000</v>
      </c>
      <c r="I290" s="2"/>
      <c r="J290" s="7">
        <f t="shared" si="100"/>
        <v>0.19399999999999998</v>
      </c>
      <c r="K290" s="7">
        <f t="shared" si="101"/>
        <v>14.99</v>
      </c>
      <c r="L290" s="7">
        <f t="shared" si="102"/>
        <v>125.00000000000001</v>
      </c>
      <c r="M290" s="7">
        <f t="shared" si="103"/>
        <v>131</v>
      </c>
      <c r="O290">
        <f t="shared" si="104"/>
        <v>0.10817938931297708</v>
      </c>
      <c r="P290">
        <f t="shared" si="105"/>
        <v>108.17938931297708</v>
      </c>
      <c r="V290">
        <f t="shared" si="89"/>
        <v>509.10362772575326</v>
      </c>
      <c r="W290">
        <f t="shared" si="90"/>
        <v>128.65750003118009</v>
      </c>
      <c r="AE290">
        <f t="shared" si="91"/>
        <v>0.47693154267959831</v>
      </c>
      <c r="AF290">
        <f t="shared" si="92"/>
        <v>0.46583399745582016</v>
      </c>
      <c r="AG290">
        <f t="shared" si="93"/>
        <v>0.4684422699872865</v>
      </c>
      <c r="AI290">
        <f t="shared" si="94"/>
        <v>0.16948623879892341</v>
      </c>
      <c r="AJ290">
        <f t="shared" si="95"/>
        <v>20.97683850056853</v>
      </c>
      <c r="AL290">
        <f t="shared" si="96"/>
        <v>0.17352390288130395</v>
      </c>
      <c r="AM290">
        <f t="shared" si="97"/>
        <v>21.988204375980573</v>
      </c>
      <c r="AO290">
        <f t="shared" si="98"/>
        <v>0.17255772698635233</v>
      </c>
      <c r="AP290">
        <f t="shared" si="99"/>
        <v>21.744026733653374</v>
      </c>
    </row>
    <row r="291" spans="1:42" x14ac:dyDescent="0.2">
      <c r="A291" s="3">
        <v>290</v>
      </c>
      <c r="B291" s="3">
        <v>1.9500000000000001E-7</v>
      </c>
      <c r="C291" s="2">
        <v>1.504E-2</v>
      </c>
      <c r="D291" s="3">
        <v>132000</v>
      </c>
      <c r="E291" s="3">
        <v>124000000000</v>
      </c>
      <c r="F291" s="3">
        <v>111000000000</v>
      </c>
      <c r="G291" s="2">
        <v>0</v>
      </c>
      <c r="H291" s="3">
        <v>15600000000</v>
      </c>
      <c r="I291" s="2"/>
      <c r="J291" s="7">
        <f t="shared" si="100"/>
        <v>0.19500000000000001</v>
      </c>
      <c r="K291" s="7">
        <f t="shared" si="101"/>
        <v>15.04</v>
      </c>
      <c r="L291" s="7">
        <f t="shared" si="102"/>
        <v>124.00000000000001</v>
      </c>
      <c r="M291" s="7">
        <f t="shared" si="103"/>
        <v>132</v>
      </c>
      <c r="O291">
        <f t="shared" si="104"/>
        <v>0.10954545454545456</v>
      </c>
      <c r="P291">
        <f t="shared" si="105"/>
        <v>109.54545454545456</v>
      </c>
      <c r="V291">
        <f t="shared" si="89"/>
        <v>511.9417847665564</v>
      </c>
      <c r="W291">
        <f t="shared" si="90"/>
        <v>128.92090851715838</v>
      </c>
      <c r="AE291">
        <f t="shared" si="91"/>
        <v>0.48057224147867922</v>
      </c>
      <c r="AF291">
        <f t="shared" si="92"/>
        <v>0.46938998216922334</v>
      </c>
      <c r="AG291">
        <f t="shared" si="93"/>
        <v>0.47201816517802914</v>
      </c>
      <c r="AI291">
        <f t="shared" si="94"/>
        <v>0.16906927405961023</v>
      </c>
      <c r="AJ291">
        <f t="shared" si="95"/>
        <v>20.729124833008424</v>
      </c>
      <c r="AL291">
        <f t="shared" si="96"/>
        <v>0.17309700480720519</v>
      </c>
      <c r="AM291">
        <f t="shared" si="97"/>
        <v>21.728547576463921</v>
      </c>
      <c r="AO291">
        <f t="shared" si="98"/>
        <v>0.17213320586794639</v>
      </c>
      <c r="AP291">
        <f t="shared" si="99"/>
        <v>21.487253406749403</v>
      </c>
    </row>
    <row r="292" spans="1:42" x14ac:dyDescent="0.2">
      <c r="A292" s="3">
        <v>290</v>
      </c>
      <c r="B292" s="3">
        <v>1.9500000000000001E-7</v>
      </c>
      <c r="C292" s="2">
        <v>1.5100000000000001E-2</v>
      </c>
      <c r="D292" s="3">
        <v>135000</v>
      </c>
      <c r="E292" s="3">
        <v>126000000000</v>
      </c>
      <c r="F292" s="3">
        <v>113000000000</v>
      </c>
      <c r="G292" s="2">
        <v>0</v>
      </c>
      <c r="H292" s="3">
        <v>15400000000</v>
      </c>
      <c r="I292" s="2"/>
      <c r="J292" s="7">
        <f t="shared" si="100"/>
        <v>0.19500000000000001</v>
      </c>
      <c r="K292" s="7">
        <f t="shared" si="101"/>
        <v>15.100000000000001</v>
      </c>
      <c r="L292" s="7">
        <f t="shared" si="102"/>
        <v>126.00000000000001</v>
      </c>
      <c r="M292" s="7">
        <f t="shared" si="103"/>
        <v>135</v>
      </c>
      <c r="O292">
        <f t="shared" si="104"/>
        <v>0.1111111111111111</v>
      </c>
      <c r="P292">
        <f t="shared" si="105"/>
        <v>111.1111111111111</v>
      </c>
      <c r="V292">
        <f t="shared" si="89"/>
        <v>515.17047778064261</v>
      </c>
      <c r="W292">
        <f t="shared" si="90"/>
        <v>131.02458877455553</v>
      </c>
      <c r="AE292">
        <f t="shared" si="91"/>
        <v>0.49149433787592195</v>
      </c>
      <c r="AF292">
        <f t="shared" si="92"/>
        <v>0.48005793630943294</v>
      </c>
      <c r="AG292">
        <f t="shared" si="93"/>
        <v>0.48274585075025706</v>
      </c>
      <c r="AI292">
        <f t="shared" si="94"/>
        <v>0.16531217908050777</v>
      </c>
      <c r="AJ292">
        <f t="shared" si="95"/>
        <v>19.897128438344989</v>
      </c>
      <c r="AL292">
        <f t="shared" si="96"/>
        <v>0.16925040470037842</v>
      </c>
      <c r="AM292">
        <f t="shared" si="97"/>
        <v>20.856437760418828</v>
      </c>
      <c r="AO292">
        <f t="shared" si="98"/>
        <v>0.16830802351532534</v>
      </c>
      <c r="AP292">
        <f t="shared" si="99"/>
        <v>20.624828315982054</v>
      </c>
    </row>
    <row r="293" spans="1:42" x14ac:dyDescent="0.2">
      <c r="A293" s="3">
        <v>290</v>
      </c>
      <c r="B293" s="3">
        <v>1.9600000000000001E-7</v>
      </c>
      <c r="C293" s="2">
        <v>1.515E-2</v>
      </c>
      <c r="D293" s="3">
        <v>119000</v>
      </c>
      <c r="E293" s="3">
        <v>117000000000</v>
      </c>
      <c r="F293" s="3">
        <v>106000000000</v>
      </c>
      <c r="G293" s="3">
        <v>6760000000</v>
      </c>
      <c r="H293" s="3">
        <v>17400000000</v>
      </c>
      <c r="I293" s="2"/>
      <c r="J293" s="7">
        <f t="shared" si="100"/>
        <v>0.19600000000000001</v>
      </c>
      <c r="K293" s="7">
        <f t="shared" si="101"/>
        <v>15.15</v>
      </c>
      <c r="L293" s="7">
        <f t="shared" si="102"/>
        <v>117.00000000000001</v>
      </c>
      <c r="M293" s="7">
        <f t="shared" si="103"/>
        <v>119</v>
      </c>
      <c r="O293">
        <f t="shared" si="104"/>
        <v>0.10051680672268909</v>
      </c>
      <c r="P293">
        <f t="shared" si="105"/>
        <v>100.51680672268908</v>
      </c>
      <c r="V293">
        <f t="shared" si="89"/>
        <v>492.80064260830397</v>
      </c>
      <c r="W293">
        <f t="shared" si="90"/>
        <v>120.73847892136939</v>
      </c>
      <c r="AE293">
        <f t="shared" si="91"/>
        <v>0.4332431570906275</v>
      </c>
      <c r="AF293">
        <f t="shared" si="92"/>
        <v>0.42316218089498164</v>
      </c>
      <c r="AG293">
        <f t="shared" si="93"/>
        <v>0.42553152769837477</v>
      </c>
      <c r="AI293">
        <f t="shared" si="94"/>
        <v>0.18850076528637086</v>
      </c>
      <c r="AJ293">
        <f t="shared" si="95"/>
        <v>25.69210588029939</v>
      </c>
      <c r="AL293">
        <f t="shared" si="96"/>
        <v>0.19299141169454911</v>
      </c>
      <c r="AM293">
        <f t="shared" si="97"/>
        <v>26.930811091006134</v>
      </c>
      <c r="AO293">
        <f t="shared" si="98"/>
        <v>0.19191684129349315</v>
      </c>
      <c r="AP293">
        <f t="shared" si="99"/>
        <v>26.631746108449185</v>
      </c>
    </row>
    <row r="294" spans="1:42" x14ac:dyDescent="0.2">
      <c r="A294" s="3">
        <v>290</v>
      </c>
      <c r="B294" s="3">
        <v>1.9600000000000001E-7</v>
      </c>
      <c r="C294" s="2">
        <v>1.52E-2</v>
      </c>
      <c r="D294" s="3">
        <v>143000</v>
      </c>
      <c r="E294" s="3">
        <v>131000000000</v>
      </c>
      <c r="F294" s="3">
        <v>117000000000</v>
      </c>
      <c r="G294" s="3">
        <v>6040000000</v>
      </c>
      <c r="H294" s="3">
        <v>14800000000</v>
      </c>
      <c r="I294" s="2"/>
      <c r="J294" s="7">
        <f t="shared" si="100"/>
        <v>0.19600000000000001</v>
      </c>
      <c r="K294" s="7">
        <f t="shared" si="101"/>
        <v>15.2</v>
      </c>
      <c r="L294" s="7">
        <f t="shared" si="102"/>
        <v>131</v>
      </c>
      <c r="M294" s="7">
        <f t="shared" si="103"/>
        <v>143</v>
      </c>
      <c r="O294">
        <f t="shared" si="104"/>
        <v>0.11627972027972029</v>
      </c>
      <c r="P294">
        <f t="shared" si="105"/>
        <v>116.27972027972029</v>
      </c>
      <c r="V294">
        <f t="shared" si="89"/>
        <v>525.65289006958153</v>
      </c>
      <c r="W294">
        <f t="shared" si="90"/>
        <v>136.02132005882331</v>
      </c>
      <c r="AE294">
        <f t="shared" si="91"/>
        <v>0.52061992826856918</v>
      </c>
      <c r="AF294">
        <f t="shared" si="92"/>
        <v>0.50850581401665862</v>
      </c>
      <c r="AG294">
        <f t="shared" si="93"/>
        <v>0.51135301227619823</v>
      </c>
      <c r="AI294">
        <f t="shared" si="94"/>
        <v>0.15686427321033658</v>
      </c>
      <c r="AJ294">
        <f t="shared" si="95"/>
        <v>17.850587165778371</v>
      </c>
      <c r="AL294">
        <f t="shared" si="96"/>
        <v>0.16060124469686254</v>
      </c>
      <c r="AM294">
        <f t="shared" si="97"/>
        <v>18.711225660709211</v>
      </c>
      <c r="AO294">
        <f t="shared" si="98"/>
        <v>0.15970702177570409</v>
      </c>
      <c r="AP294">
        <f t="shared" si="99"/>
        <v>18.503438663246371</v>
      </c>
    </row>
    <row r="295" spans="1:42" x14ac:dyDescent="0.2">
      <c r="A295" s="3">
        <v>290</v>
      </c>
      <c r="B295" s="3">
        <v>1.9600000000000001E-7</v>
      </c>
      <c r="C295" s="2">
        <v>1.525E-2</v>
      </c>
      <c r="D295" s="3">
        <v>129000</v>
      </c>
      <c r="E295" s="3">
        <v>123000000000</v>
      </c>
      <c r="F295" s="3">
        <v>110000000000</v>
      </c>
      <c r="G295" s="3">
        <v>13700000000</v>
      </c>
      <c r="H295" s="3">
        <v>16000000000</v>
      </c>
      <c r="I295" s="2"/>
      <c r="J295" s="7">
        <f t="shared" si="100"/>
        <v>0.19600000000000001</v>
      </c>
      <c r="K295" s="7">
        <f t="shared" si="101"/>
        <v>15.25</v>
      </c>
      <c r="L295" s="7">
        <f t="shared" si="102"/>
        <v>123.00000000000001</v>
      </c>
      <c r="M295" s="7">
        <f t="shared" si="103"/>
        <v>129</v>
      </c>
      <c r="O295">
        <f t="shared" si="104"/>
        <v>0.10733720930232558</v>
      </c>
      <c r="P295">
        <f t="shared" si="105"/>
        <v>107.33720930232559</v>
      </c>
      <c r="V295">
        <f t="shared" si="89"/>
        <v>507.34394529602002</v>
      </c>
      <c r="W295">
        <f t="shared" si="90"/>
        <v>127.1326889736827</v>
      </c>
      <c r="AE295">
        <f t="shared" si="91"/>
        <v>0.46965014508143649</v>
      </c>
      <c r="AF295">
        <f t="shared" si="92"/>
        <v>0.45872202802901374</v>
      </c>
      <c r="AG295">
        <f t="shared" si="93"/>
        <v>0.46129047960580122</v>
      </c>
      <c r="AI295">
        <f t="shared" si="94"/>
        <v>0.17388830286107082</v>
      </c>
      <c r="AJ295">
        <f t="shared" si="95"/>
        <v>22.007535757171098</v>
      </c>
      <c r="AL295">
        <f t="shared" si="96"/>
        <v>0.17803083714458406</v>
      </c>
      <c r="AM295">
        <f t="shared" si="97"/>
        <v>23.068595109184983</v>
      </c>
      <c r="AO295">
        <f t="shared" si="98"/>
        <v>0.17703956677461771</v>
      </c>
      <c r="AP295">
        <f t="shared" si="99"/>
        <v>22.81241979494628</v>
      </c>
    </row>
    <row r="296" spans="1:42" x14ac:dyDescent="0.2">
      <c r="A296" s="3">
        <v>290</v>
      </c>
      <c r="B296" s="3">
        <v>1.97E-7</v>
      </c>
      <c r="C296" s="2">
        <v>1.5310000000000001E-2</v>
      </c>
      <c r="D296" s="3">
        <v>136000</v>
      </c>
      <c r="E296" s="3">
        <v>126000000000</v>
      </c>
      <c r="F296" s="3">
        <v>113000000000</v>
      </c>
      <c r="G296" s="2">
        <v>0</v>
      </c>
      <c r="H296" s="3">
        <v>15400000000</v>
      </c>
      <c r="I296" s="2"/>
      <c r="J296" s="7">
        <f t="shared" si="100"/>
        <v>0.19700000000000001</v>
      </c>
      <c r="K296" s="7">
        <f t="shared" si="101"/>
        <v>15.31</v>
      </c>
      <c r="L296" s="7">
        <f t="shared" si="102"/>
        <v>126.00000000000001</v>
      </c>
      <c r="M296" s="7">
        <f t="shared" si="103"/>
        <v>136</v>
      </c>
      <c r="O296">
        <f t="shared" si="104"/>
        <v>0.11256985294117647</v>
      </c>
      <c r="P296">
        <f t="shared" si="105"/>
        <v>112.56985294117646</v>
      </c>
      <c r="V296">
        <f t="shared" si="89"/>
        <v>518.15596513080607</v>
      </c>
      <c r="W296">
        <f t="shared" si="90"/>
        <v>131.23461771367181</v>
      </c>
      <c r="AE296">
        <f t="shared" si="91"/>
        <v>0.4951350366750028</v>
      </c>
      <c r="AF296">
        <f t="shared" si="92"/>
        <v>0.48361392102283618</v>
      </c>
      <c r="AG296">
        <f t="shared" si="93"/>
        <v>0.48632174594099969</v>
      </c>
      <c r="AI296">
        <f t="shared" si="94"/>
        <v>0.16577969089917438</v>
      </c>
      <c r="AJ296">
        <f t="shared" si="95"/>
        <v>19.878260014791465</v>
      </c>
      <c r="AL296">
        <f t="shared" si="96"/>
        <v>0.16972905403493826</v>
      </c>
      <c r="AM296">
        <f t="shared" si="97"/>
        <v>20.836659624960696</v>
      </c>
      <c r="AO296">
        <f t="shared" si="98"/>
        <v>0.16878400774472391</v>
      </c>
      <c r="AP296">
        <f t="shared" si="99"/>
        <v>20.605269815488345</v>
      </c>
    </row>
    <row r="297" spans="1:42" x14ac:dyDescent="0.2">
      <c r="A297" s="3">
        <v>300</v>
      </c>
      <c r="B297" s="3">
        <v>1.98E-7</v>
      </c>
      <c r="C297" s="2">
        <v>1.536E-2</v>
      </c>
      <c r="D297" s="3">
        <v>134000</v>
      </c>
      <c r="E297" s="3">
        <v>125000000000</v>
      </c>
      <c r="F297" s="3">
        <v>112000000000</v>
      </c>
      <c r="G297" s="2">
        <v>0</v>
      </c>
      <c r="H297" s="3">
        <v>15500000000</v>
      </c>
      <c r="I297" s="2"/>
      <c r="J297" s="7">
        <f t="shared" si="100"/>
        <v>0.19800000000000001</v>
      </c>
      <c r="K297" s="7">
        <f t="shared" si="101"/>
        <v>15.360000000000001</v>
      </c>
      <c r="L297" s="7">
        <f t="shared" si="102"/>
        <v>125.00000000000001</v>
      </c>
      <c r="M297" s="7">
        <f t="shared" si="103"/>
        <v>134</v>
      </c>
      <c r="O297">
        <f t="shared" si="104"/>
        <v>0.11202985074626866</v>
      </c>
      <c r="P297">
        <f t="shared" si="105"/>
        <v>112.02985074626866</v>
      </c>
      <c r="V297">
        <f t="shared" si="89"/>
        <v>517.05331303517471</v>
      </c>
      <c r="W297">
        <f t="shared" si="90"/>
        <v>129.58044811027457</v>
      </c>
      <c r="AE297">
        <f t="shared" si="91"/>
        <v>0.48785363907684104</v>
      </c>
      <c r="AF297">
        <f t="shared" si="92"/>
        <v>0.47650195159602976</v>
      </c>
      <c r="AG297">
        <f t="shared" si="93"/>
        <v>0.47916995555951442</v>
      </c>
      <c r="AI297">
        <f t="shared" si="94"/>
        <v>0.16910809593654699</v>
      </c>
      <c r="AJ297">
        <f t="shared" si="95"/>
        <v>20.542940678083379</v>
      </c>
      <c r="AL297">
        <f t="shared" si="96"/>
        <v>0.17313675153620797</v>
      </c>
      <c r="AM297">
        <f t="shared" si="97"/>
        <v>21.533386840018814</v>
      </c>
      <c r="AO297">
        <f t="shared" si="98"/>
        <v>0.17217273128835234</v>
      </c>
      <c r="AP297">
        <f t="shared" si="99"/>
        <v>21.294259918147056</v>
      </c>
    </row>
    <row r="298" spans="1:42" x14ac:dyDescent="0.2">
      <c r="A298" s="3">
        <v>300</v>
      </c>
      <c r="B298" s="3">
        <v>1.98E-7</v>
      </c>
      <c r="C298" s="2">
        <v>1.541E-2</v>
      </c>
      <c r="D298" s="3">
        <v>135000</v>
      </c>
      <c r="E298" s="3">
        <v>125000000000</v>
      </c>
      <c r="F298" s="3">
        <v>112000000000</v>
      </c>
      <c r="G298" s="2">
        <v>0</v>
      </c>
      <c r="H298" s="3">
        <v>15500000000</v>
      </c>
      <c r="I298" s="2"/>
      <c r="J298" s="7">
        <f t="shared" si="100"/>
        <v>0.19800000000000001</v>
      </c>
      <c r="K298" s="7">
        <f t="shared" si="101"/>
        <v>15.41</v>
      </c>
      <c r="L298" s="7">
        <f t="shared" si="102"/>
        <v>125.00000000000001</v>
      </c>
      <c r="M298" s="7">
        <f t="shared" si="103"/>
        <v>135</v>
      </c>
      <c r="O298">
        <f t="shared" si="104"/>
        <v>0.1123888888888889</v>
      </c>
      <c r="P298">
        <f t="shared" si="105"/>
        <v>112.3888888888889</v>
      </c>
      <c r="V298">
        <f t="shared" si="89"/>
        <v>517.78677626219337</v>
      </c>
      <c r="W298">
        <f t="shared" si="90"/>
        <v>130.36254129020051</v>
      </c>
      <c r="AE298">
        <f t="shared" si="91"/>
        <v>0.49149433787592195</v>
      </c>
      <c r="AF298">
        <f t="shared" si="92"/>
        <v>0.48005793630943294</v>
      </c>
      <c r="AG298">
        <f t="shared" si="93"/>
        <v>0.48274585075025706</v>
      </c>
      <c r="AI298">
        <f t="shared" si="94"/>
        <v>0.16785544337405403</v>
      </c>
      <c r="AJ298">
        <f t="shared" si="95"/>
        <v>20.305612532112335</v>
      </c>
      <c r="AL298">
        <f t="shared" si="96"/>
        <v>0.17185425708038424</v>
      </c>
      <c r="AM298">
        <f t="shared" si="97"/>
        <v>21.284616283977094</v>
      </c>
      <c r="AO298">
        <f t="shared" si="98"/>
        <v>0.17089737772325342</v>
      </c>
      <c r="AP298">
        <f t="shared" si="99"/>
        <v>21.048251943661153</v>
      </c>
    </row>
    <row r="299" spans="1:42" x14ac:dyDescent="0.2">
      <c r="A299" s="3">
        <v>300</v>
      </c>
      <c r="B299" s="3">
        <v>1.99E-7</v>
      </c>
      <c r="C299" s="2">
        <v>1.546E-2</v>
      </c>
      <c r="D299" s="3">
        <v>135000</v>
      </c>
      <c r="E299" s="3">
        <v>125000000000</v>
      </c>
      <c r="F299" s="3">
        <v>112000000000</v>
      </c>
      <c r="G299" s="2">
        <v>0</v>
      </c>
      <c r="H299" s="3">
        <v>15500000000</v>
      </c>
      <c r="I299" s="2"/>
      <c r="J299" s="7">
        <f t="shared" si="100"/>
        <v>0.19899999999999998</v>
      </c>
      <c r="K299" s="7">
        <f t="shared" si="101"/>
        <v>15.459999999999999</v>
      </c>
      <c r="L299" s="7">
        <f t="shared" si="102"/>
        <v>125.00000000000001</v>
      </c>
      <c r="M299" s="7">
        <f t="shared" si="103"/>
        <v>135</v>
      </c>
      <c r="O299">
        <f t="shared" si="104"/>
        <v>0.11311111111111111</v>
      </c>
      <c r="P299">
        <f t="shared" si="105"/>
        <v>113.1111111111111</v>
      </c>
      <c r="V299">
        <f t="shared" si="89"/>
        <v>519.25822938683291</v>
      </c>
      <c r="W299">
        <f t="shared" si="90"/>
        <v>129.99312515414059</v>
      </c>
      <c r="AE299">
        <f t="shared" si="91"/>
        <v>0.49149433787592195</v>
      </c>
      <c r="AF299">
        <f t="shared" si="92"/>
        <v>0.48005793630943294</v>
      </c>
      <c r="AG299">
        <f t="shared" si="93"/>
        <v>0.48274585075025706</v>
      </c>
      <c r="AI299">
        <f t="shared" si="94"/>
        <v>0.16870319813856943</v>
      </c>
      <c r="AJ299">
        <f t="shared" si="95"/>
        <v>20.37149706336513</v>
      </c>
      <c r="AL299">
        <f t="shared" si="96"/>
        <v>0.1727222078737195</v>
      </c>
      <c r="AM299">
        <f t="shared" si="97"/>
        <v>21.353677336163909</v>
      </c>
      <c r="AO299">
        <f t="shared" si="98"/>
        <v>0.17176049579256275</v>
      </c>
      <c r="AP299">
        <f t="shared" si="99"/>
        <v>21.116546077157782</v>
      </c>
    </row>
    <row r="300" spans="1:42" x14ac:dyDescent="0.2">
      <c r="A300" s="3">
        <v>300</v>
      </c>
      <c r="B300" s="3">
        <v>1.99E-7</v>
      </c>
      <c r="C300" s="2">
        <v>1.5509999999999999E-2</v>
      </c>
      <c r="D300" s="3">
        <v>135000</v>
      </c>
      <c r="E300" s="3">
        <v>125000000000</v>
      </c>
      <c r="F300" s="3">
        <v>112000000000</v>
      </c>
      <c r="G300" s="2">
        <v>0</v>
      </c>
      <c r="H300" s="3">
        <v>15500000000</v>
      </c>
      <c r="I300" s="2"/>
      <c r="J300" s="7">
        <f t="shared" si="100"/>
        <v>0.19899999999999998</v>
      </c>
      <c r="K300" s="7">
        <f t="shared" si="101"/>
        <v>15.51</v>
      </c>
      <c r="L300" s="7">
        <f t="shared" si="102"/>
        <v>125.00000000000001</v>
      </c>
      <c r="M300" s="7">
        <f t="shared" si="103"/>
        <v>135</v>
      </c>
      <c r="O300">
        <f t="shared" si="104"/>
        <v>0.11283333333333331</v>
      </c>
      <c r="P300">
        <f t="shared" si="105"/>
        <v>112.83333333333331</v>
      </c>
      <c r="V300">
        <f t="shared" si="89"/>
        <v>518.69290691497918</v>
      </c>
      <c r="W300">
        <f t="shared" si="90"/>
        <v>130.13480442882587</v>
      </c>
      <c r="AE300">
        <f t="shared" si="91"/>
        <v>0.49149433787592195</v>
      </c>
      <c r="AF300">
        <f t="shared" si="92"/>
        <v>0.48005793630943294</v>
      </c>
      <c r="AG300">
        <f t="shared" si="93"/>
        <v>0.48274585075025706</v>
      </c>
      <c r="AI300">
        <f t="shared" si="94"/>
        <v>0.16870319813856943</v>
      </c>
      <c r="AJ300">
        <f t="shared" si="95"/>
        <v>20.437381594617932</v>
      </c>
      <c r="AL300">
        <f t="shared" si="96"/>
        <v>0.1727222078737195</v>
      </c>
      <c r="AM300">
        <f t="shared" si="97"/>
        <v>21.422738388350727</v>
      </c>
      <c r="AO300">
        <f t="shared" si="98"/>
        <v>0.17176049579256275</v>
      </c>
      <c r="AP300">
        <f t="shared" si="99"/>
        <v>21.184840210654411</v>
      </c>
    </row>
    <row r="301" spans="1:42" x14ac:dyDescent="0.2">
      <c r="A301" s="3">
        <v>300</v>
      </c>
      <c r="B301" s="3">
        <v>1.9999999999999999E-7</v>
      </c>
      <c r="C301" s="2">
        <v>1.5570000000000001E-2</v>
      </c>
      <c r="D301" s="3">
        <v>119000</v>
      </c>
      <c r="E301" s="3">
        <v>116000000000</v>
      </c>
      <c r="F301" s="3">
        <v>105000000000</v>
      </c>
      <c r="G301" s="2">
        <v>0</v>
      </c>
      <c r="H301" s="3">
        <v>17400000000</v>
      </c>
      <c r="I301" s="2"/>
      <c r="J301" s="7">
        <f t="shared" si="100"/>
        <v>0.19999999999999998</v>
      </c>
      <c r="K301" s="7">
        <f t="shared" si="101"/>
        <v>15.57</v>
      </c>
      <c r="L301" s="7">
        <f t="shared" si="102"/>
        <v>116.00000000000001</v>
      </c>
      <c r="M301" s="7">
        <f t="shared" si="103"/>
        <v>119</v>
      </c>
      <c r="O301">
        <f t="shared" si="104"/>
        <v>0.10186974789915965</v>
      </c>
      <c r="P301">
        <f t="shared" si="105"/>
        <v>101.86974789915965</v>
      </c>
      <c r="V301">
        <f t="shared" si="89"/>
        <v>495.72826570115467</v>
      </c>
      <c r="W301">
        <f t="shared" si="90"/>
        <v>120.02543352222131</v>
      </c>
      <c r="AE301">
        <f t="shared" si="91"/>
        <v>0.4332431570906275</v>
      </c>
      <c r="AF301">
        <f t="shared" si="92"/>
        <v>0.42316218089498164</v>
      </c>
      <c r="AG301">
        <f t="shared" si="93"/>
        <v>0.42553152769837477</v>
      </c>
      <c r="AI301">
        <f t="shared" si="94"/>
        <v>0.19234771967997025</v>
      </c>
      <c r="AJ301">
        <f t="shared" si="95"/>
        <v>26.404362280941356</v>
      </c>
      <c r="AL301">
        <f t="shared" si="96"/>
        <v>0.19693001193321336</v>
      </c>
      <c r="AM301">
        <f t="shared" si="97"/>
        <v>27.677407834123137</v>
      </c>
      <c r="AO301">
        <f t="shared" si="98"/>
        <v>0.19583351152397258</v>
      </c>
      <c r="AP301">
        <f t="shared" si="99"/>
        <v>27.370051941158668</v>
      </c>
    </row>
    <row r="302" spans="1:42" x14ac:dyDescent="0.2">
      <c r="A302" s="3">
        <v>300</v>
      </c>
      <c r="B302" s="3">
        <v>2.0100000000000001E-7</v>
      </c>
      <c r="C302" s="2">
        <v>1.562E-2</v>
      </c>
      <c r="D302" s="3">
        <v>128000</v>
      </c>
      <c r="E302" s="3">
        <v>121000000000</v>
      </c>
      <c r="F302" s="3">
        <v>108000000000</v>
      </c>
      <c r="G302" s="3">
        <v>1530000000</v>
      </c>
      <c r="H302" s="3">
        <v>16200000000</v>
      </c>
      <c r="I302" s="2"/>
      <c r="J302" s="7">
        <f t="shared" si="100"/>
        <v>0.20100000000000001</v>
      </c>
      <c r="K302" s="7">
        <f t="shared" si="101"/>
        <v>15.620000000000001</v>
      </c>
      <c r="L302" s="7">
        <f t="shared" si="102"/>
        <v>121.00000000000001</v>
      </c>
      <c r="M302" s="7">
        <f t="shared" si="103"/>
        <v>128</v>
      </c>
      <c r="O302">
        <f t="shared" si="104"/>
        <v>0.10947656250000001</v>
      </c>
      <c r="P302">
        <f t="shared" si="105"/>
        <v>109.47656250000001</v>
      </c>
      <c r="V302">
        <f t="shared" si="89"/>
        <v>511.79912723370592</v>
      </c>
      <c r="W302">
        <f t="shared" si="90"/>
        <v>125.04906045057653</v>
      </c>
      <c r="AE302">
        <f t="shared" si="91"/>
        <v>0.46600944628235563</v>
      </c>
      <c r="AF302">
        <f t="shared" si="92"/>
        <v>0.4551660433156105</v>
      </c>
      <c r="AG302">
        <f t="shared" si="93"/>
        <v>0.45771458441505858</v>
      </c>
      <c r="AI302">
        <f t="shared" si="94"/>
        <v>0.17971738699317222</v>
      </c>
      <c r="AJ302">
        <f t="shared" si="95"/>
        <v>22.895075673980273</v>
      </c>
      <c r="AL302">
        <f t="shared" si="96"/>
        <v>0.18399878732150515</v>
      </c>
      <c r="AM302">
        <f t="shared" si="97"/>
        <v>23.998926392524563</v>
      </c>
      <c r="AO302">
        <f t="shared" si="98"/>
        <v>0.18297428758366799</v>
      </c>
      <c r="AP302">
        <f t="shared" si="99"/>
        <v>23.732419807234134</v>
      </c>
    </row>
    <row r="303" spans="1:42" x14ac:dyDescent="0.2">
      <c r="A303" s="3">
        <v>300</v>
      </c>
      <c r="B303" s="3">
        <v>2.0100000000000001E-7</v>
      </c>
      <c r="C303" s="2">
        <v>1.567E-2</v>
      </c>
      <c r="D303" s="3">
        <v>127000</v>
      </c>
      <c r="E303" s="3">
        <v>120000000000</v>
      </c>
      <c r="F303" s="3">
        <v>108000000000</v>
      </c>
      <c r="G303" s="2">
        <v>0</v>
      </c>
      <c r="H303" s="3">
        <v>16300000000</v>
      </c>
      <c r="I303" s="2"/>
      <c r="J303" s="7">
        <f t="shared" si="100"/>
        <v>0.20100000000000001</v>
      </c>
      <c r="K303" s="7">
        <f t="shared" si="101"/>
        <v>15.67</v>
      </c>
      <c r="L303" s="7">
        <f t="shared" si="102"/>
        <v>120.00000000000001</v>
      </c>
      <c r="M303" s="7">
        <f t="shared" si="103"/>
        <v>127</v>
      </c>
      <c r="O303">
        <f t="shared" si="104"/>
        <v>0.10846062992125986</v>
      </c>
      <c r="P303">
        <f t="shared" si="105"/>
        <v>108.46062992125987</v>
      </c>
      <c r="V303">
        <f t="shared" si="89"/>
        <v>509.68956200301608</v>
      </c>
      <c r="W303">
        <f t="shared" si="90"/>
        <v>124.58563944384689</v>
      </c>
      <c r="AE303">
        <f t="shared" si="91"/>
        <v>0.46236874748327472</v>
      </c>
      <c r="AF303">
        <f t="shared" si="92"/>
        <v>0.45161005860220732</v>
      </c>
      <c r="AG303">
        <f t="shared" si="93"/>
        <v>0.45413868922431594</v>
      </c>
      <c r="AI303">
        <f t="shared" si="94"/>
        <v>0.18113248452855155</v>
      </c>
      <c r="AJ303">
        <f t="shared" si="95"/>
        <v>23.331493919311487</v>
      </c>
      <c r="AL303">
        <f t="shared" si="96"/>
        <v>0.18544759667049335</v>
      </c>
      <c r="AM303">
        <f t="shared" si="97"/>
        <v>24.456385869627823</v>
      </c>
      <c r="AO303">
        <f t="shared" si="98"/>
        <v>0.18441503000558665</v>
      </c>
      <c r="AP303">
        <f t="shared" si="99"/>
        <v>24.184799225289854</v>
      </c>
    </row>
    <row r="304" spans="1:42" x14ac:dyDescent="0.2">
      <c r="A304" s="3">
        <v>300</v>
      </c>
      <c r="B304" s="3">
        <v>2.0200000000000001E-7</v>
      </c>
      <c r="C304" s="2">
        <v>1.5720000000000001E-2</v>
      </c>
      <c r="D304" s="3">
        <v>127000</v>
      </c>
      <c r="E304" s="3">
        <v>120000000000</v>
      </c>
      <c r="F304" s="3">
        <v>108000000000</v>
      </c>
      <c r="G304" s="3">
        <v>4800000000</v>
      </c>
      <c r="H304" s="3">
        <v>16300000000</v>
      </c>
      <c r="I304" s="2"/>
      <c r="J304" s="7">
        <f t="shared" si="100"/>
        <v>0.20200000000000001</v>
      </c>
      <c r="K304" s="7">
        <f t="shared" si="101"/>
        <v>15.72</v>
      </c>
      <c r="L304" s="7">
        <f t="shared" si="102"/>
        <v>120.00000000000001</v>
      </c>
      <c r="M304" s="7">
        <f t="shared" si="103"/>
        <v>127</v>
      </c>
      <c r="O304">
        <f t="shared" si="104"/>
        <v>0.10916535433070867</v>
      </c>
      <c r="P304">
        <f t="shared" si="105"/>
        <v>109.16535433070868</v>
      </c>
      <c r="V304">
        <f t="shared" si="89"/>
        <v>511.15407201071503</v>
      </c>
      <c r="W304">
        <f t="shared" si="90"/>
        <v>124.22868852479549</v>
      </c>
      <c r="AE304">
        <f t="shared" si="91"/>
        <v>0.46236874748327472</v>
      </c>
      <c r="AF304">
        <f t="shared" si="92"/>
        <v>0.45161005860220732</v>
      </c>
      <c r="AG304">
        <f t="shared" si="93"/>
        <v>0.45413868922431594</v>
      </c>
      <c r="AI304">
        <f t="shared" si="94"/>
        <v>0.18203364116799708</v>
      </c>
      <c r="AJ304">
        <f t="shared" si="95"/>
        <v>23.405940294293337</v>
      </c>
      <c r="AL304">
        <f t="shared" si="96"/>
        <v>0.18637022152955052</v>
      </c>
      <c r="AM304">
        <f t="shared" si="97"/>
        <v>24.534421561617702</v>
      </c>
      <c r="AO304">
        <f t="shared" si="98"/>
        <v>0.18533251771705722</v>
      </c>
      <c r="AP304">
        <f t="shared" si="99"/>
        <v>24.261968335772593</v>
      </c>
    </row>
    <row r="305" spans="1:42" x14ac:dyDescent="0.2">
      <c r="A305" s="3">
        <v>300</v>
      </c>
      <c r="B305" s="3">
        <v>2.0200000000000001E-7</v>
      </c>
      <c r="C305" s="2">
        <v>1.5769999999999999E-2</v>
      </c>
      <c r="D305" s="3">
        <v>128000</v>
      </c>
      <c r="E305" s="3">
        <v>120000000000</v>
      </c>
      <c r="F305" s="3">
        <v>108000000000</v>
      </c>
      <c r="G305" s="2">
        <v>0</v>
      </c>
      <c r="H305" s="3">
        <v>16300000000</v>
      </c>
      <c r="I305" s="2"/>
      <c r="J305" s="7">
        <f t="shared" si="100"/>
        <v>0.20200000000000001</v>
      </c>
      <c r="K305" s="7">
        <f t="shared" si="101"/>
        <v>15.77</v>
      </c>
      <c r="L305" s="7">
        <f t="shared" si="102"/>
        <v>120.00000000000001</v>
      </c>
      <c r="M305" s="7">
        <f t="shared" si="103"/>
        <v>128</v>
      </c>
      <c r="O305">
        <f t="shared" si="104"/>
        <v>0.10959765625000001</v>
      </c>
      <c r="P305">
        <f t="shared" si="105"/>
        <v>109.59765625000001</v>
      </c>
      <c r="V305">
        <f t="shared" si="89"/>
        <v>512.04984766431096</v>
      </c>
      <c r="W305">
        <f t="shared" si="90"/>
        <v>124.98783134480502</v>
      </c>
      <c r="AE305">
        <f t="shared" si="91"/>
        <v>0.46600944628235563</v>
      </c>
      <c r="AF305">
        <f t="shared" si="92"/>
        <v>0.4551660433156105</v>
      </c>
      <c r="AG305">
        <f t="shared" si="93"/>
        <v>0.45771458441505858</v>
      </c>
      <c r="AI305">
        <f t="shared" si="94"/>
        <v>0.18061150334637208</v>
      </c>
      <c r="AJ305">
        <f t="shared" si="95"/>
        <v>23.114938756636931</v>
      </c>
      <c r="AL305">
        <f t="shared" si="96"/>
        <v>0.18491420417385093</v>
      </c>
      <c r="AM305">
        <f t="shared" si="97"/>
        <v>24.22938983419413</v>
      </c>
      <c r="AO305">
        <f t="shared" si="98"/>
        <v>0.18388460742239271</v>
      </c>
      <c r="AP305">
        <f t="shared" si="99"/>
        <v>23.960323966714615</v>
      </c>
    </row>
    <row r="306" spans="1:42" x14ac:dyDescent="0.2">
      <c r="A306" s="3">
        <v>300</v>
      </c>
      <c r="B306" s="3">
        <v>2.03E-7</v>
      </c>
      <c r="C306" s="2">
        <v>1.5820000000000001E-2</v>
      </c>
      <c r="D306" s="3">
        <v>143000</v>
      </c>
      <c r="E306" s="3">
        <v>129000000000</v>
      </c>
      <c r="F306" s="3">
        <v>115000000000</v>
      </c>
      <c r="G306" s="3">
        <v>5000000000</v>
      </c>
      <c r="H306" s="3">
        <v>14900000000</v>
      </c>
      <c r="I306" s="2"/>
      <c r="J306" s="7">
        <f t="shared" si="100"/>
        <v>0.20300000000000001</v>
      </c>
      <c r="K306" s="7">
        <f t="shared" si="101"/>
        <v>15.82</v>
      </c>
      <c r="L306" s="7">
        <f t="shared" si="102"/>
        <v>129</v>
      </c>
      <c r="M306" s="7">
        <f t="shared" si="103"/>
        <v>143</v>
      </c>
      <c r="O306">
        <f t="shared" si="104"/>
        <v>0.12002797202797204</v>
      </c>
      <c r="P306">
        <f t="shared" si="105"/>
        <v>120.02797202797204</v>
      </c>
      <c r="V306">
        <f t="shared" si="89"/>
        <v>533.09327410660046</v>
      </c>
      <c r="W306">
        <f t="shared" si="90"/>
        <v>134.12287018594506</v>
      </c>
      <c r="AE306">
        <f t="shared" si="91"/>
        <v>0.52061992826856918</v>
      </c>
      <c r="AF306">
        <f t="shared" si="92"/>
        <v>0.50850581401665862</v>
      </c>
      <c r="AG306">
        <f t="shared" si="93"/>
        <v>0.51135301227619823</v>
      </c>
      <c r="AI306">
        <f t="shared" si="94"/>
        <v>0.16246656868213433</v>
      </c>
      <c r="AJ306">
        <f t="shared" si="95"/>
        <v>18.578703221224597</v>
      </c>
      <c r="AL306">
        <f t="shared" si="96"/>
        <v>0.16633700343603622</v>
      </c>
      <c r="AM306">
        <f t="shared" si="97"/>
        <v>19.474446707396034</v>
      </c>
      <c r="AO306">
        <f t="shared" si="98"/>
        <v>0.16541084398197922</v>
      </c>
      <c r="AP306">
        <f t="shared" si="99"/>
        <v>19.258184187668267</v>
      </c>
    </row>
    <row r="307" spans="1:42" x14ac:dyDescent="0.2">
      <c r="A307" s="3">
        <v>310</v>
      </c>
      <c r="B307" s="3">
        <v>2.03E-7</v>
      </c>
      <c r="C307" s="2">
        <v>1.5879999999999998E-2</v>
      </c>
      <c r="D307" s="3">
        <v>132000</v>
      </c>
      <c r="E307" s="3">
        <v>123000000000</v>
      </c>
      <c r="F307" s="3">
        <v>110000000000</v>
      </c>
      <c r="G307" s="3">
        <v>3870000000</v>
      </c>
      <c r="H307" s="3">
        <v>15900000000</v>
      </c>
      <c r="I307" s="2"/>
      <c r="J307" s="7">
        <f t="shared" si="100"/>
        <v>0.20300000000000001</v>
      </c>
      <c r="K307" s="7">
        <f t="shared" si="101"/>
        <v>15.879999999999999</v>
      </c>
      <c r="L307" s="7">
        <f t="shared" si="102"/>
        <v>123.00000000000001</v>
      </c>
      <c r="M307" s="7">
        <f t="shared" si="103"/>
        <v>132</v>
      </c>
      <c r="O307">
        <f t="shared" si="104"/>
        <v>0.11277272727272729</v>
      </c>
      <c r="P307">
        <f t="shared" si="105"/>
        <v>112.77272727272729</v>
      </c>
      <c r="V307">
        <f t="shared" si="89"/>
        <v>518.56946084834362</v>
      </c>
      <c r="W307">
        <f t="shared" si="90"/>
        <v>127.27321021185585</v>
      </c>
      <c r="AE307">
        <f t="shared" si="91"/>
        <v>0.48057224147867922</v>
      </c>
      <c r="AF307">
        <f t="shared" si="92"/>
        <v>0.46938998216922334</v>
      </c>
      <c r="AG307">
        <f t="shared" si="93"/>
        <v>0.47201816517802914</v>
      </c>
      <c r="AI307">
        <f t="shared" si="94"/>
        <v>0.17600544940564553</v>
      </c>
      <c r="AJ307">
        <f t="shared" si="95"/>
        <v>21.886868507192403</v>
      </c>
      <c r="AL307">
        <f t="shared" si="96"/>
        <v>0.18019842038903924</v>
      </c>
      <c r="AM307">
        <f t="shared" si="97"/>
        <v>22.942110074085576</v>
      </c>
      <c r="AO307">
        <f t="shared" si="98"/>
        <v>0.17919508098047751</v>
      </c>
      <c r="AP307">
        <f t="shared" si="99"/>
        <v>22.687339368296577</v>
      </c>
    </row>
    <row r="308" spans="1:42" x14ac:dyDescent="0.2">
      <c r="A308" s="3">
        <v>310</v>
      </c>
      <c r="B308" s="3">
        <v>2.04E-7</v>
      </c>
      <c r="C308" s="2">
        <v>1.593E-2</v>
      </c>
      <c r="D308" s="3">
        <v>122000</v>
      </c>
      <c r="E308" s="3">
        <v>116000000000</v>
      </c>
      <c r="F308" s="3">
        <v>105000000000</v>
      </c>
      <c r="G308" s="3">
        <v>6200000000</v>
      </c>
      <c r="H308" s="3">
        <v>17000000000</v>
      </c>
      <c r="I308" s="2"/>
      <c r="J308" s="7">
        <f t="shared" si="100"/>
        <v>0.20399999999999999</v>
      </c>
      <c r="K308" s="7">
        <f t="shared" si="101"/>
        <v>15.93</v>
      </c>
      <c r="L308" s="7">
        <f t="shared" si="102"/>
        <v>116.00000000000001</v>
      </c>
      <c r="M308" s="7">
        <f t="shared" si="103"/>
        <v>122</v>
      </c>
      <c r="O308">
        <f t="shared" si="104"/>
        <v>0.10606967213114754</v>
      </c>
      <c r="P308">
        <f t="shared" si="105"/>
        <v>106.06967213114754</v>
      </c>
      <c r="V308">
        <f t="shared" si="89"/>
        <v>504.68094682620841</v>
      </c>
      <c r="W308">
        <f t="shared" si="90"/>
        <v>120.86844249542456</v>
      </c>
      <c r="AE308">
        <f t="shared" si="91"/>
        <v>0.44416525348787017</v>
      </c>
      <c r="AF308">
        <f t="shared" si="92"/>
        <v>0.4338301350351913</v>
      </c>
      <c r="AG308">
        <f t="shared" si="93"/>
        <v>0.43625921327060269</v>
      </c>
      <c r="AI308">
        <f t="shared" si="94"/>
        <v>0.19137021487503927</v>
      </c>
      <c r="AJ308">
        <f t="shared" si="95"/>
        <v>25.702602959648129</v>
      </c>
      <c r="AL308">
        <f t="shared" si="96"/>
        <v>0.19592922006929045</v>
      </c>
      <c r="AM308">
        <f t="shared" si="97"/>
        <v>26.941814270825837</v>
      </c>
      <c r="AO308">
        <f t="shared" si="98"/>
        <v>0.1948382920391786</v>
      </c>
      <c r="AP308">
        <f t="shared" si="99"/>
        <v>26.642627098641203</v>
      </c>
    </row>
    <row r="309" spans="1:42" x14ac:dyDescent="0.2">
      <c r="A309" s="3">
        <v>310</v>
      </c>
      <c r="B309" s="3">
        <v>2.04E-7</v>
      </c>
      <c r="C309" s="2">
        <v>1.5980000000000001E-2</v>
      </c>
      <c r="D309" s="3">
        <v>127000</v>
      </c>
      <c r="E309" s="3">
        <v>119000000000</v>
      </c>
      <c r="F309" s="3">
        <v>107000000000</v>
      </c>
      <c r="G309" s="2">
        <v>0</v>
      </c>
      <c r="H309" s="3">
        <v>16500000000</v>
      </c>
      <c r="I309" s="2"/>
      <c r="J309" s="7">
        <f t="shared" si="100"/>
        <v>0.20399999999999999</v>
      </c>
      <c r="K309" s="7">
        <f t="shared" si="101"/>
        <v>15.98</v>
      </c>
      <c r="L309" s="7">
        <f t="shared" si="102"/>
        <v>119.00000000000001</v>
      </c>
      <c r="M309" s="7">
        <f t="shared" si="103"/>
        <v>127</v>
      </c>
      <c r="O309">
        <f t="shared" si="104"/>
        <v>0.1096299212598425</v>
      </c>
      <c r="P309">
        <f t="shared" si="105"/>
        <v>109.6299212598425</v>
      </c>
      <c r="V309">
        <f t="shared" si="89"/>
        <v>512.11662521827725</v>
      </c>
      <c r="W309">
        <f t="shared" si="90"/>
        <v>123.99519342480761</v>
      </c>
      <c r="AE309">
        <f t="shared" si="91"/>
        <v>0.46236874748327472</v>
      </c>
      <c r="AF309">
        <f t="shared" si="92"/>
        <v>0.45161005860220732</v>
      </c>
      <c r="AG309">
        <f t="shared" si="93"/>
        <v>0.45413868922431594</v>
      </c>
      <c r="AI309">
        <f t="shared" si="94"/>
        <v>0.18383595444688811</v>
      </c>
      <c r="AJ309">
        <f t="shared" si="95"/>
        <v>23.793061444198951</v>
      </c>
      <c r="AL309">
        <f t="shared" si="96"/>
        <v>0.18821547124766486</v>
      </c>
      <c r="AM309">
        <f t="shared" si="97"/>
        <v>24.94020715996507</v>
      </c>
      <c r="AO309">
        <f t="shared" si="98"/>
        <v>0.18716749313999836</v>
      </c>
      <c r="AP309">
        <f t="shared" si="99"/>
        <v>24.663247710282828</v>
      </c>
    </row>
    <row r="310" spans="1:42" x14ac:dyDescent="0.2">
      <c r="A310" s="3">
        <v>310</v>
      </c>
      <c r="B310" s="3">
        <v>2.05E-7</v>
      </c>
      <c r="C310" s="2">
        <v>1.6039999999999999E-2</v>
      </c>
      <c r="D310" s="3">
        <v>138000</v>
      </c>
      <c r="E310" s="3">
        <v>125000000000</v>
      </c>
      <c r="F310" s="3">
        <v>112000000000</v>
      </c>
      <c r="G310" s="2">
        <v>0</v>
      </c>
      <c r="H310" s="3">
        <v>15400000000</v>
      </c>
      <c r="I310" s="2"/>
      <c r="J310" s="7">
        <f t="shared" si="100"/>
        <v>0.20499999999999999</v>
      </c>
      <c r="K310" s="7">
        <f t="shared" si="101"/>
        <v>16.04</v>
      </c>
      <c r="L310" s="7">
        <f t="shared" si="102"/>
        <v>125.00000000000001</v>
      </c>
      <c r="M310" s="7">
        <f t="shared" si="103"/>
        <v>138</v>
      </c>
      <c r="O310">
        <f t="shared" si="104"/>
        <v>0.11782608695652173</v>
      </c>
      <c r="P310">
        <f t="shared" si="105"/>
        <v>117.82608695652173</v>
      </c>
      <c r="V310">
        <f t="shared" si="89"/>
        <v>528.73842541041574</v>
      </c>
      <c r="W310">
        <f t="shared" si="90"/>
        <v>130.49931059283432</v>
      </c>
      <c r="AE310">
        <f t="shared" si="91"/>
        <v>0.50241643427316462</v>
      </c>
      <c r="AF310">
        <f t="shared" si="92"/>
        <v>0.4907258904496426</v>
      </c>
      <c r="AG310">
        <f t="shared" si="93"/>
        <v>0.49347353632248503</v>
      </c>
      <c r="AI310">
        <f t="shared" si="94"/>
        <v>0.17001168918814763</v>
      </c>
      <c r="AJ310">
        <f t="shared" si="95"/>
        <v>20.226800185464381</v>
      </c>
      <c r="AL310">
        <f t="shared" si="96"/>
        <v>0.17406187105473697</v>
      </c>
      <c r="AM310">
        <f t="shared" si="97"/>
        <v>21.20200412173925</v>
      </c>
      <c r="AO310">
        <f t="shared" si="98"/>
        <v>0.17309269976910546</v>
      </c>
      <c r="AP310">
        <f t="shared" si="99"/>
        <v>20.96655718434798</v>
      </c>
    </row>
    <row r="311" spans="1:42" x14ac:dyDescent="0.2">
      <c r="A311" s="3">
        <v>310</v>
      </c>
      <c r="B311" s="3">
        <v>2.05E-7</v>
      </c>
      <c r="C311" s="2">
        <v>1.609E-2</v>
      </c>
      <c r="D311" s="3">
        <v>129000</v>
      </c>
      <c r="E311" s="3">
        <v>120000000000</v>
      </c>
      <c r="F311" s="3">
        <v>108000000000</v>
      </c>
      <c r="G311" s="3">
        <v>10100000000</v>
      </c>
      <c r="H311" s="3">
        <v>16400000000</v>
      </c>
      <c r="I311" s="2"/>
      <c r="J311" s="7">
        <f t="shared" si="100"/>
        <v>0.20499999999999999</v>
      </c>
      <c r="K311" s="7">
        <f t="shared" si="101"/>
        <v>16.09</v>
      </c>
      <c r="L311" s="7">
        <f t="shared" si="102"/>
        <v>120.00000000000001</v>
      </c>
      <c r="M311" s="7">
        <f t="shared" si="103"/>
        <v>129</v>
      </c>
      <c r="O311">
        <f t="shared" si="104"/>
        <v>0.11145348837209301</v>
      </c>
      <c r="P311">
        <f t="shared" si="105"/>
        <v>111.45348837209301</v>
      </c>
      <c r="V311">
        <f t="shared" si="89"/>
        <v>515.87314464464976</v>
      </c>
      <c r="W311">
        <f t="shared" si="90"/>
        <v>125.03073802073901</v>
      </c>
      <c r="AE311">
        <f t="shared" si="91"/>
        <v>0.46965014508143649</v>
      </c>
      <c r="AF311">
        <f t="shared" si="92"/>
        <v>0.45872202802901374</v>
      </c>
      <c r="AG311">
        <f t="shared" si="93"/>
        <v>0.46129047960580122</v>
      </c>
      <c r="AI311">
        <f t="shared" si="94"/>
        <v>0.18187296982918119</v>
      </c>
      <c r="AJ311">
        <f t="shared" si="95"/>
        <v>23.219754120189044</v>
      </c>
      <c r="AL311">
        <f t="shared" si="96"/>
        <v>0.18620572252367207</v>
      </c>
      <c r="AM311">
        <f t="shared" si="97"/>
        <v>24.339258708641729</v>
      </c>
      <c r="AO311">
        <f t="shared" si="98"/>
        <v>0.18516893463671746</v>
      </c>
      <c r="AP311">
        <f t="shared" si="99"/>
        <v>24.068972754143321</v>
      </c>
    </row>
    <row r="312" spans="1:42" x14ac:dyDescent="0.2">
      <c r="A312" s="3">
        <v>310</v>
      </c>
      <c r="B312" s="3">
        <v>2.0599999999999999E-7</v>
      </c>
      <c r="C312" s="2">
        <v>1.6140000000000002E-2</v>
      </c>
      <c r="D312" s="3">
        <v>137000</v>
      </c>
      <c r="E312" s="3">
        <v>125000000000</v>
      </c>
      <c r="F312" s="3">
        <v>112000000000</v>
      </c>
      <c r="G312" s="3">
        <v>8930000000</v>
      </c>
      <c r="H312" s="3">
        <v>15500000000</v>
      </c>
      <c r="I312" s="2"/>
      <c r="J312" s="7">
        <f t="shared" si="100"/>
        <v>0.20599999999999999</v>
      </c>
      <c r="K312" s="7">
        <f t="shared" si="101"/>
        <v>16.14</v>
      </c>
      <c r="L312" s="7">
        <f t="shared" si="102"/>
        <v>125.00000000000001</v>
      </c>
      <c r="M312" s="7">
        <f t="shared" si="103"/>
        <v>137</v>
      </c>
      <c r="O312">
        <f t="shared" si="104"/>
        <v>0.11764233576642334</v>
      </c>
      <c r="P312">
        <f t="shared" si="105"/>
        <v>117.64233576642334</v>
      </c>
      <c r="V312">
        <f t="shared" si="89"/>
        <v>528.37296390285121</v>
      </c>
      <c r="W312">
        <f t="shared" si="90"/>
        <v>129.64327223335124</v>
      </c>
      <c r="AE312">
        <f t="shared" si="91"/>
        <v>0.49877573547408371</v>
      </c>
      <c r="AF312">
        <f t="shared" si="92"/>
        <v>0.48716990573623936</v>
      </c>
      <c r="AG312">
        <f t="shared" si="93"/>
        <v>0.48989764113174239</v>
      </c>
      <c r="AI312">
        <f t="shared" si="94"/>
        <v>0.17208802920564931</v>
      </c>
      <c r="AJ312">
        <f t="shared" si="95"/>
        <v>20.651109483517939</v>
      </c>
      <c r="AL312">
        <f t="shared" si="96"/>
        <v>0.17618767563980997</v>
      </c>
      <c r="AM312">
        <f t="shared" si="97"/>
        <v>21.646770837370763</v>
      </c>
      <c r="AO312">
        <f t="shared" si="98"/>
        <v>0.17520666793790743</v>
      </c>
      <c r="AP312">
        <f t="shared" si="99"/>
        <v>21.406384793258837</v>
      </c>
    </row>
    <row r="313" spans="1:42" x14ac:dyDescent="0.2">
      <c r="A313" s="3">
        <v>310</v>
      </c>
      <c r="B313" s="3">
        <v>2.0599999999999999E-7</v>
      </c>
      <c r="C313" s="2">
        <v>1.619E-2</v>
      </c>
      <c r="D313" s="3">
        <v>123000</v>
      </c>
      <c r="E313" s="3">
        <v>116000000000</v>
      </c>
      <c r="F313" s="3">
        <v>105000000000</v>
      </c>
      <c r="G313" s="2">
        <v>0</v>
      </c>
      <c r="H313" s="3">
        <v>17100000000</v>
      </c>
      <c r="I313" s="2"/>
      <c r="J313" s="7">
        <f t="shared" si="100"/>
        <v>0.20599999999999999</v>
      </c>
      <c r="K313" s="7">
        <f t="shared" si="101"/>
        <v>16.190000000000001</v>
      </c>
      <c r="L313" s="7">
        <f t="shared" si="102"/>
        <v>116.00000000000001</v>
      </c>
      <c r="M313" s="7">
        <f t="shared" si="103"/>
        <v>123</v>
      </c>
      <c r="O313">
        <f t="shared" si="104"/>
        <v>0.10728048780487803</v>
      </c>
      <c r="P313">
        <f t="shared" si="105"/>
        <v>107.28048780487804</v>
      </c>
      <c r="V313">
        <f t="shared" si="89"/>
        <v>507.22515331395005</v>
      </c>
      <c r="W313">
        <f t="shared" si="90"/>
        <v>121.24793023017573</v>
      </c>
      <c r="AE313">
        <f t="shared" si="91"/>
        <v>0.44780595228695108</v>
      </c>
      <c r="AF313">
        <f t="shared" si="92"/>
        <v>0.43738611974859448</v>
      </c>
      <c r="AG313">
        <f t="shared" si="93"/>
        <v>0.43983510846134533</v>
      </c>
      <c r="AI313">
        <f t="shared" si="94"/>
        <v>0.19167528456238989</v>
      </c>
      <c r="AJ313">
        <f t="shared" si="95"/>
        <v>25.699082522191187</v>
      </c>
      <c r="AL313">
        <f t="shared" si="96"/>
        <v>0.19624155741995092</v>
      </c>
      <c r="AM313">
        <f t="shared" si="97"/>
        <v>26.938124100913253</v>
      </c>
      <c r="AO313">
        <f t="shared" si="98"/>
        <v>0.19514889030482377</v>
      </c>
      <c r="AP313">
        <f t="shared" si="99"/>
        <v>26.638977907836026</v>
      </c>
    </row>
    <row r="314" spans="1:42" x14ac:dyDescent="0.2">
      <c r="A314" s="3">
        <v>310</v>
      </c>
      <c r="B314" s="3">
        <v>2.0699999999999999E-7</v>
      </c>
      <c r="C314" s="2">
        <v>1.6250000000000001E-2</v>
      </c>
      <c r="D314" s="3">
        <v>149000</v>
      </c>
      <c r="E314" s="3">
        <v>132000000000</v>
      </c>
      <c r="F314" s="3">
        <v>117000000000</v>
      </c>
      <c r="G314" s="2">
        <v>0</v>
      </c>
      <c r="H314" s="3">
        <v>14600000000</v>
      </c>
      <c r="I314" s="2"/>
      <c r="J314" s="7">
        <f t="shared" si="100"/>
        <v>0.20699999999999999</v>
      </c>
      <c r="K314" s="7">
        <f t="shared" si="101"/>
        <v>16.25</v>
      </c>
      <c r="L314" s="7">
        <f t="shared" si="102"/>
        <v>132</v>
      </c>
      <c r="M314" s="7">
        <f t="shared" si="103"/>
        <v>149</v>
      </c>
      <c r="O314">
        <f t="shared" si="104"/>
        <v>0.12520469798657718</v>
      </c>
      <c r="P314">
        <f t="shared" si="105"/>
        <v>125.20469798657719</v>
      </c>
      <c r="V314">
        <f t="shared" si="89"/>
        <v>543.15949180586119</v>
      </c>
      <c r="W314">
        <f t="shared" si="90"/>
        <v>137.16044941478839</v>
      </c>
      <c r="AE314">
        <f t="shared" si="91"/>
        <v>0.54246412106305453</v>
      </c>
      <c r="AF314">
        <f t="shared" si="92"/>
        <v>0.52984172229707782</v>
      </c>
      <c r="AG314">
        <f t="shared" si="93"/>
        <v>0.53280838342065406</v>
      </c>
      <c r="AI314">
        <f t="shared" si="94"/>
        <v>0.15899669056633248</v>
      </c>
      <c r="AJ314">
        <f t="shared" si="95"/>
        <v>17.577690832698039</v>
      </c>
      <c r="AL314">
        <f t="shared" si="96"/>
        <v>0.16278446254868609</v>
      </c>
      <c r="AM314">
        <f t="shared" si="97"/>
        <v>18.425172052341889</v>
      </c>
      <c r="AO314">
        <f t="shared" si="98"/>
        <v>0.16187808353590663</v>
      </c>
      <c r="AP314">
        <f t="shared" si="99"/>
        <v>18.220561662412621</v>
      </c>
    </row>
    <row r="315" spans="1:42" x14ac:dyDescent="0.2">
      <c r="A315" s="3">
        <v>310</v>
      </c>
      <c r="B315" s="3">
        <v>2.0699999999999999E-7</v>
      </c>
      <c r="C315" s="2">
        <v>1.6299999999999999E-2</v>
      </c>
      <c r="D315" s="3">
        <v>133000</v>
      </c>
      <c r="E315" s="3">
        <v>122000000000</v>
      </c>
      <c r="F315" s="3">
        <v>109000000000</v>
      </c>
      <c r="G315" s="3">
        <v>2010000000</v>
      </c>
      <c r="H315" s="3">
        <v>15900000000</v>
      </c>
      <c r="I315" s="2"/>
      <c r="J315" s="7">
        <f t="shared" si="100"/>
        <v>0.20699999999999999</v>
      </c>
      <c r="K315" s="7">
        <f t="shared" si="101"/>
        <v>16.299999999999997</v>
      </c>
      <c r="L315" s="7">
        <f t="shared" si="102"/>
        <v>122.00000000000001</v>
      </c>
      <c r="M315" s="7">
        <f t="shared" si="103"/>
        <v>133</v>
      </c>
      <c r="O315">
        <f t="shared" si="104"/>
        <v>0.1150827067669173</v>
      </c>
      <c r="P315">
        <f t="shared" si="105"/>
        <v>115.0827067669173</v>
      </c>
      <c r="V315">
        <f t="shared" si="89"/>
        <v>523.2487076569812</v>
      </c>
      <c r="W315">
        <f t="shared" si="90"/>
        <v>127.0906148966439</v>
      </c>
      <c r="AE315">
        <f t="shared" si="91"/>
        <v>0.48421294027776013</v>
      </c>
      <c r="AF315">
        <f t="shared" si="92"/>
        <v>0.47294596688262658</v>
      </c>
      <c r="AG315">
        <f t="shared" si="93"/>
        <v>0.47559406036877178</v>
      </c>
      <c r="AI315">
        <f t="shared" si="94"/>
        <v>0.17812411198784614</v>
      </c>
      <c r="AJ315">
        <f t="shared" si="95"/>
        <v>22.129179702572856</v>
      </c>
      <c r="AL315">
        <f t="shared" si="96"/>
        <v>0.18236755578762576</v>
      </c>
      <c r="AM315">
        <f t="shared" si="97"/>
        <v>23.196103929569045</v>
      </c>
      <c r="AO315">
        <f t="shared" si="98"/>
        <v>0.18135213869812095</v>
      </c>
      <c r="AP315">
        <f t="shared" si="99"/>
        <v>22.938512637808724</v>
      </c>
    </row>
    <row r="316" spans="1:42" x14ac:dyDescent="0.2">
      <c r="A316" s="3">
        <v>310</v>
      </c>
      <c r="B316" s="3">
        <v>2.0800000000000001E-7</v>
      </c>
      <c r="C316" s="2">
        <v>1.635E-2</v>
      </c>
      <c r="D316" s="3">
        <v>137000</v>
      </c>
      <c r="E316" s="3">
        <v>124000000000</v>
      </c>
      <c r="F316" s="3">
        <v>111000000000</v>
      </c>
      <c r="G316" s="3">
        <v>484000000</v>
      </c>
      <c r="H316" s="3">
        <v>15600000000</v>
      </c>
      <c r="I316" s="2"/>
      <c r="J316" s="7">
        <f t="shared" si="100"/>
        <v>0.20800000000000002</v>
      </c>
      <c r="K316" s="7">
        <f t="shared" si="101"/>
        <v>16.350000000000001</v>
      </c>
      <c r="L316" s="7">
        <f t="shared" si="102"/>
        <v>124.00000000000001</v>
      </c>
      <c r="M316" s="7">
        <f t="shared" si="103"/>
        <v>137</v>
      </c>
      <c r="O316">
        <f t="shared" si="104"/>
        <v>0.11849270072992701</v>
      </c>
      <c r="P316">
        <f t="shared" si="105"/>
        <v>118.49270072992701</v>
      </c>
      <c r="V316">
        <f t="shared" si="89"/>
        <v>530.06159109931298</v>
      </c>
      <c r="W316">
        <f t="shared" si="90"/>
        <v>129.23026521868053</v>
      </c>
      <c r="AE316">
        <f t="shared" si="91"/>
        <v>0.49877573547408371</v>
      </c>
      <c r="AF316">
        <f t="shared" si="92"/>
        <v>0.48716990573623936</v>
      </c>
      <c r="AG316">
        <f t="shared" si="93"/>
        <v>0.48989764113174239</v>
      </c>
      <c r="AI316">
        <f t="shared" si="94"/>
        <v>0.17375878677075274</v>
      </c>
      <c r="AJ316">
        <f t="shared" si="95"/>
        <v>20.919804216574864</v>
      </c>
      <c r="AL316">
        <f t="shared" si="96"/>
        <v>0.17789823559747805</v>
      </c>
      <c r="AM316">
        <f t="shared" si="97"/>
        <v>21.928420272057743</v>
      </c>
      <c r="AO316">
        <f t="shared" si="98"/>
        <v>0.1769077035489551</v>
      </c>
      <c r="AP316">
        <f t="shared" si="99"/>
        <v>21.684906528487112</v>
      </c>
    </row>
    <row r="317" spans="1:42" x14ac:dyDescent="0.2">
      <c r="A317" s="3">
        <v>320</v>
      </c>
      <c r="B317" s="3">
        <v>2.0800000000000001E-7</v>
      </c>
      <c r="C317" s="2">
        <v>1.6400000000000001E-2</v>
      </c>
      <c r="D317" s="3">
        <v>135000</v>
      </c>
      <c r="E317" s="3">
        <v>123000000000</v>
      </c>
      <c r="F317" s="3">
        <v>110000000000</v>
      </c>
      <c r="G317" s="2">
        <v>0</v>
      </c>
      <c r="H317" s="3">
        <v>15800000000</v>
      </c>
      <c r="I317" s="2"/>
      <c r="J317" s="7">
        <f t="shared" si="100"/>
        <v>0.20800000000000002</v>
      </c>
      <c r="K317" s="7">
        <f t="shared" si="101"/>
        <v>16.400000000000002</v>
      </c>
      <c r="L317" s="7">
        <f t="shared" si="102"/>
        <v>123.00000000000001</v>
      </c>
      <c r="M317" s="7">
        <f t="shared" si="103"/>
        <v>135</v>
      </c>
      <c r="O317">
        <f t="shared" si="104"/>
        <v>0.1168888888888889</v>
      </c>
      <c r="P317">
        <f t="shared" si="105"/>
        <v>116.8888888888889</v>
      </c>
      <c r="V317">
        <f t="shared" si="89"/>
        <v>526.87110401183872</v>
      </c>
      <c r="W317">
        <f t="shared" si="90"/>
        <v>128.11482635131057</v>
      </c>
      <c r="AE317">
        <f t="shared" si="91"/>
        <v>0.49149433787592195</v>
      </c>
      <c r="AF317">
        <f t="shared" si="92"/>
        <v>0.48005793630943294</v>
      </c>
      <c r="AG317">
        <f t="shared" si="93"/>
        <v>0.48274585075025706</v>
      </c>
      <c r="AI317">
        <f t="shared" si="94"/>
        <v>0.1763329910192083</v>
      </c>
      <c r="AJ317">
        <f t="shared" si="95"/>
        <v>21.610126250917737</v>
      </c>
      <c r="AL317">
        <f t="shared" si="96"/>
        <v>0.180533765013737</v>
      </c>
      <c r="AM317">
        <f t="shared" si="97"/>
        <v>22.652025117276079</v>
      </c>
      <c r="AO317">
        <f t="shared" si="98"/>
        <v>0.17952855841634704</v>
      </c>
      <c r="AP317">
        <f t="shared" si="99"/>
        <v>22.400475786894418</v>
      </c>
    </row>
    <row r="318" spans="1:42" x14ac:dyDescent="0.2">
      <c r="A318" s="3">
        <v>320</v>
      </c>
      <c r="B318" s="3">
        <v>2.0900000000000001E-7</v>
      </c>
      <c r="C318" s="2">
        <v>1.6449999999999999E-2</v>
      </c>
      <c r="D318" s="3">
        <v>127000</v>
      </c>
      <c r="E318" s="3">
        <v>117000000000</v>
      </c>
      <c r="F318" s="3">
        <v>106000000000</v>
      </c>
      <c r="G318" s="3">
        <v>3230000000</v>
      </c>
      <c r="H318" s="3">
        <v>16600000000</v>
      </c>
      <c r="I318" s="2"/>
      <c r="J318" s="7">
        <f t="shared" si="100"/>
        <v>0.20900000000000002</v>
      </c>
      <c r="K318" s="7">
        <f t="shared" si="101"/>
        <v>16.45</v>
      </c>
      <c r="L318" s="7">
        <f t="shared" si="102"/>
        <v>117.00000000000001</v>
      </c>
      <c r="M318" s="7">
        <f t="shared" si="103"/>
        <v>127</v>
      </c>
      <c r="O318">
        <f t="shared" si="104"/>
        <v>0.11185433070866145</v>
      </c>
      <c r="P318">
        <f t="shared" si="105"/>
        <v>111.85433070866145</v>
      </c>
      <c r="V318">
        <f t="shared" si="89"/>
        <v>516.69427438129117</v>
      </c>
      <c r="W318">
        <f t="shared" si="90"/>
        <v>122.89665891118545</v>
      </c>
      <c r="AE318">
        <f t="shared" si="91"/>
        <v>0.46236874748327472</v>
      </c>
      <c r="AF318">
        <f t="shared" si="92"/>
        <v>0.45161005860220732</v>
      </c>
      <c r="AG318">
        <f t="shared" si="93"/>
        <v>0.45413868922431594</v>
      </c>
      <c r="AI318">
        <f t="shared" si="94"/>
        <v>0.1883417376441158</v>
      </c>
      <c r="AJ318">
        <f t="shared" si="95"/>
        <v>24.492857369028332</v>
      </c>
      <c r="AL318">
        <f t="shared" si="96"/>
        <v>0.19282859554295079</v>
      </c>
      <c r="AM318">
        <f t="shared" si="97"/>
        <v>25.673742664669923</v>
      </c>
      <c r="AO318">
        <f t="shared" si="98"/>
        <v>0.19175493169735131</v>
      </c>
      <c r="AP318">
        <f t="shared" si="99"/>
        <v>25.388637348820556</v>
      </c>
    </row>
    <row r="319" spans="1:42" x14ac:dyDescent="0.2">
      <c r="A319" s="3">
        <v>320</v>
      </c>
      <c r="B319" s="3">
        <v>2.0900000000000001E-7</v>
      </c>
      <c r="C319" s="2">
        <v>1.6500000000000001E-2</v>
      </c>
      <c r="D319" s="3">
        <v>127000</v>
      </c>
      <c r="E319" s="3">
        <v>118000000000</v>
      </c>
      <c r="F319" s="3">
        <v>106000000000</v>
      </c>
      <c r="G319" s="3">
        <v>7580000000</v>
      </c>
      <c r="H319" s="3">
        <v>16700000000</v>
      </c>
      <c r="I319" s="2"/>
      <c r="J319" s="7">
        <f t="shared" si="100"/>
        <v>0.20900000000000002</v>
      </c>
      <c r="K319" s="7">
        <f t="shared" si="101"/>
        <v>16.5</v>
      </c>
      <c r="L319" s="7">
        <f t="shared" si="102"/>
        <v>118.00000000000001</v>
      </c>
      <c r="M319" s="7">
        <f t="shared" si="103"/>
        <v>127</v>
      </c>
      <c r="O319">
        <f t="shared" si="104"/>
        <v>0.11155905511811026</v>
      </c>
      <c r="P319">
        <f t="shared" si="105"/>
        <v>111.55905511811027</v>
      </c>
      <c r="V319">
        <f t="shared" si="89"/>
        <v>516.08955857103308</v>
      </c>
      <c r="W319">
        <f t="shared" si="90"/>
        <v>123.04066018274237</v>
      </c>
      <c r="AE319">
        <f t="shared" si="91"/>
        <v>0.46236874748327472</v>
      </c>
      <c r="AF319">
        <f t="shared" si="92"/>
        <v>0.45161005860220732</v>
      </c>
      <c r="AG319">
        <f t="shared" si="93"/>
        <v>0.45413868922431594</v>
      </c>
      <c r="AI319">
        <f t="shared" si="94"/>
        <v>0.1883417376441158</v>
      </c>
      <c r="AJ319">
        <f t="shared" si="95"/>
        <v>24.567303744010182</v>
      </c>
      <c r="AL319">
        <f t="shared" si="96"/>
        <v>0.19282859554295079</v>
      </c>
      <c r="AM319">
        <f t="shared" si="97"/>
        <v>25.751778356659802</v>
      </c>
      <c r="AO319">
        <f t="shared" si="98"/>
        <v>0.19175493169735131</v>
      </c>
      <c r="AP319">
        <f t="shared" si="99"/>
        <v>25.465806459303295</v>
      </c>
    </row>
    <row r="320" spans="1:42" x14ac:dyDescent="0.2">
      <c r="A320" s="3">
        <v>320</v>
      </c>
      <c r="B320" s="3">
        <v>2.1E-7</v>
      </c>
      <c r="C320" s="2">
        <v>1.6549999999999999E-2</v>
      </c>
      <c r="D320" s="3">
        <v>133000</v>
      </c>
      <c r="E320" s="3">
        <v>121000000000</v>
      </c>
      <c r="F320" s="3">
        <v>109000000000</v>
      </c>
      <c r="G320" s="2">
        <v>0</v>
      </c>
      <c r="H320" s="3">
        <v>16000000000</v>
      </c>
      <c r="I320" s="2"/>
      <c r="J320" s="7">
        <f t="shared" si="100"/>
        <v>0.21</v>
      </c>
      <c r="K320" s="7">
        <f t="shared" si="101"/>
        <v>16.549999999999997</v>
      </c>
      <c r="L320" s="7">
        <f t="shared" si="102"/>
        <v>121.00000000000001</v>
      </c>
      <c r="M320" s="7">
        <f t="shared" si="103"/>
        <v>133</v>
      </c>
      <c r="O320">
        <f t="shared" si="104"/>
        <v>0.11667293233082708</v>
      </c>
      <c r="P320">
        <f t="shared" si="105"/>
        <v>116.67293233082708</v>
      </c>
      <c r="V320">
        <f t="shared" si="89"/>
        <v>526.43964008639148</v>
      </c>
      <c r="W320">
        <f t="shared" si="90"/>
        <v>126.32027479748108</v>
      </c>
      <c r="AE320">
        <f t="shared" si="91"/>
        <v>0.48421294027776013</v>
      </c>
      <c r="AF320">
        <f t="shared" si="92"/>
        <v>0.47294596688262658</v>
      </c>
      <c r="AG320">
        <f t="shared" si="93"/>
        <v>0.47559406036877178</v>
      </c>
      <c r="AI320">
        <f t="shared" si="94"/>
        <v>0.18070562085723524</v>
      </c>
      <c r="AJ320">
        <f t="shared" si="95"/>
        <v>22.468584299238081</v>
      </c>
      <c r="AL320">
        <f t="shared" si="96"/>
        <v>0.18501056384251888</v>
      </c>
      <c r="AM320">
        <f t="shared" si="97"/>
        <v>23.551872394746486</v>
      </c>
      <c r="AO320">
        <f t="shared" si="98"/>
        <v>0.18398043056331109</v>
      </c>
      <c r="AP320">
        <f t="shared" si="99"/>
        <v>23.290330316302722</v>
      </c>
    </row>
    <row r="321" spans="1:42" x14ac:dyDescent="0.2">
      <c r="A321" s="3">
        <v>320</v>
      </c>
      <c r="B321" s="3">
        <v>2.1299999999999999E-7</v>
      </c>
      <c r="C321" s="2">
        <v>1.661E-2</v>
      </c>
      <c r="D321" s="3">
        <v>88100</v>
      </c>
      <c r="E321" s="3">
        <v>102000000000</v>
      </c>
      <c r="F321" s="3">
        <v>93100000000</v>
      </c>
      <c r="G321" s="3">
        <v>71600000000</v>
      </c>
      <c r="H321" s="3">
        <v>26900000000</v>
      </c>
      <c r="I321" s="2"/>
      <c r="J321" s="7">
        <f t="shared" si="100"/>
        <v>0.21299999999999999</v>
      </c>
      <c r="K321" s="7">
        <f t="shared" si="101"/>
        <v>16.61</v>
      </c>
      <c r="L321" s="7">
        <f t="shared" si="102"/>
        <v>102</v>
      </c>
      <c r="M321" s="7">
        <f t="shared" si="103"/>
        <v>88.100000000000009</v>
      </c>
      <c r="O321">
        <f t="shared" si="104"/>
        <v>7.1598183881952354E-2</v>
      </c>
      <c r="P321">
        <f t="shared" si="105"/>
        <v>71.598183881952352</v>
      </c>
      <c r="V321">
        <f t="shared" si="89"/>
        <v>424.03154950909311</v>
      </c>
      <c r="W321">
        <f t="shared" si="90"/>
        <v>103.8837795230031</v>
      </c>
      <c r="AE321">
        <f t="shared" si="91"/>
        <v>0.32074556419902761</v>
      </c>
      <c r="AF321">
        <f t="shared" si="92"/>
        <v>0.3132822532508226</v>
      </c>
      <c r="AG321">
        <f t="shared" si="93"/>
        <v>0.31503636630442705</v>
      </c>
      <c r="AI321">
        <f t="shared" si="94"/>
        <v>0.27669907211851336</v>
      </c>
      <c r="AJ321">
        <f t="shared" si="95"/>
        <v>51.392389255286091</v>
      </c>
      <c r="AL321">
        <f t="shared" si="96"/>
        <v>0.28329086336385689</v>
      </c>
      <c r="AM321">
        <f t="shared" si="97"/>
        <v>53.870193941978044</v>
      </c>
      <c r="AO321">
        <f t="shared" si="98"/>
        <v>0.28171350831998482</v>
      </c>
      <c r="AP321">
        <f t="shared" si="99"/>
        <v>53.271968788002766</v>
      </c>
    </row>
    <row r="322" spans="1:42" x14ac:dyDescent="0.2">
      <c r="A322" s="3">
        <v>320</v>
      </c>
      <c r="B322" s="3">
        <v>2.5699999999999999E-7</v>
      </c>
      <c r="C322" s="2">
        <v>1.66E-2</v>
      </c>
      <c r="D322" s="3">
        <v>256000</v>
      </c>
      <c r="E322" s="3">
        <v>179000000000</v>
      </c>
      <c r="F322" s="3">
        <v>154000000000</v>
      </c>
      <c r="G322" s="2">
        <v>0</v>
      </c>
      <c r="H322" s="3">
        <v>8690000000</v>
      </c>
      <c r="I322" s="2"/>
      <c r="J322" s="7">
        <f t="shared" si="100"/>
        <v>0.25700000000000001</v>
      </c>
      <c r="K322" s="7">
        <f t="shared" si="101"/>
        <v>16.600000000000001</v>
      </c>
      <c r="L322" s="7">
        <f t="shared" si="102"/>
        <v>179</v>
      </c>
      <c r="M322" s="7">
        <f t="shared" si="103"/>
        <v>256</v>
      </c>
      <c r="O322">
        <f t="shared" si="104"/>
        <v>0.2083671875</v>
      </c>
      <c r="P322">
        <f t="shared" si="105"/>
        <v>208.3671875</v>
      </c>
      <c r="V322">
        <f t="shared" si="89"/>
        <v>680.65533627886634</v>
      </c>
      <c r="W322">
        <f t="shared" si="90"/>
        <v>188.05406081112108</v>
      </c>
      <c r="AE322">
        <f t="shared" si="91"/>
        <v>0.93201889256471127</v>
      </c>
      <c r="AF322">
        <f t="shared" si="92"/>
        <v>0.910332086631221</v>
      </c>
      <c r="AG322">
        <f t="shared" si="93"/>
        <v>0.91542916883011716</v>
      </c>
      <c r="AI322">
        <f t="shared" si="94"/>
        <v>0.11489395138618223</v>
      </c>
      <c r="AJ322">
        <f t="shared" si="95"/>
        <v>6.0828786201676142</v>
      </c>
      <c r="AL322">
        <f t="shared" si="96"/>
        <v>0.11763106552643487</v>
      </c>
      <c r="AM322">
        <f t="shared" si="97"/>
        <v>6.3761552195247724</v>
      </c>
      <c r="AO322">
        <f t="shared" si="98"/>
        <v>0.11697609927612605</v>
      </c>
      <c r="AP322">
        <f t="shared" si="99"/>
        <v>6.3053484122933199</v>
      </c>
    </row>
    <row r="323" spans="1:42" x14ac:dyDescent="0.2">
      <c r="A323" s="3">
        <v>320</v>
      </c>
      <c r="B323" s="3">
        <v>2.5800000000000001E-7</v>
      </c>
      <c r="C323" s="2">
        <v>1.668E-2</v>
      </c>
      <c r="D323" s="3">
        <v>144000</v>
      </c>
      <c r="E323" s="3">
        <v>105000000000</v>
      </c>
      <c r="F323" s="3">
        <v>96000000000</v>
      </c>
      <c r="G323" s="2">
        <v>0</v>
      </c>
      <c r="H323" s="3">
        <v>10700000000</v>
      </c>
      <c r="I323" s="2"/>
      <c r="J323" s="7">
        <f t="shared" si="100"/>
        <v>0.25800000000000001</v>
      </c>
      <c r="K323" s="7">
        <f t="shared" si="101"/>
        <v>16.68</v>
      </c>
      <c r="L323" s="7">
        <f t="shared" si="102"/>
        <v>105</v>
      </c>
      <c r="M323" s="7">
        <f t="shared" si="103"/>
        <v>144</v>
      </c>
      <c r="O323">
        <f t="shared" si="104"/>
        <v>0.17112500000000003</v>
      </c>
      <c r="P323">
        <f t="shared" si="105"/>
        <v>171.12500000000003</v>
      </c>
      <c r="V323">
        <f t="shared" si="89"/>
        <v>623.7951784259642</v>
      </c>
      <c r="W323">
        <f t="shared" si="90"/>
        <v>115.42250163215296</v>
      </c>
      <c r="AE323">
        <f t="shared" si="91"/>
        <v>0.52426062706765009</v>
      </c>
      <c r="AF323">
        <f t="shared" si="92"/>
        <v>0.51206179873006186</v>
      </c>
      <c r="AG323">
        <f t="shared" si="93"/>
        <v>0.51492890746694087</v>
      </c>
      <c r="AI323">
        <f t="shared" si="94"/>
        <v>0.2050506836671683</v>
      </c>
      <c r="AJ323">
        <f t="shared" si="95"/>
        <v>19.317550452480532</v>
      </c>
      <c r="AL323">
        <f t="shared" si="96"/>
        <v>0.20993559813796933</v>
      </c>
      <c r="AM323">
        <f t="shared" si="97"/>
        <v>20.248916316962916</v>
      </c>
      <c r="AO323">
        <f t="shared" si="98"/>
        <v>0.20876668301420165</v>
      </c>
      <c r="AP323">
        <f t="shared" si="99"/>
        <v>20.024053360378893</v>
      </c>
    </row>
    <row r="324" spans="1:42" x14ac:dyDescent="0.2">
      <c r="A324" s="3">
        <v>320</v>
      </c>
      <c r="B324" s="3">
        <v>2.5899999999999998E-7</v>
      </c>
      <c r="C324" s="2">
        <v>1.6750000000000001E-2</v>
      </c>
      <c r="D324" s="3">
        <v>144000</v>
      </c>
      <c r="E324" s="3">
        <v>105000000000</v>
      </c>
      <c r="F324" s="3">
        <v>95900000000</v>
      </c>
      <c r="G324" s="2">
        <v>0</v>
      </c>
      <c r="H324" s="3">
        <v>10700000000</v>
      </c>
      <c r="I324" s="2"/>
      <c r="J324" s="7">
        <f t="shared" si="100"/>
        <v>0.25899999999999995</v>
      </c>
      <c r="K324" s="7">
        <f t="shared" si="101"/>
        <v>16.75</v>
      </c>
      <c r="L324" s="7">
        <f t="shared" si="102"/>
        <v>105</v>
      </c>
      <c r="M324" s="7">
        <f t="shared" si="103"/>
        <v>144</v>
      </c>
      <c r="O324">
        <f t="shared" si="104"/>
        <v>0.17176041666666661</v>
      </c>
      <c r="P324">
        <f t="shared" si="105"/>
        <v>171.7604166666666</v>
      </c>
      <c r="V324">
        <f t="shared" si="89"/>
        <v>624.82026848817691</v>
      </c>
      <c r="W324">
        <f t="shared" si="90"/>
        <v>115.23313764166473</v>
      </c>
      <c r="AE324">
        <f t="shared" si="91"/>
        <v>0.52426062706765009</v>
      </c>
      <c r="AF324">
        <f t="shared" si="92"/>
        <v>0.51206179873006186</v>
      </c>
      <c r="AG324">
        <f t="shared" si="93"/>
        <v>0.51492890746694087</v>
      </c>
      <c r="AI324">
        <f t="shared" si="94"/>
        <v>0.20584545375890148</v>
      </c>
      <c r="AJ324">
        <f t="shared" si="95"/>
        <v>19.398619309295498</v>
      </c>
      <c r="AL324">
        <f t="shared" si="96"/>
        <v>0.21074930200672112</v>
      </c>
      <c r="AM324">
        <f t="shared" si="97"/>
        <v>20.333893783520914</v>
      </c>
      <c r="AO324">
        <f t="shared" si="98"/>
        <v>0.20957585620417912</v>
      </c>
      <c r="AP324">
        <f t="shared" si="99"/>
        <v>20.108087157454822</v>
      </c>
    </row>
    <row r="325" spans="1:42" x14ac:dyDescent="0.2">
      <c r="A325" s="3">
        <v>320</v>
      </c>
      <c r="B325" s="3">
        <v>2.6E-7</v>
      </c>
      <c r="C325" s="2">
        <v>1.6809999999999999E-2</v>
      </c>
      <c r="D325" s="3">
        <v>161000</v>
      </c>
      <c r="E325" s="3">
        <v>116000000000</v>
      </c>
      <c r="F325" s="3">
        <v>104000000000</v>
      </c>
      <c r="G325" s="3">
        <v>4350000000</v>
      </c>
      <c r="H325" s="3">
        <v>10200000000</v>
      </c>
      <c r="I325" s="2"/>
      <c r="J325" s="7">
        <f t="shared" si="100"/>
        <v>0.26</v>
      </c>
      <c r="K325" s="7">
        <f t="shared" si="101"/>
        <v>16.809999999999999</v>
      </c>
      <c r="L325" s="7">
        <f t="shared" si="102"/>
        <v>116.00000000000001</v>
      </c>
      <c r="M325" s="7">
        <f t="shared" si="103"/>
        <v>161</v>
      </c>
      <c r="O325">
        <f t="shared" si="104"/>
        <v>0.18169254658385095</v>
      </c>
      <c r="P325">
        <f t="shared" si="105"/>
        <v>181.69254658385094</v>
      </c>
      <c r="V325">
        <f t="shared" ref="V325:V388" si="106">$S$3*(P325^$S$4)</f>
        <v>640.57651352011987</v>
      </c>
      <c r="W325">
        <f t="shared" ref="W325:W388" si="107">M325/(2*(V325/1000))</f>
        <v>125.66804792394495</v>
      </c>
      <c r="AE325">
        <f t="shared" si="91"/>
        <v>0.58615250665202545</v>
      </c>
      <c r="AF325">
        <f t="shared" si="92"/>
        <v>0.57251353885791634</v>
      </c>
      <c r="AG325">
        <f t="shared" si="93"/>
        <v>0.57571912570956585</v>
      </c>
      <c r="AI325">
        <f t="shared" si="94"/>
        <v>0.1848210697794497</v>
      </c>
      <c r="AJ325">
        <f t="shared" si="95"/>
        <v>15.573884676364729</v>
      </c>
      <c r="AL325">
        <f t="shared" si="96"/>
        <v>0.18922405494452244</v>
      </c>
      <c r="AM325">
        <f t="shared" si="97"/>
        <v>16.324755476502272</v>
      </c>
      <c r="AO325">
        <f t="shared" si="98"/>
        <v>0.18817046107303456</v>
      </c>
      <c r="AP325">
        <f t="shared" si="99"/>
        <v>16.14347008203983</v>
      </c>
    </row>
    <row r="326" spans="1:42" x14ac:dyDescent="0.2">
      <c r="A326" s="3">
        <v>320</v>
      </c>
      <c r="B326" s="3">
        <v>2.6E-7</v>
      </c>
      <c r="C326" s="2">
        <v>1.686E-2</v>
      </c>
      <c r="D326" s="3">
        <v>163000</v>
      </c>
      <c r="E326" s="3">
        <v>116000000000</v>
      </c>
      <c r="F326" s="3">
        <v>105000000000</v>
      </c>
      <c r="G326" s="3">
        <v>5980000000</v>
      </c>
      <c r="H326" s="3">
        <v>10200000000</v>
      </c>
      <c r="I326" s="2"/>
      <c r="J326" s="7">
        <f t="shared" si="100"/>
        <v>0.26</v>
      </c>
      <c r="K326" s="7">
        <f t="shared" si="101"/>
        <v>16.86</v>
      </c>
      <c r="L326" s="7">
        <f t="shared" si="102"/>
        <v>116.00000000000001</v>
      </c>
      <c r="M326" s="7">
        <f t="shared" si="103"/>
        <v>163</v>
      </c>
      <c r="O326">
        <f t="shared" si="104"/>
        <v>0.18242331288343561</v>
      </c>
      <c r="P326">
        <f t="shared" si="105"/>
        <v>182.42331288343561</v>
      </c>
      <c r="V326">
        <f t="shared" si="106"/>
        <v>641.71663213804118</v>
      </c>
      <c r="W326">
        <f t="shared" si="107"/>
        <v>127.00309750187111</v>
      </c>
      <c r="AE326">
        <f t="shared" si="91"/>
        <v>0.59343390425018727</v>
      </c>
      <c r="AF326">
        <f t="shared" si="92"/>
        <v>0.57962550828472281</v>
      </c>
      <c r="AG326">
        <f t="shared" si="93"/>
        <v>0.58287091609105113</v>
      </c>
      <c r="AI326">
        <f t="shared" si="94"/>
        <v>0.18255332659197177</v>
      </c>
      <c r="AJ326">
        <f t="shared" si="95"/>
        <v>15.239241607818597</v>
      </c>
      <c r="AL326">
        <f t="shared" si="96"/>
        <v>0.18690228739919085</v>
      </c>
      <c r="AM326">
        <f t="shared" si="97"/>
        <v>15.973978109169336</v>
      </c>
      <c r="AO326">
        <f t="shared" si="98"/>
        <v>0.18586162105986848</v>
      </c>
      <c r="AP326">
        <f t="shared" si="99"/>
        <v>15.79658807555913</v>
      </c>
    </row>
    <row r="327" spans="1:42" x14ac:dyDescent="0.2">
      <c r="A327" s="3">
        <v>330</v>
      </c>
      <c r="B327" s="3">
        <v>2.6100000000000002E-7</v>
      </c>
      <c r="C327" s="2">
        <v>1.6920000000000001E-2</v>
      </c>
      <c r="D327" s="3">
        <v>149000</v>
      </c>
      <c r="E327" s="3">
        <v>108000000000</v>
      </c>
      <c r="F327" s="3">
        <v>97900000000</v>
      </c>
      <c r="G327" s="2">
        <v>0</v>
      </c>
      <c r="H327" s="3">
        <v>10600000000</v>
      </c>
      <c r="I327" s="2"/>
      <c r="J327" s="7">
        <f t="shared" si="100"/>
        <v>0.26100000000000001</v>
      </c>
      <c r="K327" s="7">
        <f t="shared" si="101"/>
        <v>16.920000000000002</v>
      </c>
      <c r="L327" s="7">
        <f t="shared" si="102"/>
        <v>108</v>
      </c>
      <c r="M327" s="7">
        <f t="shared" si="103"/>
        <v>149</v>
      </c>
      <c r="O327">
        <f t="shared" si="104"/>
        <v>0.17583221476510069</v>
      </c>
      <c r="P327">
        <f t="shared" si="105"/>
        <v>175.8322147651007</v>
      </c>
      <c r="V327">
        <f t="shared" si="106"/>
        <v>631.33955205570737</v>
      </c>
      <c r="W327">
        <f t="shared" si="107"/>
        <v>118.0030615180377</v>
      </c>
      <c r="AE327">
        <f t="shared" si="91"/>
        <v>0.54246412106305453</v>
      </c>
      <c r="AF327">
        <f t="shared" si="92"/>
        <v>0.52984172229707782</v>
      </c>
      <c r="AG327">
        <f t="shared" si="93"/>
        <v>0.53280838342065406</v>
      </c>
      <c r="AI327">
        <f t="shared" si="94"/>
        <v>0.20047408810537576</v>
      </c>
      <c r="AJ327">
        <f t="shared" si="95"/>
        <v>18.302432547030822</v>
      </c>
      <c r="AL327">
        <f t="shared" si="96"/>
        <v>0.20524997451790858</v>
      </c>
      <c r="AM327">
        <f t="shared" si="97"/>
        <v>19.184856069269216</v>
      </c>
      <c r="AO327">
        <f t="shared" si="98"/>
        <v>0.20410714880614314</v>
      </c>
      <c r="AP327">
        <f t="shared" si="99"/>
        <v>18.97180943557056</v>
      </c>
    </row>
    <row r="328" spans="1:42" x14ac:dyDescent="0.2">
      <c r="A328" s="3">
        <v>330</v>
      </c>
      <c r="B328" s="3">
        <v>2.6100000000000002E-7</v>
      </c>
      <c r="C328" s="2">
        <v>1.6969999999999999E-2</v>
      </c>
      <c r="D328" s="3">
        <v>158000</v>
      </c>
      <c r="E328" s="3">
        <v>113000000000</v>
      </c>
      <c r="F328" s="3">
        <v>102000000000</v>
      </c>
      <c r="G328" s="2">
        <v>0</v>
      </c>
      <c r="H328" s="3">
        <v>10300000000</v>
      </c>
      <c r="I328" s="2"/>
      <c r="J328" s="7">
        <f t="shared" si="100"/>
        <v>0.26100000000000001</v>
      </c>
      <c r="K328" s="7">
        <f t="shared" si="101"/>
        <v>16.97</v>
      </c>
      <c r="L328" s="7">
        <f t="shared" si="102"/>
        <v>113</v>
      </c>
      <c r="M328" s="7">
        <f t="shared" si="103"/>
        <v>158</v>
      </c>
      <c r="O328">
        <f t="shared" si="104"/>
        <v>0.18044620253164559</v>
      </c>
      <c r="P328">
        <f t="shared" si="105"/>
        <v>180.44620253164558</v>
      </c>
      <c r="V328">
        <f t="shared" si="106"/>
        <v>638.62609866129981</v>
      </c>
      <c r="W328">
        <f t="shared" si="107"/>
        <v>123.70305592834572</v>
      </c>
      <c r="AE328">
        <f t="shared" si="91"/>
        <v>0.57523041025478272</v>
      </c>
      <c r="AF328">
        <f t="shared" si="92"/>
        <v>0.56184558471770674</v>
      </c>
      <c r="AG328">
        <f t="shared" si="93"/>
        <v>0.56499144013733793</v>
      </c>
      <c r="AI328">
        <f t="shared" si="94"/>
        <v>0.18905467802342393</v>
      </c>
      <c r="AJ328">
        <f t="shared" si="95"/>
        <v>16.324829777227741</v>
      </c>
      <c r="AL328">
        <f t="shared" si="96"/>
        <v>0.19355852027321754</v>
      </c>
      <c r="AM328">
        <f t="shared" si="97"/>
        <v>17.111906235777543</v>
      </c>
      <c r="AO328">
        <f t="shared" si="98"/>
        <v>0.192480792228578</v>
      </c>
      <c r="AP328">
        <f t="shared" si="99"/>
        <v>16.921879581079871</v>
      </c>
    </row>
    <row r="329" spans="1:42" x14ac:dyDescent="0.2">
      <c r="A329" s="3">
        <v>330</v>
      </c>
      <c r="B329" s="3">
        <v>2.6100000000000002E-7</v>
      </c>
      <c r="C329" s="2">
        <v>1.702E-2</v>
      </c>
      <c r="D329" s="3">
        <v>147000</v>
      </c>
      <c r="E329" s="3">
        <v>107000000000</v>
      </c>
      <c r="F329" s="3">
        <v>97100000000</v>
      </c>
      <c r="G329" s="2">
        <v>0</v>
      </c>
      <c r="H329" s="3">
        <v>10700000000</v>
      </c>
      <c r="I329" s="2"/>
      <c r="J329" s="7">
        <f t="shared" si="100"/>
        <v>0.26100000000000001</v>
      </c>
      <c r="K329" s="7">
        <f t="shared" si="101"/>
        <v>17.02</v>
      </c>
      <c r="L329" s="7">
        <f t="shared" si="102"/>
        <v>107</v>
      </c>
      <c r="M329" s="7">
        <f t="shared" si="103"/>
        <v>147</v>
      </c>
      <c r="O329">
        <f t="shared" si="104"/>
        <v>0.17416326530612247</v>
      </c>
      <c r="P329">
        <f t="shared" si="105"/>
        <v>174.16326530612247</v>
      </c>
      <c r="V329">
        <f t="shared" si="106"/>
        <v>628.67770424918172</v>
      </c>
      <c r="W329">
        <f t="shared" si="107"/>
        <v>116.91205128354235</v>
      </c>
      <c r="AE329">
        <f t="shared" si="91"/>
        <v>0.53518272346489282</v>
      </c>
      <c r="AF329">
        <f t="shared" si="92"/>
        <v>0.52272975287027146</v>
      </c>
      <c r="AG329">
        <f t="shared" si="93"/>
        <v>0.52565659303916878</v>
      </c>
      <c r="AI329">
        <f t="shared" si="94"/>
        <v>0.20320162671905428</v>
      </c>
      <c r="AJ329">
        <f t="shared" si="95"/>
        <v>18.91497969090636</v>
      </c>
      <c r="AL329">
        <f t="shared" si="96"/>
        <v>0.20804249117801615</v>
      </c>
      <c r="AM329">
        <f t="shared" si="97"/>
        <v>19.826936227778024</v>
      </c>
      <c r="AO329">
        <f t="shared" si="98"/>
        <v>0.20688411681711105</v>
      </c>
      <c r="AP329">
        <f t="shared" si="99"/>
        <v>19.606759333844877</v>
      </c>
    </row>
    <row r="330" spans="1:42" x14ac:dyDescent="0.2">
      <c r="A330" s="3">
        <v>330</v>
      </c>
      <c r="B330" s="3">
        <v>2.6199999999999999E-7</v>
      </c>
      <c r="C330" s="2">
        <v>1.7069999999999998E-2</v>
      </c>
      <c r="D330" s="3">
        <v>162000</v>
      </c>
      <c r="E330" s="3">
        <v>116000000000</v>
      </c>
      <c r="F330" s="3">
        <v>104000000000</v>
      </c>
      <c r="G330" s="3">
        <v>189000000</v>
      </c>
      <c r="H330" s="3">
        <v>10300000000</v>
      </c>
      <c r="I330" s="2"/>
      <c r="J330" s="7">
        <f t="shared" si="100"/>
        <v>0.26200000000000001</v>
      </c>
      <c r="K330" s="7">
        <f t="shared" si="101"/>
        <v>17.069999999999997</v>
      </c>
      <c r="L330" s="7">
        <f t="shared" si="102"/>
        <v>116.00000000000001</v>
      </c>
      <c r="M330" s="7">
        <f t="shared" si="103"/>
        <v>162</v>
      </c>
      <c r="O330">
        <f t="shared" si="104"/>
        <v>0.18297222222222226</v>
      </c>
      <c r="P330">
        <f t="shared" si="105"/>
        <v>182.97222222222226</v>
      </c>
      <c r="V330">
        <f t="shared" si="106"/>
        <v>642.57135121582087</v>
      </c>
      <c r="W330">
        <f t="shared" si="107"/>
        <v>126.05604007514253</v>
      </c>
      <c r="AE330">
        <f t="shared" si="91"/>
        <v>0.58979320545110636</v>
      </c>
      <c r="AF330">
        <f t="shared" si="92"/>
        <v>0.57606952357131957</v>
      </c>
      <c r="AG330">
        <f t="shared" si="93"/>
        <v>0.57929502090030849</v>
      </c>
      <c r="AI330">
        <f t="shared" si="94"/>
        <v>0.18509312358586769</v>
      </c>
      <c r="AJ330">
        <f t="shared" si="95"/>
        <v>15.620124284517518</v>
      </c>
      <c r="AL330">
        <f t="shared" si="96"/>
        <v>0.18950258987820146</v>
      </c>
      <c r="AM330">
        <f t="shared" si="97"/>
        <v>16.373224455957931</v>
      </c>
      <c r="AO330">
        <f t="shared" si="98"/>
        <v>0.18844744513254377</v>
      </c>
      <c r="AP330">
        <f t="shared" si="99"/>
        <v>16.191400816492532</v>
      </c>
    </row>
    <row r="331" spans="1:42" x14ac:dyDescent="0.2">
      <c r="A331" s="3">
        <v>330</v>
      </c>
      <c r="B331" s="3">
        <v>2.6300000000000001E-7</v>
      </c>
      <c r="C331" s="2">
        <v>1.7129999999999999E-2</v>
      </c>
      <c r="D331" s="3">
        <v>166000</v>
      </c>
      <c r="E331" s="3">
        <v>118000000000</v>
      </c>
      <c r="F331" s="3">
        <v>106000000000</v>
      </c>
      <c r="G331" s="2">
        <v>0</v>
      </c>
      <c r="H331" s="3">
        <v>10200000000</v>
      </c>
      <c r="I331" s="2"/>
      <c r="J331" s="7">
        <f t="shared" si="100"/>
        <v>0.26300000000000001</v>
      </c>
      <c r="K331" s="7">
        <f t="shared" si="101"/>
        <v>17.13</v>
      </c>
      <c r="L331" s="7">
        <f t="shared" si="102"/>
        <v>118.00000000000001</v>
      </c>
      <c r="M331" s="7">
        <f t="shared" si="103"/>
        <v>166</v>
      </c>
      <c r="O331">
        <f t="shared" si="104"/>
        <v>0.18560542168674699</v>
      </c>
      <c r="P331">
        <f t="shared" si="105"/>
        <v>185.60542168674698</v>
      </c>
      <c r="V331">
        <f t="shared" si="106"/>
        <v>646.6518396305446</v>
      </c>
      <c r="W331">
        <f t="shared" si="107"/>
        <v>128.35345840417136</v>
      </c>
      <c r="AE331">
        <f t="shared" si="91"/>
        <v>0.60435600064742989</v>
      </c>
      <c r="AF331">
        <f t="shared" si="92"/>
        <v>0.59029346242493241</v>
      </c>
      <c r="AG331">
        <f t="shared" si="93"/>
        <v>0.59359860166327905</v>
      </c>
      <c r="AI331">
        <f t="shared" si="94"/>
        <v>0.18132248743445875</v>
      </c>
      <c r="AJ331">
        <f t="shared" si="95"/>
        <v>14.928706503896668</v>
      </c>
      <c r="AL331">
        <f t="shared" si="96"/>
        <v>0.18564212600824637</v>
      </c>
      <c r="AM331">
        <f t="shared" si="97"/>
        <v>15.648471034746905</v>
      </c>
      <c r="AO331">
        <f t="shared" si="98"/>
        <v>0.18460847620981238</v>
      </c>
      <c r="AP331">
        <f t="shared" si="99"/>
        <v>15.474695736957514</v>
      </c>
    </row>
    <row r="332" spans="1:42" x14ac:dyDescent="0.2">
      <c r="A332" s="3">
        <v>330</v>
      </c>
      <c r="B332" s="3">
        <v>2.6300000000000001E-7</v>
      </c>
      <c r="C332" s="2">
        <v>1.7180000000000001E-2</v>
      </c>
      <c r="D332" s="3">
        <v>139000</v>
      </c>
      <c r="E332" s="3">
        <v>102000000000</v>
      </c>
      <c r="F332" s="3">
        <v>92900000000</v>
      </c>
      <c r="G332" s="3">
        <v>2310000000</v>
      </c>
      <c r="H332" s="3">
        <v>11100000000</v>
      </c>
      <c r="I332" s="2"/>
      <c r="J332" s="7">
        <f t="shared" si="100"/>
        <v>0.26300000000000001</v>
      </c>
      <c r="K332" s="7">
        <f t="shared" si="101"/>
        <v>17.18</v>
      </c>
      <c r="L332" s="7">
        <f t="shared" si="102"/>
        <v>102</v>
      </c>
      <c r="M332" s="7">
        <f t="shared" si="103"/>
        <v>139</v>
      </c>
      <c r="O332">
        <f t="shared" si="104"/>
        <v>0.1703021582733813</v>
      </c>
      <c r="P332">
        <f t="shared" si="105"/>
        <v>170.30215827338131</v>
      </c>
      <c r="V332">
        <f t="shared" si="106"/>
        <v>622.46456831314924</v>
      </c>
      <c r="W332">
        <f t="shared" si="107"/>
        <v>111.65294144908817</v>
      </c>
      <c r="AE332">
        <f t="shared" si="91"/>
        <v>0.50605713307224554</v>
      </c>
      <c r="AF332">
        <f t="shared" si="92"/>
        <v>0.49428187516304578</v>
      </c>
      <c r="AG332">
        <f t="shared" si="93"/>
        <v>0.49704943151322767</v>
      </c>
      <c r="AI332">
        <f t="shared" si="94"/>
        <v>0.21654340225985719</v>
      </c>
      <c r="AJ332">
        <f t="shared" si="95"/>
        <v>21.353769577323057</v>
      </c>
      <c r="AL332">
        <f t="shared" si="96"/>
        <v>0.2217021073192007</v>
      </c>
      <c r="AM332">
        <f t="shared" si="97"/>
        <v>22.38330860253561</v>
      </c>
      <c r="AO332">
        <f t="shared" si="98"/>
        <v>0.22046767662466801</v>
      </c>
      <c r="AP332">
        <f t="shared" si="99"/>
        <v>22.134743352340838</v>
      </c>
    </row>
    <row r="333" spans="1:42" x14ac:dyDescent="0.2">
      <c r="A333" s="3">
        <v>330</v>
      </c>
      <c r="B333" s="3">
        <v>2.6300000000000001E-7</v>
      </c>
      <c r="C333" s="2">
        <v>1.7229999999999999E-2</v>
      </c>
      <c r="D333" s="3">
        <v>157000</v>
      </c>
      <c r="E333" s="3">
        <v>112000000000</v>
      </c>
      <c r="F333" s="3">
        <v>101000000000</v>
      </c>
      <c r="G333" s="3">
        <v>11000000000</v>
      </c>
      <c r="H333" s="3">
        <v>10500000000</v>
      </c>
      <c r="I333" s="2"/>
      <c r="J333" s="7">
        <f t="shared" si="100"/>
        <v>0.26300000000000001</v>
      </c>
      <c r="K333" s="7">
        <f t="shared" si="101"/>
        <v>17.23</v>
      </c>
      <c r="L333" s="7">
        <f t="shared" si="102"/>
        <v>112</v>
      </c>
      <c r="M333" s="7">
        <f t="shared" si="103"/>
        <v>157</v>
      </c>
      <c r="O333">
        <f t="shared" si="104"/>
        <v>0.18069108280254778</v>
      </c>
      <c r="P333">
        <f t="shared" si="105"/>
        <v>180.69108280254778</v>
      </c>
      <c r="V333">
        <f t="shared" si="106"/>
        <v>639.00990486991361</v>
      </c>
      <c r="W333">
        <f t="shared" si="107"/>
        <v>122.84629612428407</v>
      </c>
      <c r="AE333">
        <f t="shared" ref="AE333:AE396" si="108">M333/(2*$Y$5)</f>
        <v>0.57158971145570181</v>
      </c>
      <c r="AF333">
        <f t="shared" ref="AF333:AF396" si="109">M333/(2*$Y$8)</f>
        <v>0.5582896000043035</v>
      </c>
      <c r="AG333">
        <f t="shared" ref="AG333:AG396" si="110">M333/(2*$Y$11)</f>
        <v>0.56141554494659529</v>
      </c>
      <c r="AI333">
        <f t="shared" ref="AI333:AI396" si="111">J333/(2.4*AE333)</f>
        <v>0.1917167701536315</v>
      </c>
      <c r="AJ333">
        <f t="shared" ref="AJ333:AJ396" si="112">K333/(3.14159*(AE333^2))</f>
        <v>16.78676325958623</v>
      </c>
      <c r="AL333">
        <f t="shared" ref="AL333:AL396" si="113">J333/(2.4*AF333)</f>
        <v>0.19628403132082101</v>
      </c>
      <c r="AM333">
        <f t="shared" ref="AM333:AM396" si="114">K333/(3.14159*(AF333^2))</f>
        <v>17.596111127660159</v>
      </c>
      <c r="AO333">
        <f t="shared" ref="AO333:AO396" si="115">J333/(2.4*AG333)</f>
        <v>0.19519112771228567</v>
      </c>
      <c r="AP333">
        <f t="shared" ref="AP333:AP396" si="116">K333/(3.14159*(AG333^2))</f>
        <v>17.4007074077469</v>
      </c>
    </row>
    <row r="334" spans="1:42" x14ac:dyDescent="0.2">
      <c r="A334" s="3">
        <v>330</v>
      </c>
      <c r="B334" s="3">
        <v>2.6399999999999998E-7</v>
      </c>
      <c r="C334" s="2">
        <v>1.728E-2</v>
      </c>
      <c r="D334" s="3">
        <v>160000</v>
      </c>
      <c r="E334" s="3">
        <v>114000000000</v>
      </c>
      <c r="F334" s="3">
        <v>103000000000</v>
      </c>
      <c r="G334" s="3">
        <v>420000000</v>
      </c>
      <c r="H334" s="3">
        <v>10400000000</v>
      </c>
      <c r="I334" s="2"/>
      <c r="J334" s="7">
        <f t="shared" ref="J334:J397" si="117">B334*(10^6)</f>
        <v>0.26399999999999996</v>
      </c>
      <c r="K334" s="7">
        <f t="shared" ref="K334:K397" si="118">C334*1000</f>
        <v>17.28</v>
      </c>
      <c r="L334" s="7">
        <f t="shared" ref="L334:L397" si="119">E334*(10^-9)</f>
        <v>114</v>
      </c>
      <c r="M334" s="7">
        <f t="shared" ref="M334:M397" si="120">D334*(10^-3)</f>
        <v>160</v>
      </c>
      <c r="O334">
        <f t="shared" ref="O334:O397" si="121">J334-(0.75*(K334/M334))</f>
        <v>0.18299999999999994</v>
      </c>
      <c r="P334">
        <f t="shared" ref="P334:P397" si="122">O334*1000</f>
        <v>182.99999999999994</v>
      </c>
      <c r="V334">
        <f t="shared" si="106"/>
        <v>642.61456662881528</v>
      </c>
      <c r="W334">
        <f t="shared" si="107"/>
        <v>124.49142013646464</v>
      </c>
      <c r="AE334">
        <f t="shared" si="108"/>
        <v>0.58251180785294454</v>
      </c>
      <c r="AF334">
        <f t="shared" si="109"/>
        <v>0.5689575541445131</v>
      </c>
      <c r="AG334">
        <f t="shared" si="110"/>
        <v>0.57214323051882321</v>
      </c>
      <c r="AI334">
        <f t="shared" si="111"/>
        <v>0.18883737379581075</v>
      </c>
      <c r="AJ334">
        <f t="shared" si="112"/>
        <v>16.210065358110281</v>
      </c>
      <c r="AL334">
        <f t="shared" si="113"/>
        <v>0.19333603921543221</v>
      </c>
      <c r="AM334">
        <f t="shared" si="114"/>
        <v>16.991608627414063</v>
      </c>
      <c r="AO334">
        <f t="shared" si="115"/>
        <v>0.19225954993866007</v>
      </c>
      <c r="AP334">
        <f t="shared" si="116"/>
        <v>16.802917870176934</v>
      </c>
    </row>
    <row r="335" spans="1:42" x14ac:dyDescent="0.2">
      <c r="A335" s="3">
        <v>330</v>
      </c>
      <c r="B335" s="3">
        <v>2.6399999999999998E-7</v>
      </c>
      <c r="C335" s="2">
        <v>1.7340000000000001E-2</v>
      </c>
      <c r="D335" s="3">
        <v>157000</v>
      </c>
      <c r="E335" s="3">
        <v>112000000000</v>
      </c>
      <c r="F335" s="3">
        <v>102000000000</v>
      </c>
      <c r="G335" s="3">
        <v>2090000000</v>
      </c>
      <c r="H335" s="3">
        <v>10500000000</v>
      </c>
      <c r="I335" s="2"/>
      <c r="J335" s="7">
        <f t="shared" si="117"/>
        <v>0.26399999999999996</v>
      </c>
      <c r="K335" s="7">
        <f t="shared" si="118"/>
        <v>17.34</v>
      </c>
      <c r="L335" s="7">
        <f t="shared" si="119"/>
        <v>112</v>
      </c>
      <c r="M335" s="7">
        <f t="shared" si="120"/>
        <v>157</v>
      </c>
      <c r="O335">
        <f t="shared" si="121"/>
        <v>0.18116560509554136</v>
      </c>
      <c r="P335">
        <f t="shared" si="122"/>
        <v>181.16560509554137</v>
      </c>
      <c r="V335">
        <f t="shared" si="106"/>
        <v>639.75281026882396</v>
      </c>
      <c r="W335">
        <f t="shared" si="107"/>
        <v>122.70364231305889</v>
      </c>
      <c r="AE335">
        <f t="shared" si="108"/>
        <v>0.57158971145570181</v>
      </c>
      <c r="AF335">
        <f t="shared" si="109"/>
        <v>0.5582896000043035</v>
      </c>
      <c r="AG335">
        <f t="shared" si="110"/>
        <v>0.56141554494659529</v>
      </c>
      <c r="AI335">
        <f t="shared" si="111"/>
        <v>0.19244573125687722</v>
      </c>
      <c r="AJ335">
        <f t="shared" si="112"/>
        <v>16.893933541568501</v>
      </c>
      <c r="AL335">
        <f t="shared" si="113"/>
        <v>0.19703035843610925</v>
      </c>
      <c r="AM335">
        <f t="shared" si="114"/>
        <v>17.708448459293507</v>
      </c>
      <c r="AO335">
        <f t="shared" si="115"/>
        <v>0.19593329930054529</v>
      </c>
      <c r="AP335">
        <f t="shared" si="116"/>
        <v>17.51179724029781</v>
      </c>
    </row>
    <row r="336" spans="1:42" x14ac:dyDescent="0.2">
      <c r="A336" s="3">
        <v>330</v>
      </c>
      <c r="B336" s="3">
        <v>2.65E-7</v>
      </c>
      <c r="C336" s="2">
        <v>1.7389999999999999E-2</v>
      </c>
      <c r="D336" s="3">
        <v>143000</v>
      </c>
      <c r="E336" s="3">
        <v>104000000000</v>
      </c>
      <c r="F336" s="3">
        <v>94400000000</v>
      </c>
      <c r="G336" s="3">
        <v>6240000000</v>
      </c>
      <c r="H336" s="3">
        <v>11100000000</v>
      </c>
      <c r="I336" s="2"/>
      <c r="J336" s="7">
        <f t="shared" si="117"/>
        <v>0.26500000000000001</v>
      </c>
      <c r="K336" s="7">
        <f t="shared" si="118"/>
        <v>17.39</v>
      </c>
      <c r="L336" s="7">
        <f t="shared" si="119"/>
        <v>104</v>
      </c>
      <c r="M336" s="7">
        <f t="shared" si="120"/>
        <v>143</v>
      </c>
      <c r="O336">
        <f t="shared" si="121"/>
        <v>0.1737937062937063</v>
      </c>
      <c r="P336">
        <f t="shared" si="122"/>
        <v>173.79370629370629</v>
      </c>
      <c r="V336">
        <f t="shared" si="106"/>
        <v>628.08636667435201</v>
      </c>
      <c r="W336">
        <f t="shared" si="107"/>
        <v>113.83784745812046</v>
      </c>
      <c r="AE336">
        <f t="shared" si="108"/>
        <v>0.52061992826856918</v>
      </c>
      <c r="AF336">
        <f t="shared" si="109"/>
        <v>0.50850581401665862</v>
      </c>
      <c r="AG336">
        <f t="shared" si="110"/>
        <v>0.51135301227619823</v>
      </c>
      <c r="AI336">
        <f t="shared" si="111"/>
        <v>0.21208690000377139</v>
      </c>
      <c r="AJ336">
        <f t="shared" si="112"/>
        <v>20.422480974531968</v>
      </c>
      <c r="AL336">
        <f t="shared" si="113"/>
        <v>0.21713943798300295</v>
      </c>
      <c r="AM336">
        <f t="shared" si="114"/>
        <v>21.407119357877182</v>
      </c>
      <c r="AO336">
        <f t="shared" si="115"/>
        <v>0.21593041209470196</v>
      </c>
      <c r="AP336">
        <f t="shared" si="116"/>
        <v>21.169394628543056</v>
      </c>
    </row>
    <row r="337" spans="1:42" x14ac:dyDescent="0.2">
      <c r="A337" s="3">
        <v>340</v>
      </c>
      <c r="B337" s="3">
        <v>2.65E-7</v>
      </c>
      <c r="C337" s="2">
        <v>1.7440000000000001E-2</v>
      </c>
      <c r="D337" s="3">
        <v>173000</v>
      </c>
      <c r="E337" s="3">
        <v>122000000000</v>
      </c>
      <c r="F337" s="3">
        <v>109000000000</v>
      </c>
      <c r="G337" s="3">
        <v>1320000000</v>
      </c>
      <c r="H337" s="3">
        <v>10100000000</v>
      </c>
      <c r="I337" s="2"/>
      <c r="J337" s="7">
        <f t="shared" si="117"/>
        <v>0.26500000000000001</v>
      </c>
      <c r="K337" s="7">
        <f t="shared" si="118"/>
        <v>17.440000000000001</v>
      </c>
      <c r="L337" s="7">
        <f t="shared" si="119"/>
        <v>122.00000000000001</v>
      </c>
      <c r="M337" s="7">
        <f t="shared" si="120"/>
        <v>173</v>
      </c>
      <c r="O337">
        <f t="shared" si="121"/>
        <v>0.18939306358381502</v>
      </c>
      <c r="P337">
        <f t="shared" si="122"/>
        <v>189.39306358381504</v>
      </c>
      <c r="V337">
        <f t="shared" si="106"/>
        <v>652.46514131134609</v>
      </c>
      <c r="W337">
        <f t="shared" si="107"/>
        <v>132.57413235310844</v>
      </c>
      <c r="AE337">
        <f t="shared" si="108"/>
        <v>0.62984089224099626</v>
      </c>
      <c r="AF337">
        <f t="shared" si="109"/>
        <v>0.61518535541875485</v>
      </c>
      <c r="AG337">
        <f t="shared" si="110"/>
        <v>0.61862986799847763</v>
      </c>
      <c r="AI337">
        <f t="shared" si="111"/>
        <v>0.17530882485860874</v>
      </c>
      <c r="AJ337">
        <f t="shared" si="112"/>
        <v>13.993787264201492</v>
      </c>
      <c r="AL337">
        <f t="shared" si="113"/>
        <v>0.17948520018248221</v>
      </c>
      <c r="AM337">
        <f t="shared" si="114"/>
        <v>14.668476107632571</v>
      </c>
      <c r="AO337">
        <f t="shared" si="115"/>
        <v>0.1784858319626727</v>
      </c>
      <c r="AP337">
        <f t="shared" si="116"/>
        <v>14.505583592570849</v>
      </c>
    </row>
    <row r="338" spans="1:42" x14ac:dyDescent="0.2">
      <c r="A338" s="3">
        <v>340</v>
      </c>
      <c r="B338" s="3">
        <v>2.65E-7</v>
      </c>
      <c r="C338" s="2">
        <v>1.7489999999999999E-2</v>
      </c>
      <c r="D338" s="3">
        <v>151000</v>
      </c>
      <c r="E338" s="3">
        <v>109000000000</v>
      </c>
      <c r="F338" s="3">
        <v>98600000000</v>
      </c>
      <c r="G338" s="3">
        <v>6960000000</v>
      </c>
      <c r="H338" s="3">
        <v>10800000000</v>
      </c>
      <c r="I338" s="2"/>
      <c r="J338" s="7">
        <f t="shared" si="117"/>
        <v>0.26500000000000001</v>
      </c>
      <c r="K338" s="7">
        <f t="shared" si="118"/>
        <v>17.489999999999998</v>
      </c>
      <c r="L338" s="7">
        <f t="shared" si="119"/>
        <v>109</v>
      </c>
      <c r="M338" s="7">
        <f t="shared" si="120"/>
        <v>151</v>
      </c>
      <c r="O338">
        <f t="shared" si="121"/>
        <v>0.17812913907284769</v>
      </c>
      <c r="P338">
        <f t="shared" si="122"/>
        <v>178.12913907284769</v>
      </c>
      <c r="V338">
        <f t="shared" si="106"/>
        <v>634.98006351903575</v>
      </c>
      <c r="W338">
        <f t="shared" si="107"/>
        <v>118.90137082663954</v>
      </c>
      <c r="AE338">
        <f t="shared" si="108"/>
        <v>0.54974551866121635</v>
      </c>
      <c r="AF338">
        <f t="shared" si="109"/>
        <v>0.5369536917238843</v>
      </c>
      <c r="AG338">
        <f t="shared" si="110"/>
        <v>0.53996017380213934</v>
      </c>
      <c r="AI338">
        <f t="shared" si="111"/>
        <v>0.20085050795059151</v>
      </c>
      <c r="AJ338">
        <f t="shared" si="112"/>
        <v>18.421157169087703</v>
      </c>
      <c r="AL338">
        <f t="shared" si="113"/>
        <v>0.20563536179847297</v>
      </c>
      <c r="AM338">
        <f t="shared" si="114"/>
        <v>19.309304815641415</v>
      </c>
      <c r="AO338">
        <f t="shared" si="115"/>
        <v>0.2044903902618701</v>
      </c>
      <c r="AP338">
        <f t="shared" si="116"/>
        <v>19.094876186352753</v>
      </c>
    </row>
    <row r="339" spans="1:42" x14ac:dyDescent="0.2">
      <c r="A339" s="3">
        <v>340</v>
      </c>
      <c r="B339" s="3">
        <v>2.6600000000000003E-7</v>
      </c>
      <c r="C339" s="2">
        <v>1.755E-2</v>
      </c>
      <c r="D339" s="3">
        <v>155000</v>
      </c>
      <c r="E339" s="3">
        <v>110000000000</v>
      </c>
      <c r="F339" s="3">
        <v>100000000000</v>
      </c>
      <c r="G339" s="2">
        <v>0</v>
      </c>
      <c r="H339" s="3">
        <v>10700000000</v>
      </c>
      <c r="I339" s="2"/>
      <c r="J339" s="7">
        <f t="shared" si="117"/>
        <v>0.26600000000000001</v>
      </c>
      <c r="K339" s="7">
        <f t="shared" si="118"/>
        <v>17.55</v>
      </c>
      <c r="L339" s="7">
        <f t="shared" si="119"/>
        <v>110</v>
      </c>
      <c r="M339" s="7">
        <f t="shared" si="120"/>
        <v>155</v>
      </c>
      <c r="O339">
        <f t="shared" si="121"/>
        <v>0.18108064516129033</v>
      </c>
      <c r="P339">
        <f t="shared" si="122"/>
        <v>181.08064516129033</v>
      </c>
      <c r="V339">
        <f t="shared" si="106"/>
        <v>639.61987791849697</v>
      </c>
      <c r="W339">
        <f t="shared" si="107"/>
        <v>121.16571525607804</v>
      </c>
      <c r="AE339">
        <f t="shared" si="108"/>
        <v>0.56430831385753999</v>
      </c>
      <c r="AF339">
        <f t="shared" si="109"/>
        <v>0.55117763057749714</v>
      </c>
      <c r="AG339">
        <f t="shared" si="110"/>
        <v>0.55426375456511001</v>
      </c>
      <c r="AI339">
        <f t="shared" si="111"/>
        <v>0.19640563608870254</v>
      </c>
      <c r="AJ339">
        <f t="shared" si="112"/>
        <v>17.542630564448178</v>
      </c>
      <c r="AL339">
        <f t="shared" si="113"/>
        <v>0.2010845999269012</v>
      </c>
      <c r="AM339">
        <f t="shared" si="114"/>
        <v>18.388421407399189</v>
      </c>
      <c r="AO339">
        <f t="shared" si="115"/>
        <v>0.1999649668961235</v>
      </c>
      <c r="AP339">
        <f t="shared" si="116"/>
        <v>18.184219131096786</v>
      </c>
    </row>
    <row r="340" spans="1:42" x14ac:dyDescent="0.2">
      <c r="A340" s="3">
        <v>340</v>
      </c>
      <c r="B340" s="3">
        <v>2.6600000000000003E-7</v>
      </c>
      <c r="C340" s="2">
        <v>1.7600000000000001E-2</v>
      </c>
      <c r="D340" s="3">
        <v>169000</v>
      </c>
      <c r="E340" s="3">
        <v>119000000000</v>
      </c>
      <c r="F340" s="3">
        <v>107000000000</v>
      </c>
      <c r="G340" s="3">
        <v>10700000000</v>
      </c>
      <c r="H340" s="3">
        <v>10300000000</v>
      </c>
      <c r="I340" s="2"/>
      <c r="J340" s="7">
        <f t="shared" si="117"/>
        <v>0.26600000000000001</v>
      </c>
      <c r="K340" s="7">
        <f t="shared" si="118"/>
        <v>17.600000000000001</v>
      </c>
      <c r="L340" s="7">
        <f t="shared" si="119"/>
        <v>119.00000000000001</v>
      </c>
      <c r="M340" s="7">
        <f t="shared" si="120"/>
        <v>169</v>
      </c>
      <c r="O340">
        <f t="shared" si="121"/>
        <v>0.18789349112426035</v>
      </c>
      <c r="P340">
        <f t="shared" si="122"/>
        <v>187.89349112426035</v>
      </c>
      <c r="V340">
        <f t="shared" si="106"/>
        <v>650.17139937637751</v>
      </c>
      <c r="W340">
        <f t="shared" si="107"/>
        <v>129.96572916164808</v>
      </c>
      <c r="AE340">
        <f t="shared" si="108"/>
        <v>0.61527809704467262</v>
      </c>
      <c r="AF340">
        <f t="shared" si="109"/>
        <v>0.60096141656514201</v>
      </c>
      <c r="AG340">
        <f t="shared" si="110"/>
        <v>0.60432628723550696</v>
      </c>
      <c r="AI340">
        <f t="shared" si="111"/>
        <v>0.18013534670857334</v>
      </c>
      <c r="AJ340">
        <f t="shared" si="112"/>
        <v>14.798587055528506</v>
      </c>
      <c r="AL340">
        <f t="shared" si="113"/>
        <v>0.18442670407496856</v>
      </c>
      <c r="AM340">
        <f t="shared" si="114"/>
        <v>15.512078078108976</v>
      </c>
      <c r="AO340">
        <f t="shared" si="115"/>
        <v>0.1833998217094624</v>
      </c>
      <c r="AP340">
        <f t="shared" si="116"/>
        <v>15.339817415621877</v>
      </c>
    </row>
    <row r="341" spans="1:42" x14ac:dyDescent="0.2">
      <c r="A341" s="3">
        <v>340</v>
      </c>
      <c r="B341" s="3">
        <v>2.6800000000000002E-7</v>
      </c>
      <c r="C341" s="2">
        <v>1.7649999999999999E-2</v>
      </c>
      <c r="D341" s="3">
        <v>149000</v>
      </c>
      <c r="E341" s="3">
        <v>107000000000</v>
      </c>
      <c r="F341" s="3">
        <v>97100000000</v>
      </c>
      <c r="G341" s="3">
        <v>1360000000</v>
      </c>
      <c r="H341" s="3">
        <v>10900000000</v>
      </c>
      <c r="I341" s="2"/>
      <c r="J341" s="7">
        <f t="shared" si="117"/>
        <v>0.26800000000000002</v>
      </c>
      <c r="K341" s="7">
        <f t="shared" si="118"/>
        <v>17.649999999999999</v>
      </c>
      <c r="L341" s="7">
        <f t="shared" si="119"/>
        <v>107</v>
      </c>
      <c r="M341" s="7">
        <f t="shared" si="120"/>
        <v>149</v>
      </c>
      <c r="O341">
        <f t="shared" si="121"/>
        <v>0.17915771812080539</v>
      </c>
      <c r="P341">
        <f t="shared" si="122"/>
        <v>179.15771812080538</v>
      </c>
      <c r="V341">
        <f t="shared" si="106"/>
        <v>636.60183353260425</v>
      </c>
      <c r="W341">
        <f t="shared" si="107"/>
        <v>117.02762398057781</v>
      </c>
      <c r="AE341">
        <f t="shared" si="108"/>
        <v>0.54246412106305453</v>
      </c>
      <c r="AF341">
        <f t="shared" si="109"/>
        <v>0.52984172229707782</v>
      </c>
      <c r="AG341">
        <f t="shared" si="110"/>
        <v>0.53280838342065406</v>
      </c>
      <c r="AI341">
        <f t="shared" si="111"/>
        <v>0.20585078778636284</v>
      </c>
      <c r="AJ341">
        <f t="shared" si="112"/>
        <v>19.092076504438175</v>
      </c>
      <c r="AL341">
        <f t="shared" si="113"/>
        <v>0.21075476310651151</v>
      </c>
      <c r="AM341">
        <f t="shared" si="114"/>
        <v>20.012571490697496</v>
      </c>
      <c r="AO341">
        <f t="shared" si="115"/>
        <v>0.20958128689672936</v>
      </c>
      <c r="AP341">
        <f t="shared" si="116"/>
        <v>19.790333128712785</v>
      </c>
    </row>
    <row r="342" spans="1:42" x14ac:dyDescent="0.2">
      <c r="A342" s="3">
        <v>340</v>
      </c>
      <c r="B342" s="3">
        <v>2.6800000000000002E-7</v>
      </c>
      <c r="C342" s="2">
        <v>1.77E-2</v>
      </c>
      <c r="D342" s="3">
        <v>143000</v>
      </c>
      <c r="E342" s="3">
        <v>103000000000</v>
      </c>
      <c r="F342" s="3">
        <v>94100000000</v>
      </c>
      <c r="G342" s="3">
        <v>2630000000</v>
      </c>
      <c r="H342" s="3">
        <v>11100000000</v>
      </c>
      <c r="I342" s="2"/>
      <c r="J342" s="7">
        <f t="shared" si="117"/>
        <v>0.26800000000000002</v>
      </c>
      <c r="K342" s="7">
        <f t="shared" si="118"/>
        <v>17.7</v>
      </c>
      <c r="L342" s="7">
        <f t="shared" si="119"/>
        <v>103</v>
      </c>
      <c r="M342" s="7">
        <f t="shared" si="120"/>
        <v>143</v>
      </c>
      <c r="O342">
        <f t="shared" si="121"/>
        <v>0.17516783216783219</v>
      </c>
      <c r="P342">
        <f t="shared" si="122"/>
        <v>175.16783216783219</v>
      </c>
      <c r="V342">
        <f t="shared" si="106"/>
        <v>630.28160535947177</v>
      </c>
      <c r="W342">
        <f t="shared" si="107"/>
        <v>113.44135604151265</v>
      </c>
      <c r="AE342">
        <f t="shared" si="108"/>
        <v>0.52061992826856918</v>
      </c>
      <c r="AF342">
        <f t="shared" si="109"/>
        <v>0.50850581401665862</v>
      </c>
      <c r="AG342">
        <f t="shared" si="110"/>
        <v>0.51135301227619823</v>
      </c>
      <c r="AI342">
        <f t="shared" si="111"/>
        <v>0.214487883777399</v>
      </c>
      <c r="AJ342">
        <f t="shared" si="112"/>
        <v>20.786539002255076</v>
      </c>
      <c r="AL342">
        <f t="shared" si="113"/>
        <v>0.21959762029979166</v>
      </c>
      <c r="AM342">
        <f t="shared" si="114"/>
        <v>21.788729881220593</v>
      </c>
      <c r="AO342">
        <f t="shared" si="115"/>
        <v>0.21837490732596274</v>
      </c>
      <c r="AP342">
        <f t="shared" si="116"/>
        <v>21.546767390753999</v>
      </c>
    </row>
    <row r="343" spans="1:42" x14ac:dyDescent="0.2">
      <c r="A343" s="3">
        <v>340</v>
      </c>
      <c r="B343" s="3">
        <v>2.6899999999999999E-7</v>
      </c>
      <c r="C343" s="2">
        <v>1.7749999999999998E-2</v>
      </c>
      <c r="D343" s="3">
        <v>171000</v>
      </c>
      <c r="E343" s="3">
        <v>120000000000</v>
      </c>
      <c r="F343" s="3">
        <v>108000000000</v>
      </c>
      <c r="G343" s="3">
        <v>2030000000</v>
      </c>
      <c r="H343" s="3">
        <v>10200000000</v>
      </c>
      <c r="I343" s="2"/>
      <c r="J343" s="7">
        <f t="shared" si="117"/>
        <v>0.26899999999999996</v>
      </c>
      <c r="K343" s="7">
        <f t="shared" si="118"/>
        <v>17.75</v>
      </c>
      <c r="L343" s="7">
        <f t="shared" si="119"/>
        <v>120.00000000000001</v>
      </c>
      <c r="M343" s="7">
        <f t="shared" si="120"/>
        <v>171</v>
      </c>
      <c r="O343">
        <f t="shared" si="121"/>
        <v>0.19114912280701751</v>
      </c>
      <c r="P343">
        <f t="shared" si="122"/>
        <v>191.14912280701751</v>
      </c>
      <c r="V343">
        <f t="shared" si="106"/>
        <v>655.13838310499989</v>
      </c>
      <c r="W343">
        <f t="shared" si="107"/>
        <v>130.50677872784138</v>
      </c>
      <c r="AE343">
        <f t="shared" si="108"/>
        <v>0.62255949464283444</v>
      </c>
      <c r="AF343">
        <f t="shared" si="109"/>
        <v>0.60807338599194838</v>
      </c>
      <c r="AG343">
        <f t="shared" si="110"/>
        <v>0.61147807761699224</v>
      </c>
      <c r="AI343">
        <f t="shared" si="111"/>
        <v>0.18003634077998618</v>
      </c>
      <c r="AJ343">
        <f t="shared" si="112"/>
        <v>14.577636935781825</v>
      </c>
      <c r="AL343">
        <f t="shared" si="113"/>
        <v>0.18432533953199101</v>
      </c>
      <c r="AM343">
        <f t="shared" si="114"/>
        <v>15.280475189534716</v>
      </c>
      <c r="AO343">
        <f t="shared" si="115"/>
        <v>0.18329902156122474</v>
      </c>
      <c r="AP343">
        <f t="shared" si="116"/>
        <v>15.110786462723734</v>
      </c>
    </row>
    <row r="344" spans="1:42" x14ac:dyDescent="0.2">
      <c r="A344" s="3">
        <v>340</v>
      </c>
      <c r="B344" s="3">
        <v>2.7000000000000001E-7</v>
      </c>
      <c r="C344" s="2">
        <v>1.7809999999999999E-2</v>
      </c>
      <c r="D344" s="3">
        <v>182000</v>
      </c>
      <c r="E344" s="3">
        <v>127000000000</v>
      </c>
      <c r="F344" s="3">
        <v>113000000000</v>
      </c>
      <c r="G344" s="3">
        <v>2450000000</v>
      </c>
      <c r="H344" s="3">
        <v>9930000000</v>
      </c>
      <c r="I344" s="2"/>
      <c r="J344" s="7">
        <f t="shared" si="117"/>
        <v>0.27</v>
      </c>
      <c r="K344" s="7">
        <f t="shared" si="118"/>
        <v>17.809999999999999</v>
      </c>
      <c r="L344" s="7">
        <f t="shared" si="119"/>
        <v>127.00000000000001</v>
      </c>
      <c r="M344" s="7">
        <f t="shared" si="120"/>
        <v>182</v>
      </c>
      <c r="O344">
        <f t="shared" si="121"/>
        <v>0.19660714285714287</v>
      </c>
      <c r="P344">
        <f t="shared" si="122"/>
        <v>196.60714285714286</v>
      </c>
      <c r="V344">
        <f t="shared" si="106"/>
        <v>663.36085834389735</v>
      </c>
      <c r="W344">
        <f t="shared" si="107"/>
        <v>137.1802373555542</v>
      </c>
      <c r="AE344">
        <f t="shared" si="108"/>
        <v>0.66260718143272435</v>
      </c>
      <c r="AF344">
        <f t="shared" si="109"/>
        <v>0.64718921783938366</v>
      </c>
      <c r="AG344">
        <f t="shared" si="110"/>
        <v>0.65081292471516139</v>
      </c>
      <c r="AI344">
        <f t="shared" si="111"/>
        <v>0.16978385256366607</v>
      </c>
      <c r="AJ344">
        <f t="shared" si="112"/>
        <v>12.912256259440136</v>
      </c>
      <c r="AL344">
        <f t="shared" si="113"/>
        <v>0.17382860668720185</v>
      </c>
      <c r="AM344">
        <f t="shared" si="114"/>
        <v>13.534800755600479</v>
      </c>
      <c r="AO344">
        <f t="shared" si="115"/>
        <v>0.17286073421058351</v>
      </c>
      <c r="AP344">
        <f t="shared" si="116"/>
        <v>13.384497634829001</v>
      </c>
    </row>
    <row r="345" spans="1:42" x14ac:dyDescent="0.2">
      <c r="A345" s="3">
        <v>340</v>
      </c>
      <c r="B345" s="3">
        <v>2.7000000000000001E-7</v>
      </c>
      <c r="C345" s="2">
        <v>1.7860000000000001E-2</v>
      </c>
      <c r="D345" s="3">
        <v>155000</v>
      </c>
      <c r="E345" s="3">
        <v>110000000000</v>
      </c>
      <c r="F345" s="3">
        <v>99400000000</v>
      </c>
      <c r="G345" s="2">
        <v>0</v>
      </c>
      <c r="H345" s="3">
        <v>10700000000</v>
      </c>
      <c r="I345" s="2"/>
      <c r="J345" s="7">
        <f t="shared" si="117"/>
        <v>0.27</v>
      </c>
      <c r="K345" s="7">
        <f t="shared" si="118"/>
        <v>17.86</v>
      </c>
      <c r="L345" s="7">
        <f t="shared" si="119"/>
        <v>110</v>
      </c>
      <c r="M345" s="7">
        <f t="shared" si="120"/>
        <v>155</v>
      </c>
      <c r="O345">
        <f t="shared" si="121"/>
        <v>0.18358064516129036</v>
      </c>
      <c r="P345">
        <f t="shared" si="122"/>
        <v>183.58064516129036</v>
      </c>
      <c r="V345">
        <f t="shared" si="106"/>
        <v>643.51707310508891</v>
      </c>
      <c r="W345">
        <f t="shared" si="107"/>
        <v>120.43192517961982</v>
      </c>
      <c r="AE345">
        <f t="shared" si="108"/>
        <v>0.56430831385753999</v>
      </c>
      <c r="AF345">
        <f t="shared" si="109"/>
        <v>0.55117763057749714</v>
      </c>
      <c r="AG345">
        <f t="shared" si="110"/>
        <v>0.55426375456511001</v>
      </c>
      <c r="AI345">
        <f t="shared" si="111"/>
        <v>0.19935910430056275</v>
      </c>
      <c r="AJ345">
        <f t="shared" si="112"/>
        <v>17.852500392082305</v>
      </c>
      <c r="AL345">
        <f t="shared" si="113"/>
        <v>0.20410842849723054</v>
      </c>
      <c r="AM345">
        <f t="shared" si="114"/>
        <v>18.71323113026493</v>
      </c>
      <c r="AO345">
        <f t="shared" si="115"/>
        <v>0.20297195887952388</v>
      </c>
      <c r="AP345">
        <f t="shared" si="116"/>
        <v>18.505421862187383</v>
      </c>
    </row>
    <row r="346" spans="1:42" x14ac:dyDescent="0.2">
      <c r="A346" s="3">
        <v>340</v>
      </c>
      <c r="B346" s="3">
        <v>2.7099999999999998E-7</v>
      </c>
      <c r="C346" s="2">
        <v>1.7909999999999999E-2</v>
      </c>
      <c r="D346" s="3">
        <v>147000</v>
      </c>
      <c r="E346" s="3">
        <v>105000000000</v>
      </c>
      <c r="F346" s="3">
        <v>95600000000</v>
      </c>
      <c r="G346" s="3">
        <v>764000000</v>
      </c>
      <c r="H346" s="3">
        <v>11000000000</v>
      </c>
      <c r="I346" s="2"/>
      <c r="J346" s="7">
        <f t="shared" si="117"/>
        <v>0.27099999999999996</v>
      </c>
      <c r="K346" s="7">
        <f t="shared" si="118"/>
        <v>17.91</v>
      </c>
      <c r="L346" s="7">
        <f t="shared" si="119"/>
        <v>105</v>
      </c>
      <c r="M346" s="7">
        <f t="shared" si="120"/>
        <v>147</v>
      </c>
      <c r="O346">
        <f t="shared" si="121"/>
        <v>0.17962244897959179</v>
      </c>
      <c r="P346">
        <f t="shared" si="122"/>
        <v>179.62244897959178</v>
      </c>
      <c r="V346">
        <f t="shared" si="106"/>
        <v>637.33287797962532</v>
      </c>
      <c r="W346">
        <f t="shared" si="107"/>
        <v>115.32435017788255</v>
      </c>
      <c r="AE346">
        <f t="shared" si="108"/>
        <v>0.53518272346489282</v>
      </c>
      <c r="AF346">
        <f t="shared" si="109"/>
        <v>0.52272975287027146</v>
      </c>
      <c r="AG346">
        <f t="shared" si="110"/>
        <v>0.52565659303916878</v>
      </c>
      <c r="AI346">
        <f t="shared" si="111"/>
        <v>0.21098712965848163</v>
      </c>
      <c r="AJ346">
        <f t="shared" si="112"/>
        <v>19.90407087333331</v>
      </c>
      <c r="AL346">
        <f t="shared" si="113"/>
        <v>0.21601346785150333</v>
      </c>
      <c r="AM346">
        <f t="shared" si="114"/>
        <v>20.863714914189448</v>
      </c>
      <c r="AO346">
        <f t="shared" si="115"/>
        <v>0.21481071133117657</v>
      </c>
      <c r="AP346">
        <f t="shared" si="116"/>
        <v>20.632024657412561</v>
      </c>
    </row>
    <row r="347" spans="1:42" x14ac:dyDescent="0.2">
      <c r="A347" s="3">
        <v>350</v>
      </c>
      <c r="B347" s="3">
        <v>2.72E-7</v>
      </c>
      <c r="C347" s="2">
        <v>1.796E-2</v>
      </c>
      <c r="D347" s="3">
        <v>160000</v>
      </c>
      <c r="E347" s="3">
        <v>112000000000</v>
      </c>
      <c r="F347" s="3">
        <v>102000000000</v>
      </c>
      <c r="G347" s="3">
        <v>17000000000</v>
      </c>
      <c r="H347" s="3">
        <v>10500000000</v>
      </c>
      <c r="I347" s="2"/>
      <c r="J347" s="7">
        <f t="shared" si="117"/>
        <v>0.27200000000000002</v>
      </c>
      <c r="K347" s="7">
        <f t="shared" si="118"/>
        <v>17.96</v>
      </c>
      <c r="L347" s="7">
        <f t="shared" si="119"/>
        <v>112</v>
      </c>
      <c r="M347" s="7">
        <f t="shared" si="120"/>
        <v>160</v>
      </c>
      <c r="O347">
        <f t="shared" si="121"/>
        <v>0.18781250000000002</v>
      </c>
      <c r="P347">
        <f t="shared" si="122"/>
        <v>187.81250000000003</v>
      </c>
      <c r="V347">
        <f t="shared" si="106"/>
        <v>650.04722584617821</v>
      </c>
      <c r="W347">
        <f t="shared" si="107"/>
        <v>123.0679815545133</v>
      </c>
      <c r="AE347">
        <f t="shared" si="108"/>
        <v>0.58251180785294454</v>
      </c>
      <c r="AF347">
        <f t="shared" si="109"/>
        <v>0.5689575541445131</v>
      </c>
      <c r="AG347">
        <f t="shared" si="110"/>
        <v>0.57214323051882321</v>
      </c>
      <c r="AI347">
        <f t="shared" si="111"/>
        <v>0.19455971845628992</v>
      </c>
      <c r="AJ347">
        <f t="shared" si="112"/>
        <v>16.847961448591473</v>
      </c>
      <c r="AL347">
        <f t="shared" si="113"/>
        <v>0.19919470707044537</v>
      </c>
      <c r="AM347">
        <f t="shared" si="114"/>
        <v>17.66025989284471</v>
      </c>
      <c r="AO347">
        <f t="shared" si="115"/>
        <v>0.1980855969064983</v>
      </c>
      <c r="AP347">
        <f t="shared" si="116"/>
        <v>17.464143804882973</v>
      </c>
    </row>
    <row r="348" spans="1:42" x14ac:dyDescent="0.2">
      <c r="A348" s="3">
        <v>350</v>
      </c>
      <c r="B348" s="3">
        <v>2.72E-7</v>
      </c>
      <c r="C348" s="2">
        <v>1.8010000000000002E-2</v>
      </c>
      <c r="D348" s="3">
        <v>163000</v>
      </c>
      <c r="E348" s="3">
        <v>114000000000</v>
      </c>
      <c r="F348" s="3">
        <v>103000000000</v>
      </c>
      <c r="G348" s="3">
        <v>3960000000</v>
      </c>
      <c r="H348" s="3">
        <v>10500000000</v>
      </c>
      <c r="I348" s="2"/>
      <c r="J348" s="7">
        <f t="shared" si="117"/>
        <v>0.27200000000000002</v>
      </c>
      <c r="K348" s="7">
        <f t="shared" si="118"/>
        <v>18.010000000000002</v>
      </c>
      <c r="L348" s="7">
        <f t="shared" si="119"/>
        <v>114</v>
      </c>
      <c r="M348" s="7">
        <f t="shared" si="120"/>
        <v>163</v>
      </c>
      <c r="O348">
        <f t="shared" si="121"/>
        <v>0.18913190184049081</v>
      </c>
      <c r="P348">
        <f t="shared" si="122"/>
        <v>189.1319018404908</v>
      </c>
      <c r="V348">
        <f t="shared" si="106"/>
        <v>652.06639837547857</v>
      </c>
      <c r="W348">
        <f t="shared" si="107"/>
        <v>124.98727154634022</v>
      </c>
      <c r="AE348">
        <f t="shared" si="108"/>
        <v>0.59343390425018727</v>
      </c>
      <c r="AF348">
        <f t="shared" si="109"/>
        <v>0.57962550828472281</v>
      </c>
      <c r="AG348">
        <f t="shared" si="110"/>
        <v>0.58287091609105113</v>
      </c>
      <c r="AI348">
        <f t="shared" si="111"/>
        <v>0.19097886474237047</v>
      </c>
      <c r="AJ348">
        <f t="shared" si="112"/>
        <v>16.278691658173962</v>
      </c>
      <c r="AL348">
        <f t="shared" si="113"/>
        <v>0.19552854681761503</v>
      </c>
      <c r="AM348">
        <f t="shared" si="114"/>
        <v>17.063543638561075</v>
      </c>
      <c r="AO348">
        <f t="shared" si="115"/>
        <v>0.19443984972417011</v>
      </c>
      <c r="AP348">
        <f t="shared" si="116"/>
        <v>16.87405404749822</v>
      </c>
    </row>
    <row r="349" spans="1:42" x14ac:dyDescent="0.2">
      <c r="A349" s="3">
        <v>350</v>
      </c>
      <c r="B349" s="3">
        <v>2.7300000000000002E-7</v>
      </c>
      <c r="C349" s="2">
        <v>1.806E-2</v>
      </c>
      <c r="D349" s="3">
        <v>155000</v>
      </c>
      <c r="E349" s="3">
        <v>109000000000</v>
      </c>
      <c r="F349" s="3">
        <v>99100000000</v>
      </c>
      <c r="G349" s="3">
        <v>13900000000</v>
      </c>
      <c r="H349" s="3">
        <v>10700000000</v>
      </c>
      <c r="I349" s="2"/>
      <c r="J349" s="7">
        <f t="shared" si="117"/>
        <v>0.27300000000000002</v>
      </c>
      <c r="K349" s="7">
        <f t="shared" si="118"/>
        <v>18.059999999999999</v>
      </c>
      <c r="L349" s="7">
        <f t="shared" si="119"/>
        <v>109</v>
      </c>
      <c r="M349" s="7">
        <f t="shared" si="120"/>
        <v>155</v>
      </c>
      <c r="O349">
        <f t="shared" si="121"/>
        <v>0.18561290322580648</v>
      </c>
      <c r="P349">
        <f t="shared" si="122"/>
        <v>185.61290322580649</v>
      </c>
      <c r="V349">
        <f t="shared" si="106"/>
        <v>646.66338716493965</v>
      </c>
      <c r="W349">
        <f t="shared" si="107"/>
        <v>119.84596861091913</v>
      </c>
      <c r="AE349">
        <f t="shared" si="108"/>
        <v>0.56430831385753999</v>
      </c>
      <c r="AF349">
        <f t="shared" si="109"/>
        <v>0.55117763057749714</v>
      </c>
      <c r="AG349">
        <f t="shared" si="110"/>
        <v>0.55426375456511001</v>
      </c>
      <c r="AI349">
        <f t="shared" si="111"/>
        <v>0.20157420545945787</v>
      </c>
      <c r="AJ349">
        <f t="shared" si="112"/>
        <v>18.052416409910773</v>
      </c>
      <c r="AL349">
        <f t="shared" si="113"/>
        <v>0.20637629992497755</v>
      </c>
      <c r="AM349">
        <f t="shared" si="114"/>
        <v>18.92278579017831</v>
      </c>
      <c r="AO349">
        <f t="shared" si="115"/>
        <v>0.20522720286707413</v>
      </c>
      <c r="AP349">
        <f t="shared" si="116"/>
        <v>18.712649430632929</v>
      </c>
    </row>
    <row r="350" spans="1:42" x14ac:dyDescent="0.2">
      <c r="A350" s="3">
        <v>350</v>
      </c>
      <c r="B350" s="3">
        <v>2.7399999999999999E-7</v>
      </c>
      <c r="C350" s="2">
        <v>1.8120000000000001E-2</v>
      </c>
      <c r="D350" s="3">
        <v>161000</v>
      </c>
      <c r="E350" s="3">
        <v>113000000000</v>
      </c>
      <c r="F350" s="3">
        <v>102000000000</v>
      </c>
      <c r="G350" s="2">
        <v>0</v>
      </c>
      <c r="H350" s="3">
        <v>10500000000</v>
      </c>
      <c r="I350" s="2"/>
      <c r="J350" s="7">
        <f t="shared" si="117"/>
        <v>0.27399999999999997</v>
      </c>
      <c r="K350" s="7">
        <f t="shared" si="118"/>
        <v>18.12</v>
      </c>
      <c r="L350" s="7">
        <f t="shared" si="119"/>
        <v>113</v>
      </c>
      <c r="M350" s="7">
        <f t="shared" si="120"/>
        <v>161</v>
      </c>
      <c r="O350">
        <f t="shared" si="121"/>
        <v>0.18959006211180121</v>
      </c>
      <c r="P350">
        <f t="shared" si="122"/>
        <v>189.59006211180122</v>
      </c>
      <c r="V350">
        <f t="shared" si="106"/>
        <v>652.76571696810493</v>
      </c>
      <c r="W350">
        <f t="shared" si="107"/>
        <v>123.32142743938458</v>
      </c>
      <c r="AE350">
        <f t="shared" si="108"/>
        <v>0.58615250665202545</v>
      </c>
      <c r="AF350">
        <f t="shared" si="109"/>
        <v>0.57251353885791634</v>
      </c>
      <c r="AG350">
        <f t="shared" si="110"/>
        <v>0.57571912570956585</v>
      </c>
      <c r="AI350">
        <f t="shared" si="111"/>
        <v>0.19477297353680464</v>
      </c>
      <c r="AJ350">
        <f t="shared" si="112"/>
        <v>16.787554451857758</v>
      </c>
      <c r="AL350">
        <f t="shared" si="113"/>
        <v>0.19941304251845823</v>
      </c>
      <c r="AM350">
        <f t="shared" si="114"/>
        <v>17.596940466045282</v>
      </c>
      <c r="AO350">
        <f t="shared" si="115"/>
        <v>0.19830271666927485</v>
      </c>
      <c r="AP350">
        <f t="shared" si="116"/>
        <v>17.401527536380833</v>
      </c>
    </row>
    <row r="351" spans="1:42" x14ac:dyDescent="0.2">
      <c r="A351" s="3">
        <v>350</v>
      </c>
      <c r="B351" s="3">
        <v>2.7399999999999999E-7</v>
      </c>
      <c r="C351" s="2">
        <v>1.8169999999999999E-2</v>
      </c>
      <c r="D351" s="3">
        <v>144000</v>
      </c>
      <c r="E351" s="3">
        <v>103000000000</v>
      </c>
      <c r="F351" s="3">
        <v>93600000000</v>
      </c>
      <c r="G351" s="3">
        <v>9640000000</v>
      </c>
      <c r="H351" s="3">
        <v>11100000000</v>
      </c>
      <c r="I351" s="2"/>
      <c r="J351" s="7">
        <f t="shared" si="117"/>
        <v>0.27399999999999997</v>
      </c>
      <c r="K351" s="7">
        <f t="shared" si="118"/>
        <v>18.169999999999998</v>
      </c>
      <c r="L351" s="7">
        <f t="shared" si="119"/>
        <v>103</v>
      </c>
      <c r="M351" s="7">
        <f t="shared" si="120"/>
        <v>144</v>
      </c>
      <c r="O351">
        <f t="shared" si="121"/>
        <v>0.1793645833333333</v>
      </c>
      <c r="P351">
        <f t="shared" si="122"/>
        <v>179.36458333333329</v>
      </c>
      <c r="V351">
        <f t="shared" si="106"/>
        <v>636.92737294023857</v>
      </c>
      <c r="W351">
        <f t="shared" si="107"/>
        <v>113.04271579289714</v>
      </c>
      <c r="AE351">
        <f t="shared" si="108"/>
        <v>0.52426062706765009</v>
      </c>
      <c r="AF351">
        <f t="shared" si="109"/>
        <v>0.51206179873006186</v>
      </c>
      <c r="AG351">
        <f t="shared" si="110"/>
        <v>0.51492890746694087</v>
      </c>
      <c r="AI351">
        <f t="shared" si="111"/>
        <v>0.21776700513489963</v>
      </c>
      <c r="AJ351">
        <f t="shared" si="112"/>
        <v>21.043158976113382</v>
      </c>
      <c r="AL351">
        <f t="shared" si="113"/>
        <v>0.22295486003799841</v>
      </c>
      <c r="AM351">
        <f t="shared" si="114"/>
        <v>22.057722390840297</v>
      </c>
      <c r="AO351">
        <f t="shared" si="115"/>
        <v>0.22171345405384202</v>
      </c>
      <c r="AP351">
        <f t="shared" si="116"/>
        <v>21.812772755280843</v>
      </c>
    </row>
    <row r="352" spans="1:42" x14ac:dyDescent="0.2">
      <c r="A352" s="3">
        <v>350</v>
      </c>
      <c r="B352" s="3">
        <v>2.7500000000000001E-7</v>
      </c>
      <c r="C352" s="2">
        <v>1.822E-2</v>
      </c>
      <c r="D352" s="3">
        <v>191000</v>
      </c>
      <c r="E352" s="3">
        <v>131000000000</v>
      </c>
      <c r="F352" s="3">
        <v>116000000000</v>
      </c>
      <c r="G352" s="3">
        <v>10900000000</v>
      </c>
      <c r="H352" s="3">
        <v>9790000000</v>
      </c>
      <c r="I352" s="2"/>
      <c r="J352" s="7">
        <f t="shared" si="117"/>
        <v>0.27500000000000002</v>
      </c>
      <c r="K352" s="7">
        <f t="shared" si="118"/>
        <v>18.22</v>
      </c>
      <c r="L352" s="7">
        <f t="shared" si="119"/>
        <v>131</v>
      </c>
      <c r="M352" s="7">
        <f t="shared" si="120"/>
        <v>191</v>
      </c>
      <c r="O352">
        <f t="shared" si="121"/>
        <v>0.20345549738219898</v>
      </c>
      <c r="P352">
        <f t="shared" si="122"/>
        <v>203.45549738219898</v>
      </c>
      <c r="V352">
        <f t="shared" si="106"/>
        <v>673.50001615737517</v>
      </c>
      <c r="W352">
        <f t="shared" si="107"/>
        <v>141.79658160198875</v>
      </c>
      <c r="AE352">
        <f t="shared" si="108"/>
        <v>0.69537347062445254</v>
      </c>
      <c r="AF352">
        <f t="shared" si="109"/>
        <v>0.67919308026001257</v>
      </c>
      <c r="AG352">
        <f t="shared" si="110"/>
        <v>0.68299598143184514</v>
      </c>
      <c r="AI352">
        <f t="shared" si="111"/>
        <v>0.16477955828604782</v>
      </c>
      <c r="AJ352">
        <f t="shared" si="112"/>
        <v>11.99396096901865</v>
      </c>
      <c r="AL352">
        <f t="shared" si="113"/>
        <v>0.1687050953014243</v>
      </c>
      <c r="AM352">
        <f t="shared" si="114"/>
        <v>12.572231275802999</v>
      </c>
      <c r="AO352">
        <f t="shared" si="115"/>
        <v>0.167765750382775</v>
      </c>
      <c r="AP352">
        <f t="shared" si="116"/>
        <v>12.432617429250287</v>
      </c>
    </row>
    <row r="353" spans="1:42" x14ac:dyDescent="0.2">
      <c r="A353" s="3">
        <v>350</v>
      </c>
      <c r="B353" s="3">
        <v>2.7599999999999998E-7</v>
      </c>
      <c r="C353" s="2">
        <v>1.8270000000000002E-2</v>
      </c>
      <c r="D353" s="3">
        <v>170000</v>
      </c>
      <c r="E353" s="3">
        <v>117000000000</v>
      </c>
      <c r="F353" s="3">
        <v>106000000000</v>
      </c>
      <c r="G353" s="2">
        <v>0</v>
      </c>
      <c r="H353" s="3">
        <v>10300000000</v>
      </c>
      <c r="I353" s="2"/>
      <c r="J353" s="7">
        <f t="shared" si="117"/>
        <v>0.27599999999999997</v>
      </c>
      <c r="K353" s="7">
        <f t="shared" si="118"/>
        <v>18.270000000000003</v>
      </c>
      <c r="L353" s="7">
        <f t="shared" si="119"/>
        <v>117.00000000000001</v>
      </c>
      <c r="M353" s="7">
        <f t="shared" si="120"/>
        <v>170</v>
      </c>
      <c r="O353">
        <f t="shared" si="121"/>
        <v>0.19539705882352937</v>
      </c>
      <c r="P353">
        <f t="shared" si="122"/>
        <v>195.39705882352936</v>
      </c>
      <c r="V353">
        <f t="shared" si="106"/>
        <v>661.54895274798037</v>
      </c>
      <c r="W353">
        <f t="shared" si="107"/>
        <v>128.48633445328889</v>
      </c>
      <c r="AE353">
        <f t="shared" si="108"/>
        <v>0.61891879584375353</v>
      </c>
      <c r="AF353">
        <f t="shared" si="109"/>
        <v>0.60451740127854525</v>
      </c>
      <c r="AG353">
        <f t="shared" si="110"/>
        <v>0.6079021824262496</v>
      </c>
      <c r="AI353">
        <f t="shared" si="111"/>
        <v>0.18580789721085125</v>
      </c>
      <c r="AJ353">
        <f t="shared" si="112"/>
        <v>15.181745179683451</v>
      </c>
      <c r="AL353">
        <f t="shared" si="113"/>
        <v>0.19023439152748409</v>
      </c>
      <c r="AM353">
        <f t="shared" si="114"/>
        <v>15.913709579538889</v>
      </c>
      <c r="AO353">
        <f t="shared" si="115"/>
        <v>0.18917517213215754</v>
      </c>
      <c r="AP353">
        <f t="shared" si="116"/>
        <v>15.736988824202625</v>
      </c>
    </row>
    <row r="354" spans="1:42" x14ac:dyDescent="0.2">
      <c r="A354" s="3">
        <v>350</v>
      </c>
      <c r="B354" s="3">
        <v>2.7700000000000001E-7</v>
      </c>
      <c r="C354" s="2">
        <v>1.8329999999999999E-2</v>
      </c>
      <c r="D354" s="3">
        <v>162000</v>
      </c>
      <c r="E354" s="3">
        <v>112000000000</v>
      </c>
      <c r="F354" s="3">
        <v>102000000000</v>
      </c>
      <c r="G354" s="3">
        <v>5990000000</v>
      </c>
      <c r="H354" s="3">
        <v>10500000000</v>
      </c>
      <c r="I354" s="2"/>
      <c r="J354" s="7">
        <f t="shared" si="117"/>
        <v>0.27700000000000002</v>
      </c>
      <c r="K354" s="7">
        <f t="shared" si="118"/>
        <v>18.329999999999998</v>
      </c>
      <c r="L354" s="7">
        <f t="shared" si="119"/>
        <v>112</v>
      </c>
      <c r="M354" s="7">
        <f t="shared" si="120"/>
        <v>162</v>
      </c>
      <c r="O354">
        <f t="shared" si="121"/>
        <v>0.19213888888888891</v>
      </c>
      <c r="P354">
        <f t="shared" si="122"/>
        <v>192.13888888888891</v>
      </c>
      <c r="V354">
        <f t="shared" si="106"/>
        <v>656.63907522973568</v>
      </c>
      <c r="W354">
        <f t="shared" si="107"/>
        <v>123.35543688389373</v>
      </c>
      <c r="AE354">
        <f t="shared" si="108"/>
        <v>0.58979320545110636</v>
      </c>
      <c r="AF354">
        <f t="shared" si="109"/>
        <v>0.57606952357131957</v>
      </c>
      <c r="AG354">
        <f t="shared" si="110"/>
        <v>0.57929502090030849</v>
      </c>
      <c r="AI354">
        <f t="shared" si="111"/>
        <v>0.1956900581423105</v>
      </c>
      <c r="AJ354">
        <f t="shared" si="112"/>
        <v>16.773103581441486</v>
      </c>
      <c r="AL354">
        <f t="shared" si="113"/>
        <v>0.20035197479489239</v>
      </c>
      <c r="AM354">
        <f t="shared" si="114"/>
        <v>17.581792869227236</v>
      </c>
      <c r="AO354">
        <f t="shared" si="115"/>
        <v>0.19923642099891078</v>
      </c>
      <c r="AP354">
        <f t="shared" si="116"/>
        <v>17.386548152683545</v>
      </c>
    </row>
    <row r="355" spans="1:42" x14ac:dyDescent="0.2">
      <c r="A355" s="3">
        <v>350</v>
      </c>
      <c r="B355" s="3">
        <v>2.7700000000000001E-7</v>
      </c>
      <c r="C355" s="2">
        <v>1.8380000000000001E-2</v>
      </c>
      <c r="D355" s="3">
        <v>172000</v>
      </c>
      <c r="E355" s="3">
        <v>118000000000</v>
      </c>
      <c r="F355" s="3">
        <v>107000000000</v>
      </c>
      <c r="G355" s="2">
        <v>0</v>
      </c>
      <c r="H355" s="3">
        <v>10200000000</v>
      </c>
      <c r="I355" s="2"/>
      <c r="J355" s="7">
        <f t="shared" si="117"/>
        <v>0.27700000000000002</v>
      </c>
      <c r="K355" s="7">
        <f t="shared" si="118"/>
        <v>18.38</v>
      </c>
      <c r="L355" s="7">
        <f t="shared" si="119"/>
        <v>118.00000000000001</v>
      </c>
      <c r="M355" s="7">
        <f t="shared" si="120"/>
        <v>172</v>
      </c>
      <c r="O355">
        <f t="shared" si="121"/>
        <v>0.19685465116279072</v>
      </c>
      <c r="P355">
        <f t="shared" si="122"/>
        <v>196.85465116279073</v>
      </c>
      <c r="V355">
        <f t="shared" si="106"/>
        <v>663.73069629422673</v>
      </c>
      <c r="W355">
        <f t="shared" si="107"/>
        <v>129.57062326657385</v>
      </c>
      <c r="AE355">
        <f t="shared" si="108"/>
        <v>0.62620019344191535</v>
      </c>
      <c r="AF355">
        <f t="shared" si="109"/>
        <v>0.61162937070535162</v>
      </c>
      <c r="AG355">
        <f t="shared" si="110"/>
        <v>0.61505397280773488</v>
      </c>
      <c r="AI355">
        <f t="shared" si="111"/>
        <v>0.18431272918054825</v>
      </c>
      <c r="AJ355">
        <f t="shared" si="112"/>
        <v>14.920026905537878</v>
      </c>
      <c r="AL355">
        <f t="shared" si="113"/>
        <v>0.18870360416728235</v>
      </c>
      <c r="AM355">
        <f t="shared" si="114"/>
        <v>15.639372962956477</v>
      </c>
      <c r="AO355">
        <f t="shared" si="115"/>
        <v>0.18765290815013691</v>
      </c>
      <c r="AP355">
        <f t="shared" si="116"/>
        <v>15.465698698688588</v>
      </c>
    </row>
    <row r="356" spans="1:42" x14ac:dyDescent="0.2">
      <c r="A356" s="3">
        <v>350</v>
      </c>
      <c r="B356" s="3">
        <v>2.7799999999999997E-7</v>
      </c>
      <c r="C356" s="2">
        <v>1.8429999999999998E-2</v>
      </c>
      <c r="D356" s="3">
        <v>167000</v>
      </c>
      <c r="E356" s="3">
        <v>115000000000</v>
      </c>
      <c r="F356" s="3">
        <v>104000000000</v>
      </c>
      <c r="G356" s="2">
        <v>0</v>
      </c>
      <c r="H356" s="3">
        <v>10400000000</v>
      </c>
      <c r="I356" s="2"/>
      <c r="J356" s="7">
        <f t="shared" si="117"/>
        <v>0.27799999999999997</v>
      </c>
      <c r="K356" s="7">
        <f t="shared" si="118"/>
        <v>18.43</v>
      </c>
      <c r="L356" s="7">
        <f t="shared" si="119"/>
        <v>115.00000000000001</v>
      </c>
      <c r="M356" s="7">
        <f t="shared" si="120"/>
        <v>167</v>
      </c>
      <c r="O356">
        <f t="shared" si="121"/>
        <v>0.19523053892215567</v>
      </c>
      <c r="P356">
        <f t="shared" si="122"/>
        <v>195.23053892215566</v>
      </c>
      <c r="V356">
        <f t="shared" si="106"/>
        <v>661.29912737330756</v>
      </c>
      <c r="W356">
        <f t="shared" si="107"/>
        <v>126.2666114979821</v>
      </c>
      <c r="AE356">
        <f t="shared" si="108"/>
        <v>0.6079966994465108</v>
      </c>
      <c r="AF356">
        <f t="shared" si="109"/>
        <v>0.59384944713833565</v>
      </c>
      <c r="AG356">
        <f t="shared" si="110"/>
        <v>0.59717449685402169</v>
      </c>
      <c r="AI356">
        <f t="shared" si="111"/>
        <v>0.19051638510337651</v>
      </c>
      <c r="AJ356">
        <f t="shared" si="112"/>
        <v>15.869870614059838</v>
      </c>
      <c r="AL356">
        <f t="shared" si="113"/>
        <v>0.19505504954414862</v>
      </c>
      <c r="AM356">
        <f t="shared" si="114"/>
        <v>16.635011919115385</v>
      </c>
      <c r="AO356">
        <f t="shared" si="115"/>
        <v>0.19396898886934313</v>
      </c>
      <c r="AP356">
        <f t="shared" si="116"/>
        <v>16.450281146150065</v>
      </c>
    </row>
    <row r="357" spans="1:42" x14ac:dyDescent="0.2">
      <c r="A357" s="3">
        <v>360</v>
      </c>
      <c r="B357" s="3">
        <v>2.7799999999999997E-7</v>
      </c>
      <c r="C357" s="2">
        <v>1.848E-2</v>
      </c>
      <c r="D357" s="3">
        <v>169000</v>
      </c>
      <c r="E357" s="3">
        <v>116000000000</v>
      </c>
      <c r="F357" s="3">
        <v>105000000000</v>
      </c>
      <c r="G357" s="3">
        <v>4060000000</v>
      </c>
      <c r="H357" s="3">
        <v>10300000000</v>
      </c>
      <c r="I357" s="2"/>
      <c r="J357" s="7">
        <f t="shared" si="117"/>
        <v>0.27799999999999997</v>
      </c>
      <c r="K357" s="7">
        <f t="shared" si="118"/>
        <v>18.48</v>
      </c>
      <c r="L357" s="7">
        <f t="shared" si="119"/>
        <v>116.00000000000001</v>
      </c>
      <c r="M357" s="7">
        <f t="shared" si="120"/>
        <v>169</v>
      </c>
      <c r="O357">
        <f t="shared" si="121"/>
        <v>0.19598816568047334</v>
      </c>
      <c r="P357">
        <f t="shared" si="122"/>
        <v>195.98816568047334</v>
      </c>
      <c r="V357">
        <f t="shared" si="106"/>
        <v>662.43481833460942</v>
      </c>
      <c r="W357">
        <f t="shared" si="107"/>
        <v>127.55972008300645</v>
      </c>
      <c r="AE357">
        <f t="shared" si="108"/>
        <v>0.61527809704467262</v>
      </c>
      <c r="AF357">
        <f t="shared" si="109"/>
        <v>0.60096141656514201</v>
      </c>
      <c r="AG357">
        <f t="shared" si="110"/>
        <v>0.60432628723550696</v>
      </c>
      <c r="AI357">
        <f t="shared" si="111"/>
        <v>0.1882617533270052</v>
      </c>
      <c r="AJ357">
        <f t="shared" si="112"/>
        <v>15.538516408304929</v>
      </c>
      <c r="AL357">
        <f t="shared" si="113"/>
        <v>0.19274670576256109</v>
      </c>
      <c r="AM357">
        <f t="shared" si="114"/>
        <v>16.287681982014423</v>
      </c>
      <c r="AO357">
        <f t="shared" si="115"/>
        <v>0.19167349787680654</v>
      </c>
      <c r="AP357">
        <f t="shared" si="116"/>
        <v>16.10680828640297</v>
      </c>
    </row>
    <row r="358" spans="1:42" x14ac:dyDescent="0.2">
      <c r="A358" s="3">
        <v>360</v>
      </c>
      <c r="B358" s="3">
        <v>2.79E-7</v>
      </c>
      <c r="C358" s="2">
        <v>1.8530000000000001E-2</v>
      </c>
      <c r="D358" s="3">
        <v>169000</v>
      </c>
      <c r="E358" s="3">
        <v>116000000000</v>
      </c>
      <c r="F358" s="3">
        <v>105000000000</v>
      </c>
      <c r="G358" s="2">
        <v>0</v>
      </c>
      <c r="H358" s="3">
        <v>10300000000</v>
      </c>
      <c r="I358" s="2"/>
      <c r="J358" s="7">
        <f t="shared" si="117"/>
        <v>0.27899999999999997</v>
      </c>
      <c r="K358" s="7">
        <f t="shared" si="118"/>
        <v>18.53</v>
      </c>
      <c r="L358" s="7">
        <f t="shared" si="119"/>
        <v>116.00000000000001</v>
      </c>
      <c r="M358" s="7">
        <f t="shared" si="120"/>
        <v>169</v>
      </c>
      <c r="O358">
        <f t="shared" si="121"/>
        <v>0.19676627218934906</v>
      </c>
      <c r="P358">
        <f t="shared" si="122"/>
        <v>196.76627218934905</v>
      </c>
      <c r="V358">
        <f t="shared" si="106"/>
        <v>663.59866623523044</v>
      </c>
      <c r="W358">
        <f t="shared" si="107"/>
        <v>127.33600035604456</v>
      </c>
      <c r="AE358">
        <f t="shared" si="108"/>
        <v>0.61527809704467262</v>
      </c>
      <c r="AF358">
        <f t="shared" si="109"/>
        <v>0.60096141656514201</v>
      </c>
      <c r="AG358">
        <f t="shared" si="110"/>
        <v>0.60432628723550696</v>
      </c>
      <c r="AI358">
        <f t="shared" si="111"/>
        <v>0.18893895387854118</v>
      </c>
      <c r="AJ358">
        <f t="shared" si="112"/>
        <v>15.58055784880359</v>
      </c>
      <c r="AL358">
        <f t="shared" si="113"/>
        <v>0.19344003923652714</v>
      </c>
      <c r="AM358">
        <f t="shared" si="114"/>
        <v>16.331750385645414</v>
      </c>
      <c r="AO358">
        <f t="shared" si="115"/>
        <v>0.19236297089075188</v>
      </c>
      <c r="AP358">
        <f t="shared" si="116"/>
        <v>16.150387313151896</v>
      </c>
    </row>
    <row r="359" spans="1:42" x14ac:dyDescent="0.2">
      <c r="A359" s="3">
        <v>360</v>
      </c>
      <c r="B359" s="3">
        <v>2.8000000000000002E-7</v>
      </c>
      <c r="C359" s="2">
        <v>1.8589999999999999E-2</v>
      </c>
      <c r="D359" s="3">
        <v>156000</v>
      </c>
      <c r="E359" s="3">
        <v>108000000000</v>
      </c>
      <c r="F359" s="3">
        <v>98300000000</v>
      </c>
      <c r="G359" s="3">
        <v>398000000</v>
      </c>
      <c r="H359" s="3">
        <v>10700000000</v>
      </c>
      <c r="I359" s="2"/>
      <c r="J359" s="7">
        <f t="shared" si="117"/>
        <v>0.28000000000000003</v>
      </c>
      <c r="K359" s="7">
        <f t="shared" si="118"/>
        <v>18.59</v>
      </c>
      <c r="L359" s="7">
        <f t="shared" si="119"/>
        <v>108</v>
      </c>
      <c r="M359" s="7">
        <f t="shared" si="120"/>
        <v>156</v>
      </c>
      <c r="O359">
        <f t="shared" si="121"/>
        <v>0.19062500000000002</v>
      </c>
      <c r="P359">
        <f t="shared" si="122"/>
        <v>190.62500000000003</v>
      </c>
      <c r="V359">
        <f t="shared" si="106"/>
        <v>654.34195036890537</v>
      </c>
      <c r="W359">
        <f t="shared" si="107"/>
        <v>119.20372819750453</v>
      </c>
      <c r="AE359">
        <f t="shared" si="108"/>
        <v>0.5679490126566209</v>
      </c>
      <c r="AF359">
        <f t="shared" si="109"/>
        <v>0.55473361529090037</v>
      </c>
      <c r="AG359">
        <f t="shared" si="110"/>
        <v>0.55783964975585265</v>
      </c>
      <c r="AI359">
        <f t="shared" si="111"/>
        <v>0.20541750063258365</v>
      </c>
      <c r="AJ359">
        <f t="shared" si="112"/>
        <v>18.344724170700939</v>
      </c>
      <c r="AL359">
        <f t="shared" si="113"/>
        <v>0.21031115376970094</v>
      </c>
      <c r="AM359">
        <f t="shared" si="114"/>
        <v>19.229186718266938</v>
      </c>
      <c r="AO359">
        <f t="shared" si="115"/>
        <v>0.20914014756342203</v>
      </c>
      <c r="AP359">
        <f t="shared" si="116"/>
        <v>19.015647795467721</v>
      </c>
    </row>
    <row r="360" spans="1:42" x14ac:dyDescent="0.2">
      <c r="A360" s="3">
        <v>360</v>
      </c>
      <c r="B360" s="3">
        <v>2.8099999999999999E-7</v>
      </c>
      <c r="C360" s="2">
        <v>1.864E-2</v>
      </c>
      <c r="D360" s="3">
        <v>154000</v>
      </c>
      <c r="E360" s="3">
        <v>107000000000</v>
      </c>
      <c r="F360" s="3">
        <v>97400000000</v>
      </c>
      <c r="G360" s="2">
        <v>0</v>
      </c>
      <c r="H360" s="3">
        <v>10800000000</v>
      </c>
      <c r="I360" s="2"/>
      <c r="J360" s="7">
        <f t="shared" si="117"/>
        <v>0.28099999999999997</v>
      </c>
      <c r="K360" s="7">
        <f t="shared" si="118"/>
        <v>18.64</v>
      </c>
      <c r="L360" s="7">
        <f t="shared" si="119"/>
        <v>107</v>
      </c>
      <c r="M360" s="7">
        <f t="shared" si="120"/>
        <v>154</v>
      </c>
      <c r="O360">
        <f t="shared" si="121"/>
        <v>0.19022077922077918</v>
      </c>
      <c r="P360">
        <f t="shared" si="122"/>
        <v>190.22077922077918</v>
      </c>
      <c r="V360">
        <f t="shared" si="106"/>
        <v>653.72688177840496</v>
      </c>
      <c r="W360">
        <f t="shared" si="107"/>
        <v>117.7861919805538</v>
      </c>
      <c r="AE360">
        <f t="shared" si="108"/>
        <v>0.56066761505845908</v>
      </c>
      <c r="AF360">
        <f t="shared" si="109"/>
        <v>0.5476216458640939</v>
      </c>
      <c r="AG360">
        <f t="shared" si="110"/>
        <v>0.55068785937436737</v>
      </c>
      <c r="AI360">
        <f t="shared" si="111"/>
        <v>0.20882842202527679</v>
      </c>
      <c r="AJ360">
        <f t="shared" si="112"/>
        <v>18.874934769786655</v>
      </c>
      <c r="AL360">
        <f t="shared" si="113"/>
        <v>0.21380333341021823</v>
      </c>
      <c r="AM360">
        <f t="shared" si="114"/>
        <v>19.784960602624771</v>
      </c>
      <c r="AO360">
        <f t="shared" si="115"/>
        <v>0.21261288285227656</v>
      </c>
      <c r="AP360">
        <f t="shared" si="116"/>
        <v>19.565249845398828</v>
      </c>
    </row>
    <row r="361" spans="1:42" x14ac:dyDescent="0.2">
      <c r="A361" s="3">
        <v>360</v>
      </c>
      <c r="B361" s="3">
        <v>2.8099999999999999E-7</v>
      </c>
      <c r="C361" s="2">
        <v>1.8689999999999998E-2</v>
      </c>
      <c r="D361" s="3">
        <v>169000</v>
      </c>
      <c r="E361" s="3">
        <v>115000000000</v>
      </c>
      <c r="F361" s="3">
        <v>104000000000</v>
      </c>
      <c r="G361" s="3">
        <v>6580000000</v>
      </c>
      <c r="H361" s="3">
        <v>10300000000</v>
      </c>
      <c r="I361" s="2"/>
      <c r="J361" s="7">
        <f t="shared" si="117"/>
        <v>0.28099999999999997</v>
      </c>
      <c r="K361" s="7">
        <f t="shared" si="118"/>
        <v>18.689999999999998</v>
      </c>
      <c r="L361" s="7">
        <f t="shared" si="119"/>
        <v>115.00000000000001</v>
      </c>
      <c r="M361" s="7">
        <f t="shared" si="120"/>
        <v>169</v>
      </c>
      <c r="O361">
        <f t="shared" si="121"/>
        <v>0.19805621301775145</v>
      </c>
      <c r="P361">
        <f t="shared" si="122"/>
        <v>198.05621301775145</v>
      </c>
      <c r="V361">
        <f t="shared" si="106"/>
        <v>665.52245349751286</v>
      </c>
      <c r="W361">
        <f t="shared" si="107"/>
        <v>126.96791754497249</v>
      </c>
      <c r="AE361">
        <f t="shared" si="108"/>
        <v>0.61527809704467262</v>
      </c>
      <c r="AF361">
        <f t="shared" si="109"/>
        <v>0.60096141656514201</v>
      </c>
      <c r="AG361">
        <f t="shared" si="110"/>
        <v>0.60432628723550696</v>
      </c>
      <c r="AI361">
        <f t="shared" si="111"/>
        <v>0.19029335498161318</v>
      </c>
      <c r="AJ361">
        <f t="shared" si="112"/>
        <v>15.715090458399301</v>
      </c>
      <c r="AL361">
        <f t="shared" si="113"/>
        <v>0.19482670618445924</v>
      </c>
      <c r="AM361">
        <f t="shared" si="114"/>
        <v>16.472769277264586</v>
      </c>
      <c r="AO361">
        <f t="shared" si="115"/>
        <v>0.19374191691864256</v>
      </c>
      <c r="AP361">
        <f t="shared" si="116"/>
        <v>16.289840198748454</v>
      </c>
    </row>
    <row r="362" spans="1:42" x14ac:dyDescent="0.2">
      <c r="A362" s="3">
        <v>360</v>
      </c>
      <c r="B362" s="3">
        <v>2.8200000000000001E-7</v>
      </c>
      <c r="C362" s="2">
        <v>1.874E-2</v>
      </c>
      <c r="D362" s="3">
        <v>146000</v>
      </c>
      <c r="E362" s="3">
        <v>102000000000</v>
      </c>
      <c r="F362" s="3">
        <v>93400000000</v>
      </c>
      <c r="G362" s="3">
        <v>1200000000</v>
      </c>
      <c r="H362" s="3">
        <v>11100000000</v>
      </c>
      <c r="I362" s="2"/>
      <c r="J362" s="7">
        <f t="shared" si="117"/>
        <v>0.28200000000000003</v>
      </c>
      <c r="K362" s="7">
        <f t="shared" si="118"/>
        <v>18.739999999999998</v>
      </c>
      <c r="L362" s="7">
        <f t="shared" si="119"/>
        <v>102</v>
      </c>
      <c r="M362" s="7">
        <f t="shared" si="120"/>
        <v>146</v>
      </c>
      <c r="O362">
        <f t="shared" si="121"/>
        <v>0.1857328767123288</v>
      </c>
      <c r="P362">
        <f t="shared" si="122"/>
        <v>185.73287671232879</v>
      </c>
      <c r="V362">
        <f t="shared" si="106"/>
        <v>646.84852729536794</v>
      </c>
      <c r="W362">
        <f t="shared" si="107"/>
        <v>112.8548600168124</v>
      </c>
      <c r="AE362">
        <f t="shared" si="108"/>
        <v>0.53154202466581191</v>
      </c>
      <c r="AF362">
        <f t="shared" si="109"/>
        <v>0.51917376815686822</v>
      </c>
      <c r="AG362">
        <f t="shared" si="110"/>
        <v>0.52208069784842615</v>
      </c>
      <c r="AI362">
        <f t="shared" si="111"/>
        <v>0.22105495811713841</v>
      </c>
      <c r="AJ362">
        <f t="shared" si="112"/>
        <v>21.112753057066271</v>
      </c>
      <c r="AL362">
        <f t="shared" si="113"/>
        <v>0.22632114179639642</v>
      </c>
      <c r="AM362">
        <f t="shared" si="114"/>
        <v>22.13067184293763</v>
      </c>
      <c r="AO362">
        <f t="shared" si="115"/>
        <v>0.22506099245621483</v>
      </c>
      <c r="AP362">
        <f t="shared" si="116"/>
        <v>21.884912108248766</v>
      </c>
    </row>
    <row r="363" spans="1:42" x14ac:dyDescent="0.2">
      <c r="A363" s="3">
        <v>360</v>
      </c>
      <c r="B363" s="3">
        <v>2.8200000000000001E-7</v>
      </c>
      <c r="C363" s="2">
        <v>1.8790000000000001E-2</v>
      </c>
      <c r="D363" s="3">
        <v>165000</v>
      </c>
      <c r="E363" s="3">
        <v>113000000000</v>
      </c>
      <c r="F363" s="3">
        <v>103000000000</v>
      </c>
      <c r="G363" s="3">
        <v>10700000000</v>
      </c>
      <c r="H363" s="3">
        <v>10500000000</v>
      </c>
      <c r="I363" s="2"/>
      <c r="J363" s="7">
        <f t="shared" si="117"/>
        <v>0.28200000000000003</v>
      </c>
      <c r="K363" s="7">
        <f t="shared" si="118"/>
        <v>18.790000000000003</v>
      </c>
      <c r="L363" s="7">
        <f t="shared" si="119"/>
        <v>113</v>
      </c>
      <c r="M363" s="7">
        <f t="shared" si="120"/>
        <v>165</v>
      </c>
      <c r="O363">
        <f t="shared" si="121"/>
        <v>0.19659090909090909</v>
      </c>
      <c r="P363">
        <f t="shared" si="122"/>
        <v>196.59090909090909</v>
      </c>
      <c r="V363">
        <f t="shared" si="106"/>
        <v>663.33659206650384</v>
      </c>
      <c r="W363">
        <f t="shared" si="107"/>
        <v>124.37124830244376</v>
      </c>
      <c r="AE363">
        <f t="shared" si="108"/>
        <v>0.60071530184834898</v>
      </c>
      <c r="AF363">
        <f t="shared" si="109"/>
        <v>0.58673747771152918</v>
      </c>
      <c r="AG363">
        <f t="shared" si="110"/>
        <v>0.59002270647253641</v>
      </c>
      <c r="AI363">
        <f t="shared" si="111"/>
        <v>0.19560014475819523</v>
      </c>
      <c r="AJ363">
        <f t="shared" si="112"/>
        <v>16.574478962222482</v>
      </c>
      <c r="AL363">
        <f t="shared" si="113"/>
        <v>0.20025991940772045</v>
      </c>
      <c r="AM363">
        <f t="shared" si="114"/>
        <v>17.373591870713074</v>
      </c>
      <c r="AO363">
        <f t="shared" si="115"/>
        <v>0.19914487817337798</v>
      </c>
      <c r="AP363">
        <f t="shared" si="116"/>
        <v>17.180659213311547</v>
      </c>
    </row>
    <row r="364" spans="1:42" x14ac:dyDescent="0.2">
      <c r="A364" s="3">
        <v>360</v>
      </c>
      <c r="B364" s="3">
        <v>2.8299999999999998E-7</v>
      </c>
      <c r="C364" s="2">
        <v>1.8849999999999999E-2</v>
      </c>
      <c r="D364" s="3">
        <v>175000</v>
      </c>
      <c r="E364" s="3">
        <v>119000000000</v>
      </c>
      <c r="F364" s="3">
        <v>107000000000</v>
      </c>
      <c r="G364" s="3">
        <v>3550000000</v>
      </c>
      <c r="H364" s="3">
        <v>10200000000</v>
      </c>
      <c r="I364" s="2"/>
      <c r="J364" s="7">
        <f t="shared" si="117"/>
        <v>0.28299999999999997</v>
      </c>
      <c r="K364" s="7">
        <f t="shared" si="118"/>
        <v>18.849999999999998</v>
      </c>
      <c r="L364" s="7">
        <f t="shared" si="119"/>
        <v>119.00000000000001</v>
      </c>
      <c r="M364" s="7">
        <f t="shared" si="120"/>
        <v>175</v>
      </c>
      <c r="O364">
        <f t="shared" si="121"/>
        <v>0.20221428571428568</v>
      </c>
      <c r="P364">
        <f t="shared" si="122"/>
        <v>202.21428571428567</v>
      </c>
      <c r="V364">
        <f t="shared" si="106"/>
        <v>671.67663722407428</v>
      </c>
      <c r="W364">
        <f t="shared" si="107"/>
        <v>130.27101904515047</v>
      </c>
      <c r="AE364">
        <f t="shared" si="108"/>
        <v>0.63712228983915808</v>
      </c>
      <c r="AF364">
        <f t="shared" si="109"/>
        <v>0.62229732484556122</v>
      </c>
      <c r="AG364">
        <f t="shared" si="110"/>
        <v>0.62578165837996291</v>
      </c>
      <c r="AI364">
        <f t="shared" si="111"/>
        <v>0.18507697587606736</v>
      </c>
      <c r="AJ364">
        <f t="shared" si="112"/>
        <v>14.781423165551203</v>
      </c>
      <c r="AL364">
        <f t="shared" si="113"/>
        <v>0.18948605748213793</v>
      </c>
      <c r="AM364">
        <f t="shared" si="114"/>
        <v>15.494086657681272</v>
      </c>
      <c r="AO364">
        <f t="shared" si="115"/>
        <v>0.18843100478836639</v>
      </c>
      <c r="AP364">
        <f t="shared" si="116"/>
        <v>15.322025788799282</v>
      </c>
    </row>
    <row r="365" spans="1:42" x14ac:dyDescent="0.2">
      <c r="A365" s="3">
        <v>360</v>
      </c>
      <c r="B365" s="3">
        <v>2.84E-7</v>
      </c>
      <c r="C365" s="2">
        <v>1.89E-2</v>
      </c>
      <c r="D365" s="3">
        <v>162000</v>
      </c>
      <c r="E365" s="3">
        <v>111000000000</v>
      </c>
      <c r="F365" s="3">
        <v>101000000000</v>
      </c>
      <c r="G365" s="3">
        <v>8670000000</v>
      </c>
      <c r="H365" s="3">
        <v>10600000000</v>
      </c>
      <c r="I365" s="2"/>
      <c r="J365" s="7">
        <f t="shared" si="117"/>
        <v>0.28399999999999997</v>
      </c>
      <c r="K365" s="7">
        <f t="shared" si="118"/>
        <v>18.899999999999999</v>
      </c>
      <c r="L365" s="7">
        <f t="shared" si="119"/>
        <v>111</v>
      </c>
      <c r="M365" s="7">
        <f t="shared" si="120"/>
        <v>162</v>
      </c>
      <c r="O365">
        <f t="shared" si="121"/>
        <v>0.19649999999999998</v>
      </c>
      <c r="P365">
        <f t="shared" si="122"/>
        <v>196.49999999999997</v>
      </c>
      <c r="V365">
        <f t="shared" si="106"/>
        <v>663.2006802832434</v>
      </c>
      <c r="W365">
        <f t="shared" si="107"/>
        <v>122.13497725214346</v>
      </c>
      <c r="AE365">
        <f t="shared" si="108"/>
        <v>0.58979320545110636</v>
      </c>
      <c r="AF365">
        <f t="shared" si="109"/>
        <v>0.57606952357131957</v>
      </c>
      <c r="AG365">
        <f t="shared" si="110"/>
        <v>0.57929502090030849</v>
      </c>
      <c r="AI365">
        <f t="shared" si="111"/>
        <v>0.20063529426865043</v>
      </c>
      <c r="AJ365">
        <f t="shared" si="112"/>
        <v>17.294689453859469</v>
      </c>
      <c r="AL365">
        <f t="shared" si="113"/>
        <v>0.20541502108934812</v>
      </c>
      <c r="AM365">
        <f t="shared" si="114"/>
        <v>18.128526199039541</v>
      </c>
      <c r="AO365">
        <f t="shared" si="115"/>
        <v>0.20427127640321535</v>
      </c>
      <c r="AP365">
        <f t="shared" si="116"/>
        <v>17.927210042865195</v>
      </c>
    </row>
    <row r="366" spans="1:42" x14ac:dyDescent="0.2">
      <c r="A366" s="3">
        <v>360</v>
      </c>
      <c r="B366" s="3">
        <v>2.84E-7</v>
      </c>
      <c r="C366" s="2">
        <v>1.8950000000000002E-2</v>
      </c>
      <c r="D366" s="3">
        <v>198000</v>
      </c>
      <c r="E366" s="3">
        <v>132000000000</v>
      </c>
      <c r="F366" s="3">
        <v>118000000000</v>
      </c>
      <c r="G366" s="3">
        <v>8160000000</v>
      </c>
      <c r="H366" s="3">
        <v>9740000000</v>
      </c>
      <c r="I366" s="2"/>
      <c r="J366" s="7">
        <f t="shared" si="117"/>
        <v>0.28399999999999997</v>
      </c>
      <c r="K366" s="7">
        <f t="shared" si="118"/>
        <v>18.950000000000003</v>
      </c>
      <c r="L366" s="7">
        <f t="shared" si="119"/>
        <v>132</v>
      </c>
      <c r="M366" s="7">
        <f t="shared" si="120"/>
        <v>198</v>
      </c>
      <c r="O366">
        <f t="shared" si="121"/>
        <v>0.21221969696969695</v>
      </c>
      <c r="P366">
        <f t="shared" si="122"/>
        <v>212.21969696969694</v>
      </c>
      <c r="V366">
        <f t="shared" si="106"/>
        <v>686.20215948000532</v>
      </c>
      <c r="W366">
        <f t="shared" si="107"/>
        <v>144.27235273497371</v>
      </c>
      <c r="AE366">
        <f t="shared" si="108"/>
        <v>0.7208583622180188</v>
      </c>
      <c r="AF366">
        <f t="shared" si="109"/>
        <v>0.70408497325383501</v>
      </c>
      <c r="AG366">
        <f t="shared" si="110"/>
        <v>0.70802724776704373</v>
      </c>
      <c r="AI366">
        <f t="shared" si="111"/>
        <v>0.16415614985616855</v>
      </c>
      <c r="AJ366">
        <f t="shared" si="112"/>
        <v>11.60806488136849</v>
      </c>
      <c r="AL366">
        <f t="shared" si="113"/>
        <v>0.16806683543673936</v>
      </c>
      <c r="AM366">
        <f t="shared" si="114"/>
        <v>12.167729804195965</v>
      </c>
      <c r="AO366">
        <f t="shared" si="115"/>
        <v>0.16713104432990347</v>
      </c>
      <c r="AP366">
        <f t="shared" si="116"/>
        <v>12.032607921332778</v>
      </c>
    </row>
    <row r="367" spans="1:42" x14ac:dyDescent="0.2">
      <c r="A367" s="3">
        <v>370</v>
      </c>
      <c r="B367" s="3">
        <v>2.8500000000000002E-7</v>
      </c>
      <c r="C367" s="2">
        <v>1.9E-2</v>
      </c>
      <c r="D367" s="3">
        <v>179000</v>
      </c>
      <c r="E367" s="3">
        <v>121000000000</v>
      </c>
      <c r="F367" s="3">
        <v>109000000000</v>
      </c>
      <c r="G367" s="2">
        <v>0</v>
      </c>
      <c r="H367" s="3">
        <v>10100000000</v>
      </c>
      <c r="I367" s="2"/>
      <c r="J367" s="7">
        <f t="shared" si="117"/>
        <v>0.28500000000000003</v>
      </c>
      <c r="K367" s="7">
        <f t="shared" si="118"/>
        <v>19</v>
      </c>
      <c r="L367" s="7">
        <f t="shared" si="119"/>
        <v>121.00000000000001</v>
      </c>
      <c r="M367" s="7">
        <f t="shared" si="120"/>
        <v>179</v>
      </c>
      <c r="O367">
        <f t="shared" si="121"/>
        <v>0.20539106145251401</v>
      </c>
      <c r="P367">
        <f t="shared" si="122"/>
        <v>205.39106145251401</v>
      </c>
      <c r="V367">
        <f t="shared" si="106"/>
        <v>676.33109901735088</v>
      </c>
      <c r="W367">
        <f t="shared" si="107"/>
        <v>132.33163480140948</v>
      </c>
      <c r="AE367">
        <f t="shared" si="108"/>
        <v>0.65168508503548161</v>
      </c>
      <c r="AF367">
        <f t="shared" si="109"/>
        <v>0.63652126369917406</v>
      </c>
      <c r="AG367">
        <f t="shared" si="110"/>
        <v>0.64008523914293347</v>
      </c>
      <c r="AI367">
        <f t="shared" si="111"/>
        <v>0.18221991376944671</v>
      </c>
      <c r="AJ367">
        <f t="shared" si="112"/>
        <v>14.240608008216114</v>
      </c>
      <c r="AL367">
        <f t="shared" si="113"/>
        <v>0.18656093169594784</v>
      </c>
      <c r="AM367">
        <f t="shared" si="114"/>
        <v>14.927196932673864</v>
      </c>
      <c r="AO367">
        <f t="shared" si="115"/>
        <v>0.18552216601495897</v>
      </c>
      <c r="AP367">
        <f t="shared" si="116"/>
        <v>14.761431338937808</v>
      </c>
    </row>
    <row r="368" spans="1:42" x14ac:dyDescent="0.2">
      <c r="A368" s="3">
        <v>370</v>
      </c>
      <c r="B368" s="3">
        <v>2.8599999999999999E-7</v>
      </c>
      <c r="C368" s="2">
        <v>1.9060000000000001E-2</v>
      </c>
      <c r="D368" s="3">
        <v>172000</v>
      </c>
      <c r="E368" s="3">
        <v>117000000000</v>
      </c>
      <c r="F368" s="3">
        <v>105000000000</v>
      </c>
      <c r="G368" s="3">
        <v>11000000000</v>
      </c>
      <c r="H368" s="3">
        <v>10300000000</v>
      </c>
      <c r="I368" s="2"/>
      <c r="J368" s="7">
        <f t="shared" si="117"/>
        <v>0.28599999999999998</v>
      </c>
      <c r="K368" s="7">
        <f t="shared" si="118"/>
        <v>19.060000000000002</v>
      </c>
      <c r="L368" s="7">
        <f t="shared" si="119"/>
        <v>117.00000000000001</v>
      </c>
      <c r="M368" s="7">
        <f t="shared" si="120"/>
        <v>172</v>
      </c>
      <c r="O368">
        <f t="shared" si="121"/>
        <v>0.20288953488372091</v>
      </c>
      <c r="P368">
        <f t="shared" si="122"/>
        <v>202.8895348837209</v>
      </c>
      <c r="V368">
        <f t="shared" si="106"/>
        <v>672.66937017503687</v>
      </c>
      <c r="W368">
        <f t="shared" si="107"/>
        <v>127.84884196172294</v>
      </c>
      <c r="AE368">
        <f t="shared" si="108"/>
        <v>0.62620019344191535</v>
      </c>
      <c r="AF368">
        <f t="shared" si="109"/>
        <v>0.61162937070535162</v>
      </c>
      <c r="AG368">
        <f t="shared" si="110"/>
        <v>0.61505397280773488</v>
      </c>
      <c r="AI368">
        <f t="shared" si="111"/>
        <v>0.19030122940663102</v>
      </c>
      <c r="AJ368">
        <f t="shared" si="112"/>
        <v>15.472019195840696</v>
      </c>
      <c r="AL368">
        <f t="shared" si="113"/>
        <v>0.19483476820159837</v>
      </c>
      <c r="AM368">
        <f t="shared" si="114"/>
        <v>16.217978709137675</v>
      </c>
      <c r="AO368">
        <f t="shared" si="115"/>
        <v>0.19374993404671173</v>
      </c>
      <c r="AP368">
        <f t="shared" si="116"/>
        <v>16.037879064037242</v>
      </c>
    </row>
    <row r="369" spans="1:42" x14ac:dyDescent="0.2">
      <c r="A369" s="3">
        <v>370</v>
      </c>
      <c r="B369" s="3">
        <v>2.8700000000000002E-7</v>
      </c>
      <c r="C369" s="2">
        <v>1.9099999999999999E-2</v>
      </c>
      <c r="D369" s="3">
        <v>154000</v>
      </c>
      <c r="E369" s="3">
        <v>106000000000</v>
      </c>
      <c r="F369" s="3">
        <v>96400000000</v>
      </c>
      <c r="G369" s="3">
        <v>6080000000</v>
      </c>
      <c r="H369" s="3">
        <v>10800000000</v>
      </c>
      <c r="I369" s="2"/>
      <c r="J369" s="7">
        <f t="shared" si="117"/>
        <v>0.28700000000000003</v>
      </c>
      <c r="K369" s="7">
        <f t="shared" si="118"/>
        <v>19.099999999999998</v>
      </c>
      <c r="L369" s="7">
        <f t="shared" si="119"/>
        <v>106</v>
      </c>
      <c r="M369" s="7">
        <f t="shared" si="120"/>
        <v>154</v>
      </c>
      <c r="O369">
        <f t="shared" si="121"/>
        <v>0.19398051948051953</v>
      </c>
      <c r="P369">
        <f t="shared" si="122"/>
        <v>193.98051948051952</v>
      </c>
      <c r="V369">
        <f t="shared" si="106"/>
        <v>659.41995515883559</v>
      </c>
      <c r="W369">
        <f t="shared" si="107"/>
        <v>116.7692900368065</v>
      </c>
      <c r="AE369">
        <f t="shared" si="108"/>
        <v>0.56066761505845908</v>
      </c>
      <c r="AF369">
        <f t="shared" si="109"/>
        <v>0.5476216458640939</v>
      </c>
      <c r="AG369">
        <f t="shared" si="110"/>
        <v>0.55068785937436737</v>
      </c>
      <c r="AI369">
        <f t="shared" si="111"/>
        <v>0.21328739189058524</v>
      </c>
      <c r="AJ369">
        <f t="shared" si="112"/>
        <v>19.340732516251347</v>
      </c>
      <c r="AL369">
        <f t="shared" si="113"/>
        <v>0.21836852914139732</v>
      </c>
      <c r="AM369">
        <f t="shared" si="114"/>
        <v>20.273216068140187</v>
      </c>
      <c r="AO369">
        <f t="shared" si="115"/>
        <v>0.21715265971033235</v>
      </c>
      <c r="AP369">
        <f t="shared" si="116"/>
        <v>20.048083264330341</v>
      </c>
    </row>
    <row r="370" spans="1:42" x14ac:dyDescent="0.2">
      <c r="A370" s="3">
        <v>370</v>
      </c>
      <c r="B370" s="3">
        <v>2.8700000000000002E-7</v>
      </c>
      <c r="C370" s="2">
        <v>1.916E-2</v>
      </c>
      <c r="D370" s="3">
        <v>166000</v>
      </c>
      <c r="E370" s="3">
        <v>113000000000</v>
      </c>
      <c r="F370" s="3">
        <v>102000000000</v>
      </c>
      <c r="G370" s="3">
        <v>1420000000</v>
      </c>
      <c r="H370" s="3">
        <v>10500000000</v>
      </c>
      <c r="I370" s="2"/>
      <c r="J370" s="7">
        <f t="shared" si="117"/>
        <v>0.28700000000000003</v>
      </c>
      <c r="K370" s="7">
        <f t="shared" si="118"/>
        <v>19.16</v>
      </c>
      <c r="L370" s="7">
        <f t="shared" si="119"/>
        <v>113</v>
      </c>
      <c r="M370" s="7">
        <f t="shared" si="120"/>
        <v>166</v>
      </c>
      <c r="O370">
        <f t="shared" si="121"/>
        <v>0.20043373493975908</v>
      </c>
      <c r="P370">
        <f t="shared" si="122"/>
        <v>200.43373493975909</v>
      </c>
      <c r="V370">
        <f t="shared" si="106"/>
        <v>669.05003292522849</v>
      </c>
      <c r="W370">
        <f t="shared" si="107"/>
        <v>124.05649191452306</v>
      </c>
      <c r="AE370">
        <f t="shared" si="108"/>
        <v>0.60435600064742989</v>
      </c>
      <c r="AF370">
        <f t="shared" si="109"/>
        <v>0.59029346242493241</v>
      </c>
      <c r="AG370">
        <f t="shared" si="110"/>
        <v>0.59359860166327905</v>
      </c>
      <c r="AI370">
        <f t="shared" si="111"/>
        <v>0.19786902621174776</v>
      </c>
      <c r="AJ370">
        <f t="shared" si="112"/>
        <v>16.697841016617641</v>
      </c>
      <c r="AL370">
        <f t="shared" si="113"/>
        <v>0.2025828523359951</v>
      </c>
      <c r="AM370">
        <f t="shared" si="114"/>
        <v>17.502901636062507</v>
      </c>
      <c r="AO370">
        <f t="shared" si="115"/>
        <v>0.20145487708066981</v>
      </c>
      <c r="AP370">
        <f t="shared" si="116"/>
        <v>17.308533001757503</v>
      </c>
    </row>
    <row r="371" spans="1:42" x14ac:dyDescent="0.2">
      <c r="A371" s="3">
        <v>370</v>
      </c>
      <c r="B371" s="3">
        <v>2.8799999999999998E-7</v>
      </c>
      <c r="C371" s="2">
        <v>1.9210000000000001E-2</v>
      </c>
      <c r="D371" s="3">
        <v>172000</v>
      </c>
      <c r="E371" s="3">
        <v>116000000000</v>
      </c>
      <c r="F371" s="3">
        <v>105000000000</v>
      </c>
      <c r="G371" s="3">
        <v>4420000000</v>
      </c>
      <c r="H371" s="3">
        <v>10300000000</v>
      </c>
      <c r="I371" s="2"/>
      <c r="J371" s="7">
        <f t="shared" si="117"/>
        <v>0.28799999999999998</v>
      </c>
      <c r="K371" s="7">
        <f t="shared" si="118"/>
        <v>19.21</v>
      </c>
      <c r="L371" s="7">
        <f t="shared" si="119"/>
        <v>116.00000000000001</v>
      </c>
      <c r="M371" s="7">
        <f t="shared" si="120"/>
        <v>172</v>
      </c>
      <c r="O371">
        <f t="shared" si="121"/>
        <v>0.20423546511627905</v>
      </c>
      <c r="P371">
        <f t="shared" si="122"/>
        <v>204.23546511627904</v>
      </c>
      <c r="V371">
        <f t="shared" si="106"/>
        <v>674.64264494935605</v>
      </c>
      <c r="W371">
        <f t="shared" si="107"/>
        <v>127.4748945146446</v>
      </c>
      <c r="AE371">
        <f t="shared" si="108"/>
        <v>0.62620019344191535</v>
      </c>
      <c r="AF371">
        <f t="shared" si="109"/>
        <v>0.61162937070535162</v>
      </c>
      <c r="AG371">
        <f t="shared" si="110"/>
        <v>0.61505397280773488</v>
      </c>
      <c r="AI371">
        <f t="shared" si="111"/>
        <v>0.19163200723464943</v>
      </c>
      <c r="AJ371">
        <f t="shared" si="112"/>
        <v>15.593782201054552</v>
      </c>
      <c r="AL371">
        <f t="shared" si="113"/>
        <v>0.19619724909811304</v>
      </c>
      <c r="AM371">
        <f t="shared" si="114"/>
        <v>16.34561232961882</v>
      </c>
      <c r="AO371">
        <f t="shared" si="115"/>
        <v>0.19510482869039503</v>
      </c>
      <c r="AP371">
        <f t="shared" si="116"/>
        <v>16.164095321099445</v>
      </c>
    </row>
    <row r="372" spans="1:42" x14ac:dyDescent="0.2">
      <c r="A372" s="3">
        <v>370</v>
      </c>
      <c r="B372" s="3">
        <v>2.8900000000000001E-7</v>
      </c>
      <c r="C372" s="2">
        <v>1.9259999999999999E-2</v>
      </c>
      <c r="D372" s="3">
        <v>169000</v>
      </c>
      <c r="E372" s="3">
        <v>114000000000</v>
      </c>
      <c r="F372" s="3">
        <v>103000000000</v>
      </c>
      <c r="G372" s="3">
        <v>930000000</v>
      </c>
      <c r="H372" s="3">
        <v>10400000000</v>
      </c>
      <c r="I372" s="2"/>
      <c r="J372" s="7">
        <f t="shared" si="117"/>
        <v>0.28900000000000003</v>
      </c>
      <c r="K372" s="7">
        <f t="shared" si="118"/>
        <v>19.259999999999998</v>
      </c>
      <c r="L372" s="7">
        <f t="shared" si="119"/>
        <v>114</v>
      </c>
      <c r="M372" s="7">
        <f t="shared" si="120"/>
        <v>169</v>
      </c>
      <c r="O372">
        <f t="shared" si="121"/>
        <v>0.20352662721893494</v>
      </c>
      <c r="P372">
        <f t="shared" si="122"/>
        <v>203.52662721893495</v>
      </c>
      <c r="V372">
        <f t="shared" si="106"/>
        <v>673.60432017754329</v>
      </c>
      <c r="W372">
        <f t="shared" si="107"/>
        <v>125.44456362412902</v>
      </c>
      <c r="AE372">
        <f t="shared" si="108"/>
        <v>0.61527809704467262</v>
      </c>
      <c r="AF372">
        <f t="shared" si="109"/>
        <v>0.60096141656514201</v>
      </c>
      <c r="AG372">
        <f t="shared" si="110"/>
        <v>0.60432628723550696</v>
      </c>
      <c r="AI372">
        <f t="shared" si="111"/>
        <v>0.19571095939390112</v>
      </c>
      <c r="AJ372">
        <f t="shared" si="112"/>
        <v>16.194362880084032</v>
      </c>
      <c r="AL372">
        <f t="shared" si="113"/>
        <v>0.20037337397618765</v>
      </c>
      <c r="AM372">
        <f t="shared" si="114"/>
        <v>16.975149078657886</v>
      </c>
      <c r="AO372">
        <f t="shared" si="115"/>
        <v>0.1992577010302054</v>
      </c>
      <c r="AP372">
        <f t="shared" si="116"/>
        <v>16.786641103686208</v>
      </c>
    </row>
    <row r="373" spans="1:42" x14ac:dyDescent="0.2">
      <c r="A373" s="3">
        <v>370</v>
      </c>
      <c r="B373" s="3">
        <v>2.8900000000000001E-7</v>
      </c>
      <c r="C373" s="2">
        <v>1.9310000000000001E-2</v>
      </c>
      <c r="D373" s="3">
        <v>164000</v>
      </c>
      <c r="E373" s="3">
        <v>111000000000</v>
      </c>
      <c r="F373" s="3">
        <v>101000000000</v>
      </c>
      <c r="G373" s="3">
        <v>8720000000</v>
      </c>
      <c r="H373" s="3">
        <v>10500000000</v>
      </c>
      <c r="I373" s="2"/>
      <c r="J373" s="7">
        <f t="shared" si="117"/>
        <v>0.28900000000000003</v>
      </c>
      <c r="K373" s="7">
        <f t="shared" si="118"/>
        <v>19.310000000000002</v>
      </c>
      <c r="L373" s="7">
        <f t="shared" si="119"/>
        <v>111</v>
      </c>
      <c r="M373" s="7">
        <f t="shared" si="120"/>
        <v>164</v>
      </c>
      <c r="O373">
        <f t="shared" si="121"/>
        <v>0.20069207317073173</v>
      </c>
      <c r="P373">
        <f t="shared" si="122"/>
        <v>200.69207317073173</v>
      </c>
      <c r="V373">
        <f t="shared" si="106"/>
        <v>669.43192793171647</v>
      </c>
      <c r="W373">
        <f t="shared" si="107"/>
        <v>122.49191677090757</v>
      </c>
      <c r="AE373">
        <f t="shared" si="108"/>
        <v>0.59707460304926807</v>
      </c>
      <c r="AF373">
        <f t="shared" si="109"/>
        <v>0.58318149299812594</v>
      </c>
      <c r="AG373">
        <f t="shared" si="110"/>
        <v>0.58644681128179377</v>
      </c>
      <c r="AI373">
        <f t="shared" si="111"/>
        <v>0.20167775693639814</v>
      </c>
      <c r="AJ373">
        <f t="shared" si="112"/>
        <v>17.241520813509908</v>
      </c>
      <c r="AL373">
        <f t="shared" si="113"/>
        <v>0.20648231830472993</v>
      </c>
      <c r="AM373">
        <f t="shared" si="114"/>
        <v>18.072794114799702</v>
      </c>
      <c r="AO373">
        <f t="shared" si="115"/>
        <v>0.20533263093966286</v>
      </c>
      <c r="AP373">
        <f t="shared" si="116"/>
        <v>17.872096859955313</v>
      </c>
    </row>
    <row r="374" spans="1:42" x14ac:dyDescent="0.2">
      <c r="A374" s="3">
        <v>370</v>
      </c>
      <c r="B374" s="3">
        <v>2.91E-7</v>
      </c>
      <c r="C374" s="2">
        <v>1.9369999999999998E-2</v>
      </c>
      <c r="D374" s="3">
        <v>177000</v>
      </c>
      <c r="E374" s="3">
        <v>118000000000</v>
      </c>
      <c r="F374" s="3">
        <v>107000000000</v>
      </c>
      <c r="G374" s="3">
        <v>1090000000</v>
      </c>
      <c r="H374" s="3">
        <v>10100000000</v>
      </c>
      <c r="I374" s="2"/>
      <c r="J374" s="7">
        <f t="shared" si="117"/>
        <v>0.29099999999999998</v>
      </c>
      <c r="K374" s="7">
        <f t="shared" si="118"/>
        <v>19.369999999999997</v>
      </c>
      <c r="L374" s="7">
        <f t="shared" si="119"/>
        <v>118.00000000000001</v>
      </c>
      <c r="M374" s="7">
        <f t="shared" si="120"/>
        <v>177</v>
      </c>
      <c r="O374">
        <f t="shared" si="121"/>
        <v>0.20892372881355931</v>
      </c>
      <c r="P374">
        <f t="shared" si="122"/>
        <v>208.92372881355931</v>
      </c>
      <c r="V374">
        <f t="shared" si="106"/>
        <v>681.46015106810603</v>
      </c>
      <c r="W374">
        <f t="shared" si="107"/>
        <v>129.86819531749143</v>
      </c>
      <c r="AE374">
        <f t="shared" si="108"/>
        <v>0.64440368743731991</v>
      </c>
      <c r="AF374">
        <f t="shared" si="109"/>
        <v>0.62940929427236769</v>
      </c>
      <c r="AG374">
        <f t="shared" si="110"/>
        <v>0.63293344876144819</v>
      </c>
      <c r="AI374">
        <f t="shared" si="111"/>
        <v>0.18815845154795732</v>
      </c>
      <c r="AJ374">
        <f t="shared" si="112"/>
        <v>14.847867423111525</v>
      </c>
      <c r="AL374">
        <f t="shared" si="113"/>
        <v>0.1926409430292442</v>
      </c>
      <c r="AM374">
        <f t="shared" si="114"/>
        <v>15.563734422515184</v>
      </c>
      <c r="AO374">
        <f t="shared" si="115"/>
        <v>0.19156832402722165</v>
      </c>
      <c r="AP374">
        <f t="shared" si="116"/>
        <v>15.390900119535546</v>
      </c>
    </row>
    <row r="375" spans="1:42" x14ac:dyDescent="0.2">
      <c r="A375" s="3">
        <v>370</v>
      </c>
      <c r="B375" s="3">
        <v>2.91E-7</v>
      </c>
      <c r="C375" s="2">
        <v>1.942E-2</v>
      </c>
      <c r="D375" s="3">
        <v>192000</v>
      </c>
      <c r="E375" s="3">
        <v>127000000000</v>
      </c>
      <c r="F375" s="3">
        <v>114000000000</v>
      </c>
      <c r="G375" s="3">
        <v>4010000000</v>
      </c>
      <c r="H375" s="3">
        <v>9840000000</v>
      </c>
      <c r="I375" s="2"/>
      <c r="J375" s="7">
        <f t="shared" si="117"/>
        <v>0.29099999999999998</v>
      </c>
      <c r="K375" s="7">
        <f t="shared" si="118"/>
        <v>19.419999999999998</v>
      </c>
      <c r="L375" s="7">
        <f t="shared" si="119"/>
        <v>127.00000000000001</v>
      </c>
      <c r="M375" s="7">
        <f t="shared" si="120"/>
        <v>192</v>
      </c>
      <c r="O375">
        <f t="shared" si="121"/>
        <v>0.21514062499999997</v>
      </c>
      <c r="P375">
        <f t="shared" si="122"/>
        <v>215.14062499999997</v>
      </c>
      <c r="V375">
        <f t="shared" si="106"/>
        <v>690.37041697911752</v>
      </c>
      <c r="W375">
        <f t="shared" si="107"/>
        <v>139.05578460338899</v>
      </c>
      <c r="AE375">
        <f t="shared" si="108"/>
        <v>0.69901416942353345</v>
      </c>
      <c r="AF375">
        <f t="shared" si="109"/>
        <v>0.68274906497341581</v>
      </c>
      <c r="AG375">
        <f t="shared" si="110"/>
        <v>0.68657187662258778</v>
      </c>
      <c r="AI375">
        <f t="shared" si="111"/>
        <v>0.17345857252077315</v>
      </c>
      <c r="AJ375">
        <f t="shared" si="112"/>
        <v>12.651084637606965</v>
      </c>
      <c r="AL375">
        <f t="shared" si="113"/>
        <v>0.1775908693550845</v>
      </c>
      <c r="AM375">
        <f t="shared" si="114"/>
        <v>13.261037147327555</v>
      </c>
      <c r="AO375">
        <f t="shared" si="115"/>
        <v>0.17660204871259497</v>
      </c>
      <c r="AP375">
        <f t="shared" si="116"/>
        <v>13.113774154402813</v>
      </c>
    </row>
    <row r="376" spans="1:42" x14ac:dyDescent="0.2">
      <c r="A376" s="3">
        <v>370</v>
      </c>
      <c r="B376" s="3">
        <v>2.9200000000000002E-7</v>
      </c>
      <c r="C376" s="2">
        <v>1.9470000000000001E-2</v>
      </c>
      <c r="D376" s="3">
        <v>152000</v>
      </c>
      <c r="E376" s="3">
        <v>103000000000</v>
      </c>
      <c r="F376" s="3">
        <v>94200000000</v>
      </c>
      <c r="G376" s="3">
        <v>8500000000</v>
      </c>
      <c r="H376" s="3">
        <v>10900000000</v>
      </c>
      <c r="I376" s="2"/>
      <c r="J376" s="7">
        <f t="shared" si="117"/>
        <v>0.29200000000000004</v>
      </c>
      <c r="K376" s="7">
        <f t="shared" si="118"/>
        <v>19.470000000000002</v>
      </c>
      <c r="L376" s="7">
        <f t="shared" si="119"/>
        <v>103</v>
      </c>
      <c r="M376" s="7">
        <f t="shared" si="120"/>
        <v>152</v>
      </c>
      <c r="O376">
        <f t="shared" si="121"/>
        <v>0.1959309210526316</v>
      </c>
      <c r="P376">
        <f t="shared" si="122"/>
        <v>195.93092105263159</v>
      </c>
      <c r="V376">
        <f t="shared" si="106"/>
        <v>662.34909349080385</v>
      </c>
      <c r="W376">
        <f t="shared" si="107"/>
        <v>114.74311771071397</v>
      </c>
      <c r="AE376">
        <f t="shared" si="108"/>
        <v>0.55338621746029726</v>
      </c>
      <c r="AF376">
        <f t="shared" si="109"/>
        <v>0.54050967643728753</v>
      </c>
      <c r="AG376">
        <f t="shared" si="110"/>
        <v>0.54353606899288198</v>
      </c>
      <c r="AI376">
        <f t="shared" si="111"/>
        <v>0.21985850537630289</v>
      </c>
      <c r="AJ376">
        <f t="shared" si="112"/>
        <v>20.237635459782965</v>
      </c>
      <c r="AL376">
        <f t="shared" si="113"/>
        <v>0.22509618600839798</v>
      </c>
      <c r="AM376">
        <f t="shared" si="114"/>
        <v>21.213361802077035</v>
      </c>
      <c r="AO376">
        <f t="shared" si="115"/>
        <v>0.22384285718536187</v>
      </c>
      <c r="AP376">
        <f t="shared" si="116"/>
        <v>20.977788738351869</v>
      </c>
    </row>
    <row r="377" spans="1:42" x14ac:dyDescent="0.2">
      <c r="A377" s="3">
        <v>380</v>
      </c>
      <c r="B377" s="3">
        <v>2.9299999999999999E-7</v>
      </c>
      <c r="C377" s="2">
        <v>1.9519999999999999E-2</v>
      </c>
      <c r="D377" s="3">
        <v>160000</v>
      </c>
      <c r="E377" s="3">
        <v>108000000000</v>
      </c>
      <c r="F377" s="3">
        <v>98200000000</v>
      </c>
      <c r="G377" s="3">
        <v>5040000000</v>
      </c>
      <c r="H377" s="3">
        <v>10600000000</v>
      </c>
      <c r="I377" s="2"/>
      <c r="J377" s="7">
        <f t="shared" si="117"/>
        <v>0.29299999999999998</v>
      </c>
      <c r="K377" s="7">
        <f t="shared" si="118"/>
        <v>19.52</v>
      </c>
      <c r="L377" s="7">
        <f t="shared" si="119"/>
        <v>108</v>
      </c>
      <c r="M377" s="7">
        <f t="shared" si="120"/>
        <v>160</v>
      </c>
      <c r="O377">
        <f t="shared" si="121"/>
        <v>0.20149999999999998</v>
      </c>
      <c r="P377">
        <f t="shared" si="122"/>
        <v>201.49999999999997</v>
      </c>
      <c r="V377">
        <f t="shared" si="106"/>
        <v>670.62450214005923</v>
      </c>
      <c r="W377">
        <f t="shared" si="107"/>
        <v>119.29179405868486</v>
      </c>
      <c r="AE377">
        <f t="shared" si="108"/>
        <v>0.58251180785294454</v>
      </c>
      <c r="AF377">
        <f t="shared" si="109"/>
        <v>0.5689575541445131</v>
      </c>
      <c r="AG377">
        <f t="shared" si="110"/>
        <v>0.57214323051882321</v>
      </c>
      <c r="AI377">
        <f t="shared" si="111"/>
        <v>0.20958087319004756</v>
      </c>
      <c r="AJ377">
        <f t="shared" si="112"/>
        <v>18.311370126754206</v>
      </c>
      <c r="AL377">
        <f t="shared" si="113"/>
        <v>0.21457371018985472</v>
      </c>
      <c r="AM377">
        <f t="shared" si="114"/>
        <v>19.194224560597366</v>
      </c>
      <c r="AO377">
        <f t="shared" si="115"/>
        <v>0.21337897019707353</v>
      </c>
      <c r="AP377">
        <f t="shared" si="116"/>
        <v>18.981073890385055</v>
      </c>
    </row>
    <row r="378" spans="1:42" x14ac:dyDescent="0.2">
      <c r="A378" s="3">
        <v>380</v>
      </c>
      <c r="B378" s="3">
        <v>2.9400000000000001E-7</v>
      </c>
      <c r="C378" s="2">
        <v>1.9570000000000001E-2</v>
      </c>
      <c r="D378" s="3">
        <v>181000</v>
      </c>
      <c r="E378" s="3">
        <v>120000000000</v>
      </c>
      <c r="F378" s="3">
        <v>108000000000</v>
      </c>
      <c r="G378" s="3">
        <v>2480000000</v>
      </c>
      <c r="H378" s="3">
        <v>10100000000</v>
      </c>
      <c r="I378" s="2"/>
      <c r="J378" s="7">
        <f t="shared" si="117"/>
        <v>0.29400000000000004</v>
      </c>
      <c r="K378" s="7">
        <f t="shared" si="118"/>
        <v>19.57</v>
      </c>
      <c r="L378" s="7">
        <f t="shared" si="119"/>
        <v>120.00000000000001</v>
      </c>
      <c r="M378" s="7">
        <f t="shared" si="120"/>
        <v>181</v>
      </c>
      <c r="O378">
        <f t="shared" si="121"/>
        <v>0.21290883977900557</v>
      </c>
      <c r="P378">
        <f t="shared" si="122"/>
        <v>212.90883977900558</v>
      </c>
      <c r="V378">
        <f t="shared" si="106"/>
        <v>687.18845414600582</v>
      </c>
      <c r="W378">
        <f t="shared" si="107"/>
        <v>131.69604269976807</v>
      </c>
      <c r="AE378">
        <f t="shared" si="108"/>
        <v>0.65896648263364344</v>
      </c>
      <c r="AF378">
        <f t="shared" si="109"/>
        <v>0.64363323312598053</v>
      </c>
      <c r="AG378">
        <f t="shared" si="110"/>
        <v>0.64723702952441875</v>
      </c>
      <c r="AI378">
        <f t="shared" si="111"/>
        <v>0.18589716355589617</v>
      </c>
      <c r="AJ378">
        <f t="shared" si="112"/>
        <v>14.34546628085193</v>
      </c>
      <c r="AL378">
        <f t="shared" si="113"/>
        <v>0.19032578446119899</v>
      </c>
      <c r="AM378">
        <f t="shared" si="114"/>
        <v>15.037110785000374</v>
      </c>
      <c r="AO378">
        <f t="shared" si="115"/>
        <v>0.18926605619275433</v>
      </c>
      <c r="AP378">
        <f t="shared" si="116"/>
        <v>14.870124604768888</v>
      </c>
    </row>
    <row r="379" spans="1:42" x14ac:dyDescent="0.2">
      <c r="A379" s="3">
        <v>380</v>
      </c>
      <c r="B379" s="3">
        <v>2.9400000000000001E-7</v>
      </c>
      <c r="C379" s="2">
        <v>1.9630000000000002E-2</v>
      </c>
      <c r="D379" s="3">
        <v>144000</v>
      </c>
      <c r="E379" s="3">
        <v>98400000000</v>
      </c>
      <c r="F379" s="3">
        <v>90200000000</v>
      </c>
      <c r="G379" s="3">
        <v>5900000000</v>
      </c>
      <c r="H379" s="3">
        <v>11200000000</v>
      </c>
      <c r="I379" s="2"/>
      <c r="J379" s="7">
        <f t="shared" si="117"/>
        <v>0.29400000000000004</v>
      </c>
      <c r="K379" s="7">
        <f t="shared" si="118"/>
        <v>19.630000000000003</v>
      </c>
      <c r="L379" s="7">
        <f t="shared" si="119"/>
        <v>98.4</v>
      </c>
      <c r="M379" s="7">
        <f t="shared" si="120"/>
        <v>144</v>
      </c>
      <c r="O379">
        <f t="shared" si="121"/>
        <v>0.19176041666666668</v>
      </c>
      <c r="P379">
        <f t="shared" si="122"/>
        <v>191.76041666666669</v>
      </c>
      <c r="V379">
        <f t="shared" si="106"/>
        <v>656.06574187494277</v>
      </c>
      <c r="W379">
        <f t="shared" si="107"/>
        <v>109.74509931616642</v>
      </c>
      <c r="AE379">
        <f t="shared" si="108"/>
        <v>0.52426062706765009</v>
      </c>
      <c r="AF379">
        <f t="shared" si="109"/>
        <v>0.51206179873006186</v>
      </c>
      <c r="AG379">
        <f t="shared" si="110"/>
        <v>0.51492890746694087</v>
      </c>
      <c r="AI379">
        <f t="shared" si="111"/>
        <v>0.23366240696956392</v>
      </c>
      <c r="AJ379">
        <f t="shared" si="112"/>
        <v>22.734023703968397</v>
      </c>
      <c r="AL379">
        <f t="shared" si="113"/>
        <v>0.23922893741303486</v>
      </c>
      <c r="AM379">
        <f t="shared" si="114"/>
        <v>23.830109550478543</v>
      </c>
      <c r="AO379">
        <f t="shared" si="115"/>
        <v>0.23789691785339259</v>
      </c>
      <c r="AP379">
        <f t="shared" si="116"/>
        <v>23.565477665721684</v>
      </c>
    </row>
    <row r="380" spans="1:42" x14ac:dyDescent="0.2">
      <c r="A380" s="3">
        <v>380</v>
      </c>
      <c r="B380" s="3">
        <v>2.9499999999999998E-7</v>
      </c>
      <c r="C380" s="2">
        <v>1.968E-2</v>
      </c>
      <c r="D380" s="3">
        <v>167000</v>
      </c>
      <c r="E380" s="3">
        <v>112000000000</v>
      </c>
      <c r="F380" s="3">
        <v>101000000000</v>
      </c>
      <c r="G380" s="3">
        <v>11100000000</v>
      </c>
      <c r="H380" s="3">
        <v>10400000000</v>
      </c>
      <c r="I380" s="2"/>
      <c r="J380" s="7">
        <f t="shared" si="117"/>
        <v>0.29499999999999998</v>
      </c>
      <c r="K380" s="7">
        <f t="shared" si="118"/>
        <v>19.68</v>
      </c>
      <c r="L380" s="7">
        <f t="shared" si="119"/>
        <v>112</v>
      </c>
      <c r="M380" s="7">
        <f t="shared" si="120"/>
        <v>167</v>
      </c>
      <c r="O380">
        <f t="shared" si="121"/>
        <v>0.20661676646706584</v>
      </c>
      <c r="P380">
        <f t="shared" si="122"/>
        <v>206.61676646706584</v>
      </c>
      <c r="V380">
        <f t="shared" si="106"/>
        <v>678.11621720542382</v>
      </c>
      <c r="W380">
        <f t="shared" si="107"/>
        <v>123.13523534964375</v>
      </c>
      <c r="AE380">
        <f t="shared" si="108"/>
        <v>0.6079966994465108</v>
      </c>
      <c r="AF380">
        <f t="shared" si="109"/>
        <v>0.59384944713833565</v>
      </c>
      <c r="AG380">
        <f t="shared" si="110"/>
        <v>0.59717449685402169</v>
      </c>
      <c r="AI380">
        <f t="shared" si="111"/>
        <v>0.20216666764566935</v>
      </c>
      <c r="AJ380">
        <f t="shared" si="112"/>
        <v>16.94623188739542</v>
      </c>
      <c r="AL380">
        <f t="shared" si="113"/>
        <v>0.20698287631483397</v>
      </c>
      <c r="AM380">
        <f t="shared" si="114"/>
        <v>17.763268289104222</v>
      </c>
      <c r="AO380">
        <f t="shared" si="115"/>
        <v>0.20583040185775622</v>
      </c>
      <c r="AP380">
        <f t="shared" si="116"/>
        <v>17.566008299307285</v>
      </c>
    </row>
    <row r="381" spans="1:42" x14ac:dyDescent="0.2">
      <c r="A381" s="3">
        <v>380</v>
      </c>
      <c r="B381" s="3">
        <v>2.96E-7</v>
      </c>
      <c r="C381" s="2">
        <v>1.9730000000000001E-2</v>
      </c>
      <c r="D381" s="3">
        <v>163000</v>
      </c>
      <c r="E381" s="3">
        <v>109000000000</v>
      </c>
      <c r="F381" s="3">
        <v>98900000000</v>
      </c>
      <c r="G381" s="3">
        <v>9470000000</v>
      </c>
      <c r="H381" s="3">
        <v>10500000000</v>
      </c>
      <c r="I381" s="2"/>
      <c r="J381" s="7">
        <f t="shared" si="117"/>
        <v>0.29599999999999999</v>
      </c>
      <c r="K381" s="7">
        <f t="shared" si="118"/>
        <v>19.73</v>
      </c>
      <c r="L381" s="7">
        <f t="shared" si="119"/>
        <v>109</v>
      </c>
      <c r="M381" s="7">
        <f t="shared" si="120"/>
        <v>163</v>
      </c>
      <c r="O381">
        <f t="shared" si="121"/>
        <v>0.20521779141104293</v>
      </c>
      <c r="P381">
        <f t="shared" si="122"/>
        <v>205.21779141104292</v>
      </c>
      <c r="V381">
        <f t="shared" si="106"/>
        <v>676.07827012912378</v>
      </c>
      <c r="W381">
        <f t="shared" si="107"/>
        <v>120.54817260201894</v>
      </c>
      <c r="AE381">
        <f t="shared" si="108"/>
        <v>0.59343390425018727</v>
      </c>
      <c r="AF381">
        <f t="shared" si="109"/>
        <v>0.57962550828472281</v>
      </c>
      <c r="AG381">
        <f t="shared" si="110"/>
        <v>0.58287091609105113</v>
      </c>
      <c r="AI381">
        <f t="shared" si="111"/>
        <v>0.20782994104316782</v>
      </c>
      <c r="AJ381">
        <f t="shared" si="112"/>
        <v>17.833347385661977</v>
      </c>
      <c r="AL381">
        <f t="shared" si="113"/>
        <v>0.21278106565446339</v>
      </c>
      <c r="AM381">
        <f t="shared" si="114"/>
        <v>18.693154691216549</v>
      </c>
      <c r="AO381">
        <f t="shared" si="115"/>
        <v>0.21159630705277332</v>
      </c>
      <c r="AP381">
        <f t="shared" si="116"/>
        <v>18.485568370746243</v>
      </c>
    </row>
    <row r="382" spans="1:42" x14ac:dyDescent="0.2">
      <c r="A382" s="3">
        <v>380</v>
      </c>
      <c r="B382" s="3">
        <v>2.96E-7</v>
      </c>
      <c r="C382" s="2">
        <v>1.9779999999999999E-2</v>
      </c>
      <c r="D382" s="3">
        <v>171000</v>
      </c>
      <c r="E382" s="3">
        <v>114000000000</v>
      </c>
      <c r="F382" s="3">
        <v>103000000000</v>
      </c>
      <c r="G382" s="3">
        <v>13900000000</v>
      </c>
      <c r="H382" s="3">
        <v>10300000000</v>
      </c>
      <c r="I382" s="2"/>
      <c r="J382" s="7">
        <f t="shared" si="117"/>
        <v>0.29599999999999999</v>
      </c>
      <c r="K382" s="7">
        <f t="shared" si="118"/>
        <v>19.779999999999998</v>
      </c>
      <c r="L382" s="7">
        <f t="shared" si="119"/>
        <v>114</v>
      </c>
      <c r="M382" s="7">
        <f t="shared" si="120"/>
        <v>171</v>
      </c>
      <c r="O382">
        <f t="shared" si="121"/>
        <v>0.20924561403508773</v>
      </c>
      <c r="P382">
        <f t="shared" si="122"/>
        <v>209.24561403508773</v>
      </c>
      <c r="V382">
        <f t="shared" si="106"/>
        <v>681.92508456387395</v>
      </c>
      <c r="W382">
        <f t="shared" si="107"/>
        <v>125.38034152927757</v>
      </c>
      <c r="AE382">
        <f t="shared" si="108"/>
        <v>0.62255949464283444</v>
      </c>
      <c r="AF382">
        <f t="shared" si="109"/>
        <v>0.60807338599194838</v>
      </c>
      <c r="AG382">
        <f t="shared" si="110"/>
        <v>0.61147807761699224</v>
      </c>
      <c r="AI382">
        <f t="shared" si="111"/>
        <v>0.19810690286570973</v>
      </c>
      <c r="AJ382">
        <f t="shared" si="112"/>
        <v>16.24482583604307</v>
      </c>
      <c r="AL382">
        <f t="shared" si="113"/>
        <v>0.20282639591624291</v>
      </c>
      <c r="AM382">
        <f t="shared" si="114"/>
        <v>17.028045028112487</v>
      </c>
      <c r="AO382">
        <f t="shared" si="115"/>
        <v>0.20169706461755588</v>
      </c>
      <c r="AP382">
        <f t="shared" si="116"/>
        <v>16.838949646911292</v>
      </c>
    </row>
    <row r="383" spans="1:42" x14ac:dyDescent="0.2">
      <c r="A383" s="3">
        <v>380</v>
      </c>
      <c r="B383" s="3">
        <v>2.9700000000000003E-7</v>
      </c>
      <c r="C383" s="2">
        <v>1.984E-2</v>
      </c>
      <c r="D383" s="3">
        <v>161000</v>
      </c>
      <c r="E383" s="3">
        <v>108000000000</v>
      </c>
      <c r="F383" s="3">
        <v>97900000000</v>
      </c>
      <c r="G383" s="3">
        <v>9110000000</v>
      </c>
      <c r="H383" s="3">
        <v>10600000000</v>
      </c>
      <c r="I383" s="2"/>
      <c r="J383" s="7">
        <f t="shared" si="117"/>
        <v>0.29700000000000004</v>
      </c>
      <c r="K383" s="7">
        <f t="shared" si="118"/>
        <v>19.84</v>
      </c>
      <c r="L383" s="7">
        <f t="shared" si="119"/>
        <v>108</v>
      </c>
      <c r="M383" s="7">
        <f t="shared" si="120"/>
        <v>161</v>
      </c>
      <c r="O383">
        <f t="shared" si="121"/>
        <v>0.20457763975155285</v>
      </c>
      <c r="P383">
        <f t="shared" si="122"/>
        <v>204.57763975155285</v>
      </c>
      <c r="V383">
        <f t="shared" si="106"/>
        <v>675.14315323642109</v>
      </c>
      <c r="W383">
        <f t="shared" si="107"/>
        <v>119.2339722533046</v>
      </c>
      <c r="AE383">
        <f t="shared" si="108"/>
        <v>0.58615250665202545</v>
      </c>
      <c r="AF383">
        <f t="shared" si="109"/>
        <v>0.57251353885791634</v>
      </c>
      <c r="AG383">
        <f t="shared" si="110"/>
        <v>0.57571912570956585</v>
      </c>
      <c r="AI383">
        <f t="shared" si="111"/>
        <v>0.21112252970960219</v>
      </c>
      <c r="AJ383">
        <f t="shared" si="112"/>
        <v>18.381075073115777</v>
      </c>
      <c r="AL383">
        <f t="shared" si="113"/>
        <v>0.21615209353278142</v>
      </c>
      <c r="AM383">
        <f t="shared" si="114"/>
        <v>19.267290223307857</v>
      </c>
      <c r="AO383">
        <f t="shared" si="115"/>
        <v>0.21494856514881255</v>
      </c>
      <c r="AP383">
        <f t="shared" si="116"/>
        <v>19.053328163454509</v>
      </c>
    </row>
    <row r="384" spans="1:42" x14ac:dyDescent="0.2">
      <c r="A384" s="3">
        <v>380</v>
      </c>
      <c r="B384" s="3">
        <v>2.9700000000000003E-7</v>
      </c>
      <c r="C384" s="2">
        <v>1.9890000000000001E-2</v>
      </c>
      <c r="D384" s="3">
        <v>167000</v>
      </c>
      <c r="E384" s="3">
        <v>111000000000</v>
      </c>
      <c r="F384" s="3">
        <v>101000000000</v>
      </c>
      <c r="G384" s="3">
        <v>7690000000</v>
      </c>
      <c r="H384" s="3">
        <v>10500000000</v>
      </c>
      <c r="I384" s="2"/>
      <c r="J384" s="7">
        <f t="shared" si="117"/>
        <v>0.29700000000000004</v>
      </c>
      <c r="K384" s="7">
        <f t="shared" si="118"/>
        <v>19.89</v>
      </c>
      <c r="L384" s="7">
        <f t="shared" si="119"/>
        <v>111</v>
      </c>
      <c r="M384" s="7">
        <f t="shared" si="120"/>
        <v>167</v>
      </c>
      <c r="O384">
        <f t="shared" si="121"/>
        <v>0.20767365269461083</v>
      </c>
      <c r="P384">
        <f t="shared" si="122"/>
        <v>207.67365269461084</v>
      </c>
      <c r="V384">
        <f t="shared" si="106"/>
        <v>679.65073762983366</v>
      </c>
      <c r="W384">
        <f t="shared" si="107"/>
        <v>122.85721971139478</v>
      </c>
      <c r="AE384">
        <f t="shared" si="108"/>
        <v>0.6079966994465108</v>
      </c>
      <c r="AF384">
        <f t="shared" si="109"/>
        <v>0.59384944713833565</v>
      </c>
      <c r="AG384">
        <f t="shared" si="110"/>
        <v>0.59717449685402169</v>
      </c>
      <c r="AI384">
        <f t="shared" si="111"/>
        <v>0.20353728912123323</v>
      </c>
      <c r="AJ384">
        <f t="shared" si="112"/>
        <v>17.127060581315799</v>
      </c>
      <c r="AL384">
        <f t="shared" si="113"/>
        <v>0.2083861500525617</v>
      </c>
      <c r="AM384">
        <f t="shared" si="114"/>
        <v>17.952815359262345</v>
      </c>
      <c r="AO384">
        <f t="shared" si="115"/>
        <v>0.20722586220933428</v>
      </c>
      <c r="AP384">
        <f t="shared" si="116"/>
        <v>17.753450461037701</v>
      </c>
    </row>
    <row r="385" spans="1:42" x14ac:dyDescent="0.2">
      <c r="A385" s="3">
        <v>380</v>
      </c>
      <c r="B385" s="3">
        <v>2.9799999999999999E-7</v>
      </c>
      <c r="C385" s="2">
        <v>1.9939999999999999E-2</v>
      </c>
      <c r="D385" s="3">
        <v>189000</v>
      </c>
      <c r="E385" s="3">
        <v>124000000000</v>
      </c>
      <c r="F385" s="3">
        <v>111000000000</v>
      </c>
      <c r="G385" s="3">
        <v>1590000000</v>
      </c>
      <c r="H385" s="3">
        <v>9920000000</v>
      </c>
      <c r="I385" s="2"/>
      <c r="J385" s="7">
        <f t="shared" si="117"/>
        <v>0.29799999999999999</v>
      </c>
      <c r="K385" s="7">
        <f t="shared" si="118"/>
        <v>19.939999999999998</v>
      </c>
      <c r="L385" s="7">
        <f t="shared" si="119"/>
        <v>124.00000000000001</v>
      </c>
      <c r="M385" s="7">
        <f t="shared" si="120"/>
        <v>189</v>
      </c>
      <c r="O385">
        <f t="shared" si="121"/>
        <v>0.21887301587301589</v>
      </c>
      <c r="P385">
        <f t="shared" si="122"/>
        <v>218.87301587301587</v>
      </c>
      <c r="V385">
        <f t="shared" si="106"/>
        <v>695.6510456891931</v>
      </c>
      <c r="W385">
        <f t="shared" si="107"/>
        <v>135.84397031471039</v>
      </c>
      <c r="AE385">
        <f t="shared" si="108"/>
        <v>0.68809207302629072</v>
      </c>
      <c r="AF385">
        <f t="shared" si="109"/>
        <v>0.67208111083320621</v>
      </c>
      <c r="AG385">
        <f t="shared" si="110"/>
        <v>0.67584419105035987</v>
      </c>
      <c r="AI385">
        <f t="shared" si="111"/>
        <v>0.18045065701828319</v>
      </c>
      <c r="AJ385">
        <f t="shared" si="112"/>
        <v>13.405485236538688</v>
      </c>
      <c r="AL385">
        <f t="shared" si="113"/>
        <v>0.18474952600993683</v>
      </c>
      <c r="AM385">
        <f t="shared" si="114"/>
        <v>14.051810006174863</v>
      </c>
      <c r="AO385">
        <f t="shared" si="115"/>
        <v>0.18372084618156392</v>
      </c>
      <c r="AP385">
        <f t="shared" si="116"/>
        <v>13.895765529824372</v>
      </c>
    </row>
    <row r="386" spans="1:42" x14ac:dyDescent="0.2">
      <c r="A386" s="3">
        <v>380</v>
      </c>
      <c r="B386" s="3">
        <v>2.9900000000000002E-7</v>
      </c>
      <c r="C386" s="2">
        <v>1.9990000000000001E-2</v>
      </c>
      <c r="D386" s="3">
        <v>183000</v>
      </c>
      <c r="E386" s="3">
        <v>119000000000</v>
      </c>
      <c r="F386" s="3">
        <v>108000000000</v>
      </c>
      <c r="G386" s="3">
        <v>12600000000</v>
      </c>
      <c r="H386" s="3">
        <v>10100000000</v>
      </c>
      <c r="I386" s="2"/>
      <c r="J386" s="7">
        <f t="shared" si="117"/>
        <v>0.29900000000000004</v>
      </c>
      <c r="K386" s="7">
        <f t="shared" si="118"/>
        <v>19.990000000000002</v>
      </c>
      <c r="L386" s="7">
        <f t="shared" si="119"/>
        <v>119.00000000000001</v>
      </c>
      <c r="M386" s="7">
        <f t="shared" si="120"/>
        <v>183</v>
      </c>
      <c r="O386">
        <f t="shared" si="121"/>
        <v>0.21707377049180332</v>
      </c>
      <c r="P386">
        <f t="shared" si="122"/>
        <v>217.07377049180332</v>
      </c>
      <c r="V386">
        <f t="shared" si="106"/>
        <v>693.11176734133323</v>
      </c>
      <c r="W386">
        <f t="shared" si="107"/>
        <v>132.01334086561462</v>
      </c>
      <c r="AE386">
        <f t="shared" si="108"/>
        <v>0.66624788023180526</v>
      </c>
      <c r="AF386">
        <f t="shared" si="109"/>
        <v>0.65074520255278689</v>
      </c>
      <c r="AG386">
        <f t="shared" si="110"/>
        <v>0.65438881990590403</v>
      </c>
      <c r="AI386">
        <f t="shared" si="111"/>
        <v>0.18699246486155802</v>
      </c>
      <c r="AJ386">
        <f t="shared" si="112"/>
        <v>14.334799000163665</v>
      </c>
      <c r="AL386">
        <f t="shared" si="113"/>
        <v>0.19144717908731329</v>
      </c>
      <c r="AM386">
        <f t="shared" si="114"/>
        <v>15.025929197846374</v>
      </c>
      <c r="AO386">
        <f t="shared" si="115"/>
        <v>0.19038120692717131</v>
      </c>
      <c r="AP386">
        <f t="shared" si="116"/>
        <v>14.859067188444939</v>
      </c>
    </row>
    <row r="387" spans="1:42" x14ac:dyDescent="0.2">
      <c r="A387" s="3">
        <v>390</v>
      </c>
      <c r="B387" s="3">
        <v>2.9999999999999999E-7</v>
      </c>
      <c r="C387" s="2">
        <v>2.0039999999999999E-2</v>
      </c>
      <c r="D387" s="3">
        <v>154000</v>
      </c>
      <c r="E387" s="3">
        <v>103000000000</v>
      </c>
      <c r="F387" s="3">
        <v>94000000000</v>
      </c>
      <c r="G387" s="3">
        <v>2310000000</v>
      </c>
      <c r="H387" s="3">
        <v>10900000000</v>
      </c>
      <c r="I387" s="2"/>
      <c r="J387" s="7">
        <f t="shared" si="117"/>
        <v>0.3</v>
      </c>
      <c r="K387" s="7">
        <f t="shared" si="118"/>
        <v>20.04</v>
      </c>
      <c r="L387" s="7">
        <f t="shared" si="119"/>
        <v>103</v>
      </c>
      <c r="M387" s="7">
        <f t="shared" si="120"/>
        <v>154</v>
      </c>
      <c r="O387">
        <f t="shared" si="121"/>
        <v>0.20240259740259739</v>
      </c>
      <c r="P387">
        <f t="shared" si="122"/>
        <v>202.40259740259739</v>
      </c>
      <c r="V387">
        <f t="shared" si="106"/>
        <v>671.95367336388028</v>
      </c>
      <c r="W387">
        <f t="shared" si="107"/>
        <v>114.59123307493628</v>
      </c>
      <c r="AE387">
        <f t="shared" si="108"/>
        <v>0.56066761505845908</v>
      </c>
      <c r="AF387">
        <f t="shared" si="109"/>
        <v>0.5476216458640939</v>
      </c>
      <c r="AG387">
        <f t="shared" si="110"/>
        <v>0.55068785937436737</v>
      </c>
      <c r="AI387">
        <f t="shared" si="111"/>
        <v>0.22294849326542007</v>
      </c>
      <c r="AJ387">
        <f t="shared" si="112"/>
        <v>20.292580085113979</v>
      </c>
      <c r="AL387">
        <f t="shared" si="113"/>
        <v>0.22825978655895188</v>
      </c>
      <c r="AM387">
        <f t="shared" si="114"/>
        <v>21.270955497671697</v>
      </c>
      <c r="AO387">
        <f t="shared" si="115"/>
        <v>0.22698884290278637</v>
      </c>
      <c r="AP387">
        <f t="shared" si="116"/>
        <v>21.034742859538223</v>
      </c>
    </row>
    <row r="388" spans="1:42" x14ac:dyDescent="0.2">
      <c r="A388" s="3">
        <v>390</v>
      </c>
      <c r="B388" s="3">
        <v>2.9999999999999999E-7</v>
      </c>
      <c r="C388" s="2">
        <v>2.009E-2</v>
      </c>
      <c r="D388" s="3">
        <v>177000</v>
      </c>
      <c r="E388" s="3">
        <v>116000000000</v>
      </c>
      <c r="F388" s="3">
        <v>105000000000</v>
      </c>
      <c r="G388" s="3">
        <v>5610000000</v>
      </c>
      <c r="H388" s="3">
        <v>10200000000</v>
      </c>
      <c r="I388" s="2"/>
      <c r="J388" s="7">
        <f t="shared" si="117"/>
        <v>0.3</v>
      </c>
      <c r="K388" s="7">
        <f t="shared" si="118"/>
        <v>20.09</v>
      </c>
      <c r="L388" s="7">
        <f t="shared" si="119"/>
        <v>116.00000000000001</v>
      </c>
      <c r="M388" s="7">
        <f t="shared" si="120"/>
        <v>177</v>
      </c>
      <c r="O388">
        <f t="shared" si="121"/>
        <v>0.21487288135593219</v>
      </c>
      <c r="P388">
        <f t="shared" si="122"/>
        <v>214.87288135593218</v>
      </c>
      <c r="V388">
        <f t="shared" si="106"/>
        <v>689.98965564494245</v>
      </c>
      <c r="W388">
        <f t="shared" si="107"/>
        <v>128.26279245777661</v>
      </c>
      <c r="AE388">
        <f t="shared" si="108"/>
        <v>0.64440368743731991</v>
      </c>
      <c r="AF388">
        <f t="shared" si="109"/>
        <v>0.62940929427236769</v>
      </c>
      <c r="AG388">
        <f t="shared" si="110"/>
        <v>0.63293344876144819</v>
      </c>
      <c r="AI388">
        <f t="shared" si="111"/>
        <v>0.19397778510098693</v>
      </c>
      <c r="AJ388">
        <f t="shared" si="112"/>
        <v>15.399775763051656</v>
      </c>
      <c r="AL388">
        <f t="shared" si="113"/>
        <v>0.19859891033942703</v>
      </c>
      <c r="AM388">
        <f t="shared" si="114"/>
        <v>16.142252170796599</v>
      </c>
      <c r="AO388">
        <f t="shared" si="115"/>
        <v>0.19749311755383675</v>
      </c>
      <c r="AP388">
        <f t="shared" si="116"/>
        <v>15.96299346419562</v>
      </c>
    </row>
    <row r="389" spans="1:42" x14ac:dyDescent="0.2">
      <c r="A389" s="3">
        <v>390</v>
      </c>
      <c r="B389" s="3">
        <v>3.0100000000000001E-7</v>
      </c>
      <c r="C389" s="2">
        <v>2.0150000000000001E-2</v>
      </c>
      <c r="D389" s="3">
        <v>162000</v>
      </c>
      <c r="E389" s="3">
        <v>107000000000</v>
      </c>
      <c r="F389" s="3">
        <v>97500000000</v>
      </c>
      <c r="G389" s="3">
        <v>6350000000</v>
      </c>
      <c r="H389" s="3">
        <v>10600000000</v>
      </c>
      <c r="I389" s="2"/>
      <c r="J389" s="7">
        <f t="shared" si="117"/>
        <v>0.30099999999999999</v>
      </c>
      <c r="K389" s="7">
        <f t="shared" si="118"/>
        <v>20.150000000000002</v>
      </c>
      <c r="L389" s="7">
        <f t="shared" si="119"/>
        <v>107</v>
      </c>
      <c r="M389" s="7">
        <f t="shared" si="120"/>
        <v>162</v>
      </c>
      <c r="O389">
        <f t="shared" si="121"/>
        <v>0.20771296296296293</v>
      </c>
      <c r="P389">
        <f t="shared" si="122"/>
        <v>207.71296296296293</v>
      </c>
      <c r="V389">
        <f t="shared" ref="V389:V452" si="123">$S$3*(P389^$S$4)</f>
        <v>679.70772922857554</v>
      </c>
      <c r="W389">
        <f t="shared" ref="W389:W452" si="124">M389/(2*(V389/1000))</f>
        <v>119.16886702455153</v>
      </c>
      <c r="AE389">
        <f t="shared" si="108"/>
        <v>0.58979320545110636</v>
      </c>
      <c r="AF389">
        <f t="shared" si="109"/>
        <v>0.57606952357131957</v>
      </c>
      <c r="AG389">
        <f t="shared" si="110"/>
        <v>0.57929502090030849</v>
      </c>
      <c r="AI389">
        <f t="shared" si="111"/>
        <v>0.21264515343261894</v>
      </c>
      <c r="AJ389">
        <f t="shared" si="112"/>
        <v>18.438518121442769</v>
      </c>
      <c r="AL389">
        <f t="shared" si="113"/>
        <v>0.21771099066159785</v>
      </c>
      <c r="AM389">
        <f t="shared" si="114"/>
        <v>19.327502799505123</v>
      </c>
      <c r="AO389">
        <f t="shared" si="115"/>
        <v>0.21649878238509795</v>
      </c>
      <c r="AP389">
        <f t="shared" si="116"/>
        <v>19.112872082737233</v>
      </c>
    </row>
    <row r="390" spans="1:42" x14ac:dyDescent="0.2">
      <c r="A390" s="3">
        <v>390</v>
      </c>
      <c r="B390" s="3">
        <v>3.0199999999999998E-7</v>
      </c>
      <c r="C390" s="2">
        <v>2.0199999999999999E-2</v>
      </c>
      <c r="D390" s="3">
        <v>168000</v>
      </c>
      <c r="E390" s="3">
        <v>111000000000</v>
      </c>
      <c r="F390" s="3">
        <v>101000000000</v>
      </c>
      <c r="G390" s="3">
        <v>4250000000</v>
      </c>
      <c r="H390" s="3">
        <v>10400000000</v>
      </c>
      <c r="I390" s="2"/>
      <c r="J390" s="7">
        <f t="shared" si="117"/>
        <v>0.30199999999999999</v>
      </c>
      <c r="K390" s="7">
        <f t="shared" si="118"/>
        <v>20.2</v>
      </c>
      <c r="L390" s="7">
        <f t="shared" si="119"/>
        <v>111</v>
      </c>
      <c r="M390" s="7">
        <f t="shared" si="120"/>
        <v>168</v>
      </c>
      <c r="O390">
        <f t="shared" si="121"/>
        <v>0.21182142857142858</v>
      </c>
      <c r="P390">
        <f t="shared" si="122"/>
        <v>211.82142857142858</v>
      </c>
      <c r="V390">
        <f t="shared" si="123"/>
        <v>685.63134798457145</v>
      </c>
      <c r="W390">
        <f t="shared" si="124"/>
        <v>122.51481827212227</v>
      </c>
      <c r="AE390">
        <f t="shared" si="108"/>
        <v>0.61163739824559171</v>
      </c>
      <c r="AF390">
        <f t="shared" si="109"/>
        <v>0.59740543185173878</v>
      </c>
      <c r="AG390">
        <f t="shared" si="110"/>
        <v>0.60075039204476433</v>
      </c>
      <c r="AI390">
        <f t="shared" si="111"/>
        <v>0.2057319151743682</v>
      </c>
      <c r="AJ390">
        <f t="shared" si="112"/>
        <v>17.18754305418177</v>
      </c>
      <c r="AL390">
        <f t="shared" si="113"/>
        <v>0.21063305859689949</v>
      </c>
      <c r="AM390">
        <f t="shared" si="114"/>
        <v>18.016213901159194</v>
      </c>
      <c r="AO390">
        <f t="shared" si="115"/>
        <v>0.20946026003418236</v>
      </c>
      <c r="AP390">
        <f t="shared" si="116"/>
        <v>17.816144966069022</v>
      </c>
    </row>
    <row r="391" spans="1:42" x14ac:dyDescent="0.2">
      <c r="A391" s="3">
        <v>390</v>
      </c>
      <c r="B391" s="3">
        <v>3.0199999999999998E-7</v>
      </c>
      <c r="C391" s="2">
        <v>2.0250000000000001E-2</v>
      </c>
      <c r="D391" s="3">
        <v>179000</v>
      </c>
      <c r="E391" s="3">
        <v>117000000000</v>
      </c>
      <c r="F391" s="3">
        <v>105000000000</v>
      </c>
      <c r="G391" s="2">
        <v>0</v>
      </c>
      <c r="H391" s="3">
        <v>10200000000</v>
      </c>
      <c r="I391" s="2"/>
      <c r="J391" s="7">
        <f t="shared" si="117"/>
        <v>0.30199999999999999</v>
      </c>
      <c r="K391" s="7">
        <f t="shared" si="118"/>
        <v>20.25</v>
      </c>
      <c r="L391" s="7">
        <f t="shared" si="119"/>
        <v>117.00000000000001</v>
      </c>
      <c r="M391" s="7">
        <f t="shared" si="120"/>
        <v>179</v>
      </c>
      <c r="O391">
        <f t="shared" si="121"/>
        <v>0.21715363128491619</v>
      </c>
      <c r="P391">
        <f t="shared" si="122"/>
        <v>217.1536312849162</v>
      </c>
      <c r="V391">
        <f t="shared" si="123"/>
        <v>693.22472310193825</v>
      </c>
      <c r="W391">
        <f t="shared" si="124"/>
        <v>129.10676295490268</v>
      </c>
      <c r="AE391">
        <f t="shared" si="108"/>
        <v>0.65168508503548161</v>
      </c>
      <c r="AF391">
        <f t="shared" si="109"/>
        <v>0.63652126369917406</v>
      </c>
      <c r="AG391">
        <f t="shared" si="110"/>
        <v>0.64008523914293347</v>
      </c>
      <c r="AI391">
        <f t="shared" si="111"/>
        <v>0.19308917178376456</v>
      </c>
      <c r="AJ391">
        <f t="shared" si="112"/>
        <v>15.177490114019806</v>
      </c>
      <c r="AL391">
        <f t="shared" si="113"/>
        <v>0.19768912762167101</v>
      </c>
      <c r="AM391">
        <f t="shared" si="114"/>
        <v>15.909249362455038</v>
      </c>
      <c r="AO391">
        <f t="shared" si="115"/>
        <v>0.19658840047900911</v>
      </c>
      <c r="AP391">
        <f t="shared" si="116"/>
        <v>15.732578137552137</v>
      </c>
    </row>
    <row r="392" spans="1:42" x14ac:dyDescent="0.2">
      <c r="A392" s="3">
        <v>390</v>
      </c>
      <c r="B392" s="3">
        <v>3.03E-7</v>
      </c>
      <c r="C392" s="2">
        <v>2.0299999999999999E-2</v>
      </c>
      <c r="D392" s="3">
        <v>172000</v>
      </c>
      <c r="E392" s="3">
        <v>113000000000</v>
      </c>
      <c r="F392" s="3">
        <v>102000000000</v>
      </c>
      <c r="G392" s="2">
        <v>0</v>
      </c>
      <c r="H392" s="3">
        <v>10400000000</v>
      </c>
      <c r="I392" s="2"/>
      <c r="J392" s="7">
        <f t="shared" si="117"/>
        <v>0.30299999999999999</v>
      </c>
      <c r="K392" s="7">
        <f t="shared" si="118"/>
        <v>20.299999999999997</v>
      </c>
      <c r="L392" s="7">
        <f t="shared" si="119"/>
        <v>113</v>
      </c>
      <c r="M392" s="7">
        <f t="shared" si="120"/>
        <v>172</v>
      </c>
      <c r="O392">
        <f t="shared" si="121"/>
        <v>0.21448255813953487</v>
      </c>
      <c r="P392">
        <f t="shared" si="122"/>
        <v>214.48255813953489</v>
      </c>
      <c r="V392">
        <f t="shared" si="123"/>
        <v>689.43409874745464</v>
      </c>
      <c r="W392">
        <f t="shared" si="124"/>
        <v>124.73998625284489</v>
      </c>
      <c r="AE392">
        <f t="shared" si="108"/>
        <v>0.62620019344191535</v>
      </c>
      <c r="AF392">
        <f t="shared" si="109"/>
        <v>0.61162937070535162</v>
      </c>
      <c r="AG392">
        <f t="shared" si="110"/>
        <v>0.61505397280773488</v>
      </c>
      <c r="AI392">
        <f t="shared" si="111"/>
        <v>0.20161284094478743</v>
      </c>
      <c r="AJ392">
        <f t="shared" si="112"/>
        <v>16.478593372275238</v>
      </c>
      <c r="AL392">
        <f t="shared" si="113"/>
        <v>0.20641585582197311</v>
      </c>
      <c r="AM392">
        <f t="shared" si="114"/>
        <v>17.273083305115151</v>
      </c>
      <c r="AO392">
        <f t="shared" si="115"/>
        <v>0.20526653851801976</v>
      </c>
      <c r="AP392">
        <f t="shared" si="116"/>
        <v>17.081266789084783</v>
      </c>
    </row>
    <row r="393" spans="1:42" x14ac:dyDescent="0.2">
      <c r="A393" s="3">
        <v>390</v>
      </c>
      <c r="B393" s="3">
        <v>3.03E-7</v>
      </c>
      <c r="C393" s="2">
        <v>2.036E-2</v>
      </c>
      <c r="D393" s="3">
        <v>170000</v>
      </c>
      <c r="E393" s="3">
        <v>111000000000</v>
      </c>
      <c r="F393" s="3">
        <v>101000000000</v>
      </c>
      <c r="G393" s="3">
        <v>5340000000</v>
      </c>
      <c r="H393" s="3">
        <v>10400000000</v>
      </c>
      <c r="I393" s="2"/>
      <c r="J393" s="7">
        <f t="shared" si="117"/>
        <v>0.30299999999999999</v>
      </c>
      <c r="K393" s="7">
        <f t="shared" si="118"/>
        <v>20.36</v>
      </c>
      <c r="L393" s="7">
        <f t="shared" si="119"/>
        <v>111</v>
      </c>
      <c r="M393" s="7">
        <f t="shared" si="120"/>
        <v>170</v>
      </c>
      <c r="O393">
        <f t="shared" si="121"/>
        <v>0.2131764705882353</v>
      </c>
      <c r="P393">
        <f t="shared" si="122"/>
        <v>213.1764705882353</v>
      </c>
      <c r="V393">
        <f t="shared" si="123"/>
        <v>687.5710054095947</v>
      </c>
      <c r="W393">
        <f t="shared" si="124"/>
        <v>123.62359571774617</v>
      </c>
      <c r="AE393">
        <f t="shared" si="108"/>
        <v>0.61891879584375353</v>
      </c>
      <c r="AF393">
        <f t="shared" si="109"/>
        <v>0.60451740127854525</v>
      </c>
      <c r="AG393">
        <f t="shared" si="110"/>
        <v>0.6079021824262496</v>
      </c>
      <c r="AI393">
        <f t="shared" si="111"/>
        <v>0.20398475672060845</v>
      </c>
      <c r="AJ393">
        <f t="shared" si="112"/>
        <v>16.918463703248769</v>
      </c>
      <c r="AL393">
        <f t="shared" si="113"/>
        <v>0.20884427765517277</v>
      </c>
      <c r="AM393">
        <f t="shared" si="114"/>
        <v>17.734161304839176</v>
      </c>
      <c r="AO393">
        <f t="shared" si="115"/>
        <v>0.20768143897117297</v>
      </c>
      <c r="AP393">
        <f t="shared" si="116"/>
        <v>17.537224546292578</v>
      </c>
    </row>
    <row r="394" spans="1:42" x14ac:dyDescent="0.2">
      <c r="A394" s="3">
        <v>390</v>
      </c>
      <c r="B394" s="3">
        <v>3.0400000000000002E-7</v>
      </c>
      <c r="C394" s="2">
        <v>2.0410000000000001E-2</v>
      </c>
      <c r="D394" s="3">
        <v>174000</v>
      </c>
      <c r="E394" s="3">
        <v>114000000000</v>
      </c>
      <c r="F394" s="3">
        <v>103000000000</v>
      </c>
      <c r="G394" s="3">
        <v>5600000000</v>
      </c>
      <c r="H394" s="3">
        <v>10300000000</v>
      </c>
      <c r="I394" s="2"/>
      <c r="J394" s="7">
        <f t="shared" si="117"/>
        <v>0.30400000000000005</v>
      </c>
      <c r="K394" s="7">
        <f t="shared" si="118"/>
        <v>20.41</v>
      </c>
      <c r="L394" s="7">
        <f t="shared" si="119"/>
        <v>114</v>
      </c>
      <c r="M394" s="7">
        <f t="shared" si="120"/>
        <v>174</v>
      </c>
      <c r="O394">
        <f t="shared" si="121"/>
        <v>0.21602586206896557</v>
      </c>
      <c r="P394">
        <f t="shared" si="122"/>
        <v>216.02586206896558</v>
      </c>
      <c r="V394">
        <f t="shared" si="123"/>
        <v>691.62744740363917</v>
      </c>
      <c r="W394">
        <f t="shared" si="124"/>
        <v>125.79026515878877</v>
      </c>
      <c r="AE394">
        <f t="shared" si="108"/>
        <v>0.63348159104007717</v>
      </c>
      <c r="AF394">
        <f t="shared" si="109"/>
        <v>0.61874134013215809</v>
      </c>
      <c r="AG394">
        <f t="shared" si="110"/>
        <v>0.62220576318922027</v>
      </c>
      <c r="AI394">
        <f t="shared" si="111"/>
        <v>0.1999531927339829</v>
      </c>
      <c r="AJ394">
        <f t="shared" si="112"/>
        <v>16.189204208150734</v>
      </c>
      <c r="AL394">
        <f t="shared" si="113"/>
        <v>0.20471666987631978</v>
      </c>
      <c r="AM394">
        <f t="shared" si="114"/>
        <v>16.969741689323456</v>
      </c>
      <c r="AO394">
        <f t="shared" si="115"/>
        <v>0.20357681358882854</v>
      </c>
      <c r="AP394">
        <f t="shared" si="116"/>
        <v>16.7812937630741</v>
      </c>
    </row>
    <row r="395" spans="1:42" x14ac:dyDescent="0.2">
      <c r="A395" s="3">
        <v>390</v>
      </c>
      <c r="B395" s="3">
        <v>3.0400000000000002E-7</v>
      </c>
      <c r="C395" s="2">
        <v>2.0459999999999999E-2</v>
      </c>
      <c r="D395" s="3">
        <v>185000</v>
      </c>
      <c r="E395" s="3">
        <v>120000000000</v>
      </c>
      <c r="F395" s="3">
        <v>108000000000</v>
      </c>
      <c r="G395" s="2">
        <v>0</v>
      </c>
      <c r="H395" s="3">
        <v>10100000000</v>
      </c>
      <c r="I395" s="2"/>
      <c r="J395" s="7">
        <f t="shared" si="117"/>
        <v>0.30400000000000005</v>
      </c>
      <c r="K395" s="7">
        <f t="shared" si="118"/>
        <v>20.459999999999997</v>
      </c>
      <c r="L395" s="7">
        <f t="shared" si="119"/>
        <v>120.00000000000001</v>
      </c>
      <c r="M395" s="7">
        <f t="shared" si="120"/>
        <v>185</v>
      </c>
      <c r="O395">
        <f t="shared" si="121"/>
        <v>0.22105405405405409</v>
      </c>
      <c r="P395">
        <f t="shared" si="122"/>
        <v>221.05405405405409</v>
      </c>
      <c r="V395">
        <f t="shared" si="123"/>
        <v>698.71360945845572</v>
      </c>
      <c r="W395">
        <f t="shared" si="124"/>
        <v>132.38614326074594</v>
      </c>
      <c r="AE395">
        <f t="shared" si="108"/>
        <v>0.67352927782996708</v>
      </c>
      <c r="AF395">
        <f t="shared" si="109"/>
        <v>0.65785717197959337</v>
      </c>
      <c r="AG395">
        <f t="shared" si="110"/>
        <v>0.66154061028738931</v>
      </c>
      <c r="AI395">
        <f t="shared" si="111"/>
        <v>0.1880640839768272</v>
      </c>
      <c r="AJ395">
        <f t="shared" si="112"/>
        <v>14.356321174230938</v>
      </c>
      <c r="AL395">
        <f t="shared" si="113"/>
        <v>0.19254432734313318</v>
      </c>
      <c r="AM395">
        <f t="shared" si="114"/>
        <v>15.04848903030129</v>
      </c>
      <c r="AO395">
        <f t="shared" si="115"/>
        <v>0.19147224629435766</v>
      </c>
      <c r="AP395">
        <f t="shared" si="116"/>
        <v>14.881376495363257</v>
      </c>
    </row>
    <row r="396" spans="1:42" x14ac:dyDescent="0.2">
      <c r="A396" s="3">
        <v>390</v>
      </c>
      <c r="B396" s="3">
        <v>3.0499999999999999E-7</v>
      </c>
      <c r="C396" s="2">
        <v>2.051E-2</v>
      </c>
      <c r="D396" s="3">
        <v>166000</v>
      </c>
      <c r="E396" s="3">
        <v>109000000000</v>
      </c>
      <c r="F396" s="3">
        <v>98900000000</v>
      </c>
      <c r="G396" s="2">
        <v>0</v>
      </c>
      <c r="H396" s="3">
        <v>10600000000</v>
      </c>
      <c r="I396" s="2"/>
      <c r="J396" s="7">
        <f t="shared" si="117"/>
        <v>0.30499999999999999</v>
      </c>
      <c r="K396" s="7">
        <f t="shared" si="118"/>
        <v>20.51</v>
      </c>
      <c r="L396" s="7">
        <f t="shared" si="119"/>
        <v>109</v>
      </c>
      <c r="M396" s="7">
        <f t="shared" si="120"/>
        <v>166</v>
      </c>
      <c r="O396">
        <f t="shared" si="121"/>
        <v>0.21233433734939758</v>
      </c>
      <c r="P396">
        <f t="shared" si="122"/>
        <v>212.33433734939757</v>
      </c>
      <c r="V396">
        <f t="shared" si="123"/>
        <v>686.36635526992995</v>
      </c>
      <c r="W396">
        <f t="shared" si="124"/>
        <v>120.92667328857964</v>
      </c>
      <c r="AE396">
        <f t="shared" si="108"/>
        <v>0.60435600064742989</v>
      </c>
      <c r="AF396">
        <f t="shared" si="109"/>
        <v>0.59029346242493241</v>
      </c>
      <c r="AG396">
        <f t="shared" si="110"/>
        <v>0.59359860166327905</v>
      </c>
      <c r="AI396">
        <f t="shared" si="111"/>
        <v>0.21027893029471451</v>
      </c>
      <c r="AJ396">
        <f t="shared" si="112"/>
        <v>17.87435904231878</v>
      </c>
      <c r="AL396">
        <f t="shared" si="113"/>
        <v>0.21528839708180661</v>
      </c>
      <c r="AM396">
        <f t="shared" si="114"/>
        <v>18.736143661567954</v>
      </c>
      <c r="AO396">
        <f t="shared" si="115"/>
        <v>0.21408967773381282</v>
      </c>
      <c r="AP396">
        <f t="shared" si="116"/>
        <v>18.52807995125503</v>
      </c>
    </row>
    <row r="397" spans="1:42" x14ac:dyDescent="0.2">
      <c r="A397" s="3">
        <v>400</v>
      </c>
      <c r="B397" s="3">
        <v>3.0600000000000001E-7</v>
      </c>
      <c r="C397" s="2">
        <v>2.0559999999999998E-2</v>
      </c>
      <c r="D397" s="3">
        <v>165000</v>
      </c>
      <c r="E397" s="3">
        <v>109000000000</v>
      </c>
      <c r="F397" s="3">
        <v>98600000000</v>
      </c>
      <c r="G397" s="2">
        <v>0</v>
      </c>
      <c r="H397" s="3">
        <v>10600000000</v>
      </c>
      <c r="I397" s="2"/>
      <c r="J397" s="7">
        <f t="shared" si="117"/>
        <v>0.30599999999999999</v>
      </c>
      <c r="K397" s="7">
        <f t="shared" si="118"/>
        <v>20.56</v>
      </c>
      <c r="L397" s="7">
        <f t="shared" si="119"/>
        <v>109</v>
      </c>
      <c r="M397" s="7">
        <f t="shared" si="120"/>
        <v>165</v>
      </c>
      <c r="O397">
        <f t="shared" si="121"/>
        <v>0.21254545454545454</v>
      </c>
      <c r="P397">
        <f t="shared" si="122"/>
        <v>212.54545454545453</v>
      </c>
      <c r="V397">
        <f t="shared" si="123"/>
        <v>686.66860261144973</v>
      </c>
      <c r="W397">
        <f t="shared" si="124"/>
        <v>120.14529233788558</v>
      </c>
      <c r="AE397">
        <f t="shared" ref="AE397:AE460" si="125">M397/(2*$Y$5)</f>
        <v>0.60071530184834898</v>
      </c>
      <c r="AF397">
        <f t="shared" ref="AF397:AF460" si="126">M397/(2*$Y$8)</f>
        <v>0.58673747771152918</v>
      </c>
      <c r="AG397">
        <f t="shared" ref="AG397:AG460" si="127">M397/(2*$Y$11)</f>
        <v>0.59002270647253641</v>
      </c>
      <c r="AI397">
        <f t="shared" ref="AI397:AI460" si="128">J397/(2.4*AE397)</f>
        <v>0.21224696558867992</v>
      </c>
      <c r="AJ397">
        <f t="shared" ref="AJ397:AJ460" si="129">K397/(3.14159*(AE397^2))</f>
        <v>18.135779002836305</v>
      </c>
      <c r="AL397">
        <f t="shared" ref="AL397:AL460" si="130">J397/(2.4*AF397)</f>
        <v>0.21730331680412218</v>
      </c>
      <c r="AM397">
        <f t="shared" ref="AM397:AM460" si="131">K397/(3.14159*(AF397^2))</f>
        <v>19.010167581791418</v>
      </c>
      <c r="AO397">
        <f t="shared" ref="AO397:AO460" si="132">J397/(2.4*AG397)</f>
        <v>0.21609337844345269</v>
      </c>
      <c r="AP397">
        <f t="shared" ref="AP397:AP460" si="133">K397/(3.14159*(AG397^2))</f>
        <v>18.799060852883734</v>
      </c>
    </row>
    <row r="398" spans="1:42" x14ac:dyDescent="0.2">
      <c r="A398" s="3">
        <v>400</v>
      </c>
      <c r="B398" s="3">
        <v>3.0600000000000001E-7</v>
      </c>
      <c r="C398" s="2">
        <v>2.0619999999999999E-2</v>
      </c>
      <c r="D398" s="3">
        <v>178000</v>
      </c>
      <c r="E398" s="3">
        <v>116000000000</v>
      </c>
      <c r="F398" s="3">
        <v>104000000000</v>
      </c>
      <c r="G398" s="3">
        <v>7610000000</v>
      </c>
      <c r="H398" s="3">
        <v>10300000000</v>
      </c>
      <c r="I398" s="2"/>
      <c r="J398" s="7">
        <f t="shared" ref="J398:J461" si="134">B398*(10^6)</f>
        <v>0.30599999999999999</v>
      </c>
      <c r="K398" s="7">
        <f t="shared" ref="K398:K461" si="135">C398*1000</f>
        <v>20.62</v>
      </c>
      <c r="L398" s="7">
        <f t="shared" ref="L398:L461" si="136">E398*(10^-9)</f>
        <v>116.00000000000001</v>
      </c>
      <c r="M398" s="7">
        <f t="shared" ref="M398:M461" si="137">D398*(10^-3)</f>
        <v>178</v>
      </c>
      <c r="O398">
        <f t="shared" ref="O398:O461" si="138">J398-(0.75*(K398/M398))</f>
        <v>0.21911797752808987</v>
      </c>
      <c r="P398">
        <f t="shared" ref="P398:P461" si="139">O398*1000</f>
        <v>219.11797752808988</v>
      </c>
      <c r="V398">
        <f t="shared" si="123"/>
        <v>695.9958600580245</v>
      </c>
      <c r="W398">
        <f t="shared" si="124"/>
        <v>127.87432383948398</v>
      </c>
      <c r="AE398">
        <f t="shared" si="125"/>
        <v>0.64804438623640082</v>
      </c>
      <c r="AF398">
        <f t="shared" si="126"/>
        <v>0.63296527898577093</v>
      </c>
      <c r="AG398">
        <f t="shared" si="127"/>
        <v>0.63650934395219083</v>
      </c>
      <c r="AI398">
        <f t="shared" si="128"/>
        <v>0.19674578270860779</v>
      </c>
      <c r="AJ398">
        <f t="shared" si="129"/>
        <v>15.628944516182209</v>
      </c>
      <c r="AL398">
        <f t="shared" si="130"/>
        <v>0.20143284984651771</v>
      </c>
      <c r="AM398">
        <f t="shared" si="131"/>
        <v>16.382469941471939</v>
      </c>
      <c r="AO398">
        <f t="shared" si="132"/>
        <v>0.20031127777061622</v>
      </c>
      <c r="AP398">
        <f t="shared" si="133"/>
        <v>16.200543631464807</v>
      </c>
    </row>
    <row r="399" spans="1:42" x14ac:dyDescent="0.2">
      <c r="A399" s="3">
        <v>400</v>
      </c>
      <c r="B399" s="3">
        <v>3.0699999999999998E-7</v>
      </c>
      <c r="C399" s="2">
        <v>2.0670000000000001E-2</v>
      </c>
      <c r="D399" s="3">
        <v>164000</v>
      </c>
      <c r="E399" s="3">
        <v>108000000000</v>
      </c>
      <c r="F399" s="3">
        <v>97800000000</v>
      </c>
      <c r="G399" s="2">
        <v>0</v>
      </c>
      <c r="H399" s="3">
        <v>10600000000</v>
      </c>
      <c r="I399" s="2"/>
      <c r="J399" s="7">
        <f t="shared" si="134"/>
        <v>0.307</v>
      </c>
      <c r="K399" s="7">
        <f t="shared" si="135"/>
        <v>20.67</v>
      </c>
      <c r="L399" s="7">
        <f t="shared" si="136"/>
        <v>108</v>
      </c>
      <c r="M399" s="7">
        <f t="shared" si="137"/>
        <v>164</v>
      </c>
      <c r="O399">
        <f t="shared" si="138"/>
        <v>0.21247256097560974</v>
      </c>
      <c r="P399">
        <f t="shared" si="139"/>
        <v>212.47256097560972</v>
      </c>
      <c r="V399">
        <f t="shared" si="123"/>
        <v>686.5642629542682</v>
      </c>
      <c r="W399">
        <f t="shared" si="124"/>
        <v>119.43528730603619</v>
      </c>
      <c r="AE399">
        <f t="shared" si="125"/>
        <v>0.59707460304926807</v>
      </c>
      <c r="AF399">
        <f t="shared" si="126"/>
        <v>0.58318149299812594</v>
      </c>
      <c r="AG399">
        <f t="shared" si="127"/>
        <v>0.58644681128179377</v>
      </c>
      <c r="AI399">
        <f t="shared" si="128"/>
        <v>0.21423900131305959</v>
      </c>
      <c r="AJ399">
        <f t="shared" si="129"/>
        <v>18.455838177900041</v>
      </c>
      <c r="AL399">
        <f t="shared" si="130"/>
        <v>0.2193428087181733</v>
      </c>
      <c r="AM399">
        <f t="shared" si="131"/>
        <v>19.345657915738467</v>
      </c>
      <c r="AO399">
        <f t="shared" si="132"/>
        <v>0.21812151452760031</v>
      </c>
      <c r="AP399">
        <f t="shared" si="133"/>
        <v>19.130825587533728</v>
      </c>
    </row>
    <row r="400" spans="1:42" x14ac:dyDescent="0.2">
      <c r="A400" s="3">
        <v>400</v>
      </c>
      <c r="B400" s="3">
        <v>3.0800000000000001E-7</v>
      </c>
      <c r="C400" s="2">
        <v>2.0719999999999999E-2</v>
      </c>
      <c r="D400" s="3">
        <v>163000</v>
      </c>
      <c r="E400" s="3">
        <v>106000000000</v>
      </c>
      <c r="F400" s="3">
        <v>96800000000</v>
      </c>
      <c r="G400" s="3">
        <v>4680000000</v>
      </c>
      <c r="H400" s="3">
        <v>10700000000</v>
      </c>
      <c r="I400" s="2"/>
      <c r="J400" s="7">
        <f t="shared" si="134"/>
        <v>0.308</v>
      </c>
      <c r="K400" s="7">
        <f t="shared" si="135"/>
        <v>20.72</v>
      </c>
      <c r="L400" s="7">
        <f t="shared" si="136"/>
        <v>106</v>
      </c>
      <c r="M400" s="7">
        <f t="shared" si="137"/>
        <v>163</v>
      </c>
      <c r="O400">
        <f t="shared" si="138"/>
        <v>0.21266257668711655</v>
      </c>
      <c r="P400">
        <f t="shared" si="139"/>
        <v>212.66257668711654</v>
      </c>
      <c r="V400">
        <f t="shared" si="123"/>
        <v>686.83620919483519</v>
      </c>
      <c r="W400">
        <f t="shared" si="124"/>
        <v>118.66002244631346</v>
      </c>
      <c r="AE400">
        <f t="shared" si="125"/>
        <v>0.59343390425018727</v>
      </c>
      <c r="AF400">
        <f t="shared" si="126"/>
        <v>0.57962550828472281</v>
      </c>
      <c r="AG400">
        <f t="shared" si="127"/>
        <v>0.58287091609105113</v>
      </c>
      <c r="AI400">
        <f t="shared" si="128"/>
        <v>0.21625547919356652</v>
      </c>
      <c r="AJ400">
        <f t="shared" si="129"/>
        <v>18.728178298576591</v>
      </c>
      <c r="AL400">
        <f t="shared" si="130"/>
        <v>0.2214073250728876</v>
      </c>
      <c r="AM400">
        <f t="shared" si="131"/>
        <v>19.631128494779869</v>
      </c>
      <c r="AO400">
        <f t="shared" si="132"/>
        <v>0.22017453571707496</v>
      </c>
      <c r="AP400">
        <f t="shared" si="133"/>
        <v>19.413126033545979</v>
      </c>
    </row>
    <row r="401" spans="1:42" x14ac:dyDescent="0.2">
      <c r="A401" s="3">
        <v>400</v>
      </c>
      <c r="B401" s="3">
        <v>3.0899999999999997E-7</v>
      </c>
      <c r="C401" s="2">
        <v>2.077E-2</v>
      </c>
      <c r="D401" s="3">
        <v>172000</v>
      </c>
      <c r="E401" s="3">
        <v>112000000000</v>
      </c>
      <c r="F401" s="3">
        <v>101000000000</v>
      </c>
      <c r="G401" s="2">
        <v>0</v>
      </c>
      <c r="H401" s="3">
        <v>10400000000</v>
      </c>
      <c r="I401" s="2"/>
      <c r="J401" s="7">
        <f t="shared" si="134"/>
        <v>0.309</v>
      </c>
      <c r="K401" s="7">
        <f t="shared" si="135"/>
        <v>20.77</v>
      </c>
      <c r="L401" s="7">
        <f t="shared" si="136"/>
        <v>112</v>
      </c>
      <c r="M401" s="7">
        <f t="shared" si="137"/>
        <v>172</v>
      </c>
      <c r="O401">
        <f t="shared" si="138"/>
        <v>0.21843313953488372</v>
      </c>
      <c r="P401">
        <f t="shared" si="139"/>
        <v>218.43313953488371</v>
      </c>
      <c r="V401">
        <f t="shared" si="123"/>
        <v>695.03132440787726</v>
      </c>
      <c r="W401">
        <f t="shared" si="124"/>
        <v>123.73543030347093</v>
      </c>
      <c r="AE401">
        <f t="shared" si="125"/>
        <v>0.62620019344191535</v>
      </c>
      <c r="AF401">
        <f t="shared" si="126"/>
        <v>0.61162937070535162</v>
      </c>
      <c r="AG401">
        <f t="shared" si="127"/>
        <v>0.61505397280773488</v>
      </c>
      <c r="AI401">
        <f t="shared" si="128"/>
        <v>0.20560517442884263</v>
      </c>
      <c r="AJ401">
        <f t="shared" si="129"/>
        <v>16.860117455278658</v>
      </c>
      <c r="AL401">
        <f t="shared" si="130"/>
        <v>0.21050329851151711</v>
      </c>
      <c r="AM401">
        <f t="shared" si="131"/>
        <v>17.673001982622743</v>
      </c>
      <c r="AO401">
        <f t="shared" si="132"/>
        <v>0.20933122244906968</v>
      </c>
      <c r="AP401">
        <f t="shared" si="133"/>
        <v>17.476744394546355</v>
      </c>
    </row>
    <row r="402" spans="1:42" x14ac:dyDescent="0.2">
      <c r="A402" s="3">
        <v>400</v>
      </c>
      <c r="B402" s="3">
        <v>3.0899999999999997E-7</v>
      </c>
      <c r="C402" s="2">
        <v>2.0820000000000002E-2</v>
      </c>
      <c r="D402" s="3">
        <v>160000</v>
      </c>
      <c r="E402" s="3">
        <v>105000000000</v>
      </c>
      <c r="F402" s="3">
        <v>95300000000</v>
      </c>
      <c r="G402" s="3">
        <v>8050000000</v>
      </c>
      <c r="H402" s="3">
        <v>10800000000</v>
      </c>
      <c r="I402" s="2"/>
      <c r="J402" s="7">
        <f t="shared" si="134"/>
        <v>0.309</v>
      </c>
      <c r="K402" s="7">
        <f t="shared" si="135"/>
        <v>20.82</v>
      </c>
      <c r="L402" s="7">
        <f t="shared" si="136"/>
        <v>105</v>
      </c>
      <c r="M402" s="7">
        <f t="shared" si="137"/>
        <v>160</v>
      </c>
      <c r="O402">
        <f t="shared" si="138"/>
        <v>0.21140625000000002</v>
      </c>
      <c r="P402">
        <f t="shared" si="139"/>
        <v>211.40625000000003</v>
      </c>
      <c r="V402">
        <f t="shared" si="123"/>
        <v>685.03566352092241</v>
      </c>
      <c r="W402">
        <f t="shared" si="124"/>
        <v>116.78224107168201</v>
      </c>
      <c r="AE402">
        <f t="shared" si="125"/>
        <v>0.58251180785294454</v>
      </c>
      <c r="AF402">
        <f t="shared" si="126"/>
        <v>0.5689575541445131</v>
      </c>
      <c r="AG402">
        <f t="shared" si="127"/>
        <v>0.57214323051882321</v>
      </c>
      <c r="AI402">
        <f t="shared" si="128"/>
        <v>0.2210255625110058</v>
      </c>
      <c r="AJ402">
        <f t="shared" si="129"/>
        <v>19.530877358556484</v>
      </c>
      <c r="AL402">
        <f t="shared" si="130"/>
        <v>0.22629104589988092</v>
      </c>
      <c r="AM402">
        <f t="shared" si="131"/>
        <v>20.472528450391248</v>
      </c>
      <c r="AO402">
        <f t="shared" si="132"/>
        <v>0.2250310641327499</v>
      </c>
      <c r="AP402">
        <f t="shared" si="133"/>
        <v>20.245182294970125</v>
      </c>
    </row>
    <row r="403" spans="1:42" x14ac:dyDescent="0.2">
      <c r="A403" s="3">
        <v>400</v>
      </c>
      <c r="B403" s="3">
        <v>3.1E-7</v>
      </c>
      <c r="C403" s="2">
        <v>2.0879999999999999E-2</v>
      </c>
      <c r="D403" s="3">
        <v>166000</v>
      </c>
      <c r="E403" s="3">
        <v>108000000000</v>
      </c>
      <c r="F403" s="3">
        <v>98000000000</v>
      </c>
      <c r="G403" s="3">
        <v>8790000000</v>
      </c>
      <c r="H403" s="3">
        <v>10600000000</v>
      </c>
      <c r="I403" s="2"/>
      <c r="J403" s="7">
        <f t="shared" si="134"/>
        <v>0.31</v>
      </c>
      <c r="K403" s="7">
        <f t="shared" si="135"/>
        <v>20.88</v>
      </c>
      <c r="L403" s="7">
        <f t="shared" si="136"/>
        <v>108</v>
      </c>
      <c r="M403" s="7">
        <f t="shared" si="137"/>
        <v>166</v>
      </c>
      <c r="O403">
        <f t="shared" si="138"/>
        <v>0.21566265060240963</v>
      </c>
      <c r="P403">
        <f t="shared" si="139"/>
        <v>215.66265060240963</v>
      </c>
      <c r="V403">
        <f t="shared" si="123"/>
        <v>691.11203740634949</v>
      </c>
      <c r="W403">
        <f t="shared" si="124"/>
        <v>120.09630205760536</v>
      </c>
      <c r="AE403">
        <f t="shared" si="125"/>
        <v>0.60435600064742989</v>
      </c>
      <c r="AF403">
        <f t="shared" si="126"/>
        <v>0.59029346242493241</v>
      </c>
      <c r="AG403">
        <f t="shared" si="127"/>
        <v>0.59359860166327905</v>
      </c>
      <c r="AI403">
        <f t="shared" si="128"/>
        <v>0.21372612587331638</v>
      </c>
      <c r="AJ403">
        <f t="shared" si="129"/>
        <v>18.196812130844275</v>
      </c>
      <c r="AL403">
        <f t="shared" si="130"/>
        <v>0.21881771506675426</v>
      </c>
      <c r="AM403">
        <f t="shared" si="131"/>
        <v>19.074143327817595</v>
      </c>
      <c r="AO403">
        <f t="shared" si="132"/>
        <v>0.21759934458190811</v>
      </c>
      <c r="AP403">
        <f t="shared" si="133"/>
        <v>18.862326152228423</v>
      </c>
    </row>
    <row r="404" spans="1:42" x14ac:dyDescent="0.2">
      <c r="A404" s="3">
        <v>400</v>
      </c>
      <c r="B404" s="3">
        <v>3.1E-7</v>
      </c>
      <c r="C404" s="2">
        <v>2.0930000000000001E-2</v>
      </c>
      <c r="D404" s="3">
        <v>166000</v>
      </c>
      <c r="E404" s="3">
        <v>108000000000</v>
      </c>
      <c r="F404" s="3">
        <v>97900000000</v>
      </c>
      <c r="G404" s="3">
        <v>3900000000</v>
      </c>
      <c r="H404" s="3">
        <v>10600000000</v>
      </c>
      <c r="I404" s="2"/>
      <c r="J404" s="7">
        <f t="shared" si="134"/>
        <v>0.31</v>
      </c>
      <c r="K404" s="7">
        <f t="shared" si="135"/>
        <v>20.93</v>
      </c>
      <c r="L404" s="7">
        <f t="shared" si="136"/>
        <v>108</v>
      </c>
      <c r="M404" s="7">
        <f t="shared" si="137"/>
        <v>166</v>
      </c>
      <c r="O404">
        <f t="shared" si="138"/>
        <v>0.21543674698795182</v>
      </c>
      <c r="P404">
        <f t="shared" si="139"/>
        <v>215.43674698795181</v>
      </c>
      <c r="V404">
        <f t="shared" si="123"/>
        <v>690.79122823790362</v>
      </c>
      <c r="W404">
        <f t="shared" si="124"/>
        <v>120.15207577507829</v>
      </c>
      <c r="AE404">
        <f t="shared" si="125"/>
        <v>0.60435600064742989</v>
      </c>
      <c r="AF404">
        <f t="shared" si="126"/>
        <v>0.59029346242493241</v>
      </c>
      <c r="AG404">
        <f t="shared" si="127"/>
        <v>0.59359860166327905</v>
      </c>
      <c r="AI404">
        <f t="shared" si="128"/>
        <v>0.21372612587331638</v>
      </c>
      <c r="AJ404">
        <f t="shared" si="129"/>
        <v>18.240386872536909</v>
      </c>
      <c r="AL404">
        <f t="shared" si="130"/>
        <v>0.21881771506675426</v>
      </c>
      <c r="AM404">
        <f t="shared" si="131"/>
        <v>19.119818958391871</v>
      </c>
      <c r="AO404">
        <f t="shared" si="132"/>
        <v>0.21759934458190811</v>
      </c>
      <c r="AP404">
        <f t="shared" si="133"/>
        <v>18.907494557765371</v>
      </c>
    </row>
    <row r="405" spans="1:42" x14ac:dyDescent="0.2">
      <c r="A405" s="3">
        <v>400</v>
      </c>
      <c r="B405" s="3">
        <v>3.1100000000000002E-7</v>
      </c>
      <c r="C405" s="2">
        <v>2.0979999999999999E-2</v>
      </c>
      <c r="D405" s="3">
        <v>166000</v>
      </c>
      <c r="E405" s="3">
        <v>108000000000</v>
      </c>
      <c r="F405" s="3">
        <v>97900000000</v>
      </c>
      <c r="G405" s="3">
        <v>9880000000</v>
      </c>
      <c r="H405" s="3">
        <v>10600000000</v>
      </c>
      <c r="I405" s="2"/>
      <c r="J405" s="7">
        <f t="shared" si="134"/>
        <v>0.311</v>
      </c>
      <c r="K405" s="7">
        <f t="shared" si="135"/>
        <v>20.979999999999997</v>
      </c>
      <c r="L405" s="7">
        <f t="shared" si="136"/>
        <v>108</v>
      </c>
      <c r="M405" s="7">
        <f t="shared" si="137"/>
        <v>166</v>
      </c>
      <c r="O405">
        <f t="shared" si="138"/>
        <v>0.216210843373494</v>
      </c>
      <c r="P405">
        <f t="shared" si="139"/>
        <v>216.21084337349399</v>
      </c>
      <c r="V405">
        <f t="shared" si="123"/>
        <v>691.88975695925103</v>
      </c>
      <c r="W405">
        <f t="shared" si="124"/>
        <v>119.96130765798907</v>
      </c>
      <c r="AE405">
        <f t="shared" si="125"/>
        <v>0.60435600064742989</v>
      </c>
      <c r="AF405">
        <f t="shared" si="126"/>
        <v>0.59029346242493241</v>
      </c>
      <c r="AG405">
        <f t="shared" si="127"/>
        <v>0.59359860166327905</v>
      </c>
      <c r="AI405">
        <f t="shared" si="128"/>
        <v>0.21441556498903674</v>
      </c>
      <c r="AJ405">
        <f t="shared" si="129"/>
        <v>18.283961614229543</v>
      </c>
      <c r="AL405">
        <f t="shared" si="130"/>
        <v>0.21952357866374378</v>
      </c>
      <c r="AM405">
        <f t="shared" si="131"/>
        <v>19.165494588966144</v>
      </c>
      <c r="AO405">
        <f t="shared" si="132"/>
        <v>0.21830127795152718</v>
      </c>
      <c r="AP405">
        <f t="shared" si="133"/>
        <v>18.952662963302313</v>
      </c>
    </row>
    <row r="406" spans="1:42" x14ac:dyDescent="0.2">
      <c r="A406" s="3">
        <v>400</v>
      </c>
      <c r="B406" s="3">
        <v>3.1199999999999999E-7</v>
      </c>
      <c r="C406" s="2">
        <v>2.103E-2</v>
      </c>
      <c r="D406" s="3">
        <v>169000</v>
      </c>
      <c r="E406" s="3">
        <v>109000000000</v>
      </c>
      <c r="F406" s="3">
        <v>99000000000</v>
      </c>
      <c r="G406" s="3">
        <v>3090000000</v>
      </c>
      <c r="H406" s="3">
        <v>10500000000</v>
      </c>
      <c r="I406" s="2"/>
      <c r="J406" s="7">
        <f t="shared" si="134"/>
        <v>0.312</v>
      </c>
      <c r="K406" s="7">
        <f t="shared" si="135"/>
        <v>21.03</v>
      </c>
      <c r="L406" s="7">
        <f t="shared" si="136"/>
        <v>109</v>
      </c>
      <c r="M406" s="7">
        <f t="shared" si="137"/>
        <v>169</v>
      </c>
      <c r="O406">
        <f t="shared" si="138"/>
        <v>0.21867159763313609</v>
      </c>
      <c r="P406">
        <f t="shared" si="139"/>
        <v>218.67159763313609</v>
      </c>
      <c r="V406">
        <f t="shared" si="123"/>
        <v>695.36736309505238</v>
      </c>
      <c r="W406">
        <f t="shared" si="124"/>
        <v>121.51850156425787</v>
      </c>
      <c r="AE406">
        <f t="shared" si="125"/>
        <v>0.61527809704467262</v>
      </c>
      <c r="AF406">
        <f t="shared" si="126"/>
        <v>0.60096141656514201</v>
      </c>
      <c r="AG406">
        <f t="shared" si="127"/>
        <v>0.60432628723550696</v>
      </c>
      <c r="AI406">
        <f t="shared" si="128"/>
        <v>0.21128657207922888</v>
      </c>
      <c r="AJ406">
        <f t="shared" si="129"/>
        <v>17.682629873736616</v>
      </c>
      <c r="AL406">
        <f t="shared" si="130"/>
        <v>0.21632004387740672</v>
      </c>
      <c r="AM406">
        <f t="shared" si="131"/>
        <v>18.535170567194985</v>
      </c>
      <c r="AO406">
        <f t="shared" si="132"/>
        <v>0.21511558035094835</v>
      </c>
      <c r="AP406">
        <f t="shared" si="133"/>
        <v>18.329338650598185</v>
      </c>
    </row>
    <row r="407" spans="1:42" x14ac:dyDescent="0.2">
      <c r="A407" s="3">
        <v>410</v>
      </c>
      <c r="B407" s="3">
        <v>3.1300000000000001E-7</v>
      </c>
      <c r="C407" s="2">
        <v>2.1090000000000001E-2</v>
      </c>
      <c r="D407" s="3">
        <v>174000</v>
      </c>
      <c r="E407" s="3">
        <v>112000000000</v>
      </c>
      <c r="F407" s="3">
        <v>101000000000</v>
      </c>
      <c r="G407" s="2">
        <v>0</v>
      </c>
      <c r="H407" s="3">
        <v>10400000000</v>
      </c>
      <c r="I407" s="2"/>
      <c r="J407" s="7">
        <f t="shared" si="134"/>
        <v>0.313</v>
      </c>
      <c r="K407" s="7">
        <f t="shared" si="135"/>
        <v>21.09</v>
      </c>
      <c r="L407" s="7">
        <f t="shared" si="136"/>
        <v>112</v>
      </c>
      <c r="M407" s="7">
        <f t="shared" si="137"/>
        <v>174</v>
      </c>
      <c r="O407">
        <f t="shared" si="138"/>
        <v>0.22209482758620691</v>
      </c>
      <c r="P407">
        <f t="shared" si="139"/>
        <v>222.09482758620692</v>
      </c>
      <c r="V407">
        <f t="shared" si="123"/>
        <v>700.16910828917059</v>
      </c>
      <c r="W407">
        <f t="shared" si="124"/>
        <v>124.25569618828271</v>
      </c>
      <c r="AE407">
        <f t="shared" si="125"/>
        <v>0.63348159104007717</v>
      </c>
      <c r="AF407">
        <f t="shared" si="126"/>
        <v>0.61874134013215809</v>
      </c>
      <c r="AG407">
        <f t="shared" si="127"/>
        <v>0.62220576318922027</v>
      </c>
      <c r="AI407">
        <f t="shared" si="128"/>
        <v>0.20587285962413368</v>
      </c>
      <c r="AJ407">
        <f t="shared" si="129"/>
        <v>16.72857994854968</v>
      </c>
      <c r="AL407">
        <f t="shared" si="130"/>
        <v>0.21077736076081605</v>
      </c>
      <c r="AM407">
        <f t="shared" si="131"/>
        <v>17.535122598129924</v>
      </c>
      <c r="AO407">
        <f t="shared" si="132"/>
        <v>0.20960375872797146</v>
      </c>
      <c r="AP407">
        <f t="shared" si="133"/>
        <v>17.340396152044718</v>
      </c>
    </row>
    <row r="408" spans="1:42" x14ac:dyDescent="0.2">
      <c r="A408" s="3">
        <v>410</v>
      </c>
      <c r="B408" s="3">
        <v>3.1399999999999998E-7</v>
      </c>
      <c r="C408" s="2">
        <v>2.1139999999999999E-2</v>
      </c>
      <c r="D408" s="3">
        <v>176000</v>
      </c>
      <c r="E408" s="3">
        <v>113000000000</v>
      </c>
      <c r="F408" s="3">
        <v>102000000000</v>
      </c>
      <c r="G408" s="3">
        <v>2570000000</v>
      </c>
      <c r="H408" s="3">
        <v>10300000000</v>
      </c>
      <c r="I408" s="2"/>
      <c r="J408" s="7">
        <f t="shared" si="134"/>
        <v>0.314</v>
      </c>
      <c r="K408" s="7">
        <f t="shared" si="135"/>
        <v>21.14</v>
      </c>
      <c r="L408" s="7">
        <f t="shared" si="136"/>
        <v>113</v>
      </c>
      <c r="M408" s="7">
        <f t="shared" si="137"/>
        <v>176</v>
      </c>
      <c r="O408">
        <f t="shared" si="138"/>
        <v>0.22391477272727273</v>
      </c>
      <c r="P408">
        <f t="shared" si="139"/>
        <v>223.91477272727272</v>
      </c>
      <c r="V408">
        <f t="shared" si="123"/>
        <v>702.70516002935585</v>
      </c>
      <c r="W408">
        <f t="shared" si="124"/>
        <v>125.23033130470218</v>
      </c>
      <c r="AE408">
        <f t="shared" si="125"/>
        <v>0.64076298863823899</v>
      </c>
      <c r="AF408">
        <f t="shared" si="126"/>
        <v>0.62585330955896445</v>
      </c>
      <c r="AG408">
        <f t="shared" si="127"/>
        <v>0.62935755357070555</v>
      </c>
      <c r="AI408">
        <f t="shared" si="128"/>
        <v>0.20418366174891389</v>
      </c>
      <c r="AJ408">
        <f t="shared" si="129"/>
        <v>16.389308887666981</v>
      </c>
      <c r="AL408">
        <f t="shared" si="130"/>
        <v>0.2090479211902401</v>
      </c>
      <c r="AM408">
        <f t="shared" si="131"/>
        <v>17.179494106956561</v>
      </c>
      <c r="AO408">
        <f t="shared" si="132"/>
        <v>0.20788394862513523</v>
      </c>
      <c r="AP408">
        <f t="shared" si="133"/>
        <v>16.988716893152183</v>
      </c>
    </row>
    <row r="409" spans="1:42" x14ac:dyDescent="0.2">
      <c r="A409" s="3">
        <v>410</v>
      </c>
      <c r="B409" s="3">
        <v>3.15E-7</v>
      </c>
      <c r="C409" s="2">
        <v>2.1190000000000001E-2</v>
      </c>
      <c r="D409" s="3">
        <v>168000</v>
      </c>
      <c r="E409" s="3">
        <v>108000000000</v>
      </c>
      <c r="F409" s="3">
        <v>98100000000</v>
      </c>
      <c r="G409" s="3">
        <v>11700000000</v>
      </c>
      <c r="H409" s="3">
        <v>10500000000</v>
      </c>
      <c r="I409" s="2"/>
      <c r="J409" s="7">
        <f t="shared" si="134"/>
        <v>0.315</v>
      </c>
      <c r="K409" s="7">
        <f t="shared" si="135"/>
        <v>21.19</v>
      </c>
      <c r="L409" s="7">
        <f t="shared" si="136"/>
        <v>108</v>
      </c>
      <c r="M409" s="7">
        <f t="shared" si="137"/>
        <v>168</v>
      </c>
      <c r="O409">
        <f t="shared" si="138"/>
        <v>0.2204017857142857</v>
      </c>
      <c r="P409">
        <f t="shared" si="139"/>
        <v>220.40178571428569</v>
      </c>
      <c r="V409">
        <f t="shared" si="123"/>
        <v>697.79948015655987</v>
      </c>
      <c r="W409">
        <f t="shared" si="124"/>
        <v>120.37842157915274</v>
      </c>
      <c r="AE409">
        <f t="shared" si="125"/>
        <v>0.61163739824559171</v>
      </c>
      <c r="AF409">
        <f t="shared" si="126"/>
        <v>0.59740543185173878</v>
      </c>
      <c r="AG409">
        <f t="shared" si="127"/>
        <v>0.60075039204476433</v>
      </c>
      <c r="AI409">
        <f t="shared" si="128"/>
        <v>0.21458792476796684</v>
      </c>
      <c r="AJ409">
        <f t="shared" si="129"/>
        <v>18.029902837530283</v>
      </c>
      <c r="AL409">
        <f t="shared" si="130"/>
        <v>0.21970004456299119</v>
      </c>
      <c r="AM409">
        <f t="shared" si="131"/>
        <v>18.899186760671455</v>
      </c>
      <c r="AO409">
        <f t="shared" si="132"/>
        <v>0.21847676129393193</v>
      </c>
      <c r="AP409">
        <f t="shared" si="133"/>
        <v>18.689312466881315</v>
      </c>
    </row>
    <row r="410" spans="1:42" x14ac:dyDescent="0.2">
      <c r="A410" s="3">
        <v>410</v>
      </c>
      <c r="B410" s="3">
        <v>3.15E-7</v>
      </c>
      <c r="C410" s="2">
        <v>2.1239999999999998E-2</v>
      </c>
      <c r="D410" s="3">
        <v>163000</v>
      </c>
      <c r="E410" s="3">
        <v>106000000000</v>
      </c>
      <c r="F410" s="3">
        <v>96100000000</v>
      </c>
      <c r="G410" s="3">
        <v>15900000000</v>
      </c>
      <c r="H410" s="3">
        <v>10700000000</v>
      </c>
      <c r="I410" s="2"/>
      <c r="J410" s="7">
        <f t="shared" si="134"/>
        <v>0.315</v>
      </c>
      <c r="K410" s="7">
        <f t="shared" si="135"/>
        <v>21.24</v>
      </c>
      <c r="L410" s="7">
        <f t="shared" si="136"/>
        <v>106</v>
      </c>
      <c r="M410" s="7">
        <f t="shared" si="137"/>
        <v>163</v>
      </c>
      <c r="O410">
        <f t="shared" si="138"/>
        <v>0.21726993865030675</v>
      </c>
      <c r="P410">
        <f t="shared" si="139"/>
        <v>217.26993865030676</v>
      </c>
      <c r="V410">
        <f t="shared" si="123"/>
        <v>693.38918781510301</v>
      </c>
      <c r="W410">
        <f t="shared" si="124"/>
        <v>117.53860808936139</v>
      </c>
      <c r="AE410">
        <f t="shared" si="125"/>
        <v>0.59343390425018727</v>
      </c>
      <c r="AF410">
        <f t="shared" si="126"/>
        <v>0.57962550828472281</v>
      </c>
      <c r="AG410">
        <f t="shared" si="127"/>
        <v>0.58287091609105113</v>
      </c>
      <c r="AI410">
        <f t="shared" si="128"/>
        <v>0.22117037644796578</v>
      </c>
      <c r="AJ410">
        <f t="shared" si="129"/>
        <v>19.198190495259016</v>
      </c>
      <c r="AL410">
        <f t="shared" si="130"/>
        <v>0.22643930973363505</v>
      </c>
      <c r="AM410">
        <f t="shared" si="131"/>
        <v>20.123801603722221</v>
      </c>
      <c r="AO410">
        <f t="shared" si="132"/>
        <v>0.22517850243791757</v>
      </c>
      <c r="AP410">
        <f t="shared" si="133"/>
        <v>19.900328038248869</v>
      </c>
    </row>
    <row r="411" spans="1:42" x14ac:dyDescent="0.2">
      <c r="A411" s="3">
        <v>410</v>
      </c>
      <c r="B411" s="3">
        <v>3.1600000000000002E-7</v>
      </c>
      <c r="C411" s="2">
        <v>2.129E-2</v>
      </c>
      <c r="D411" s="3">
        <v>181000</v>
      </c>
      <c r="E411" s="3">
        <v>115000000000</v>
      </c>
      <c r="F411" s="3">
        <v>104000000000</v>
      </c>
      <c r="G411" s="3">
        <v>7520000000</v>
      </c>
      <c r="H411" s="3">
        <v>10200000000</v>
      </c>
      <c r="I411" s="2"/>
      <c r="J411" s="7">
        <f t="shared" si="134"/>
        <v>0.316</v>
      </c>
      <c r="K411" s="7">
        <f t="shared" si="135"/>
        <v>21.29</v>
      </c>
      <c r="L411" s="7">
        <f t="shared" si="136"/>
        <v>115.00000000000001</v>
      </c>
      <c r="M411" s="7">
        <f t="shared" si="137"/>
        <v>181</v>
      </c>
      <c r="O411">
        <f t="shared" si="138"/>
        <v>0.22778176795580113</v>
      </c>
      <c r="P411">
        <f t="shared" si="139"/>
        <v>227.78176795580112</v>
      </c>
      <c r="V411">
        <f t="shared" si="123"/>
        <v>708.05587959252773</v>
      </c>
      <c r="W411">
        <f t="shared" si="124"/>
        <v>127.81477085125114</v>
      </c>
      <c r="AE411">
        <f t="shared" si="125"/>
        <v>0.65896648263364344</v>
      </c>
      <c r="AF411">
        <f t="shared" si="126"/>
        <v>0.64363323312598053</v>
      </c>
      <c r="AG411">
        <f t="shared" si="127"/>
        <v>0.64723702952441875</v>
      </c>
      <c r="AI411">
        <f t="shared" si="128"/>
        <v>0.19980783565871829</v>
      </c>
      <c r="AJ411">
        <f t="shared" si="129"/>
        <v>15.606283961131199</v>
      </c>
      <c r="AL411">
        <f t="shared" si="130"/>
        <v>0.20456784996509822</v>
      </c>
      <c r="AM411">
        <f t="shared" si="131"/>
        <v>16.358716842752067</v>
      </c>
      <c r="AO411">
        <f t="shared" si="132"/>
        <v>0.20342882230241618</v>
      </c>
      <c r="AP411">
        <f t="shared" si="133"/>
        <v>16.177054309429209</v>
      </c>
    </row>
    <row r="412" spans="1:42" x14ac:dyDescent="0.2">
      <c r="A412" s="3">
        <v>410</v>
      </c>
      <c r="B412" s="3">
        <v>3.1699999999999999E-7</v>
      </c>
      <c r="C412" s="2">
        <v>2.1340000000000001E-2</v>
      </c>
      <c r="D412" s="3">
        <v>168000</v>
      </c>
      <c r="E412" s="3">
        <v>108000000000</v>
      </c>
      <c r="F412" s="3">
        <v>97900000000</v>
      </c>
      <c r="G412" s="2">
        <v>0</v>
      </c>
      <c r="H412" s="3">
        <v>10500000000</v>
      </c>
      <c r="I412" s="2"/>
      <c r="J412" s="7">
        <f t="shared" si="134"/>
        <v>0.317</v>
      </c>
      <c r="K412" s="7">
        <f t="shared" si="135"/>
        <v>21.34</v>
      </c>
      <c r="L412" s="7">
        <f t="shared" si="136"/>
        <v>108</v>
      </c>
      <c r="M412" s="7">
        <f t="shared" si="137"/>
        <v>168</v>
      </c>
      <c r="O412">
        <f t="shared" si="138"/>
        <v>0.22173214285714288</v>
      </c>
      <c r="P412">
        <f t="shared" si="139"/>
        <v>221.73214285714289</v>
      </c>
      <c r="V412">
        <f t="shared" si="123"/>
        <v>699.66233381162056</v>
      </c>
      <c r="W412">
        <f t="shared" si="124"/>
        <v>120.05791356865645</v>
      </c>
      <c r="AE412">
        <f t="shared" si="125"/>
        <v>0.61163739824559171</v>
      </c>
      <c r="AF412">
        <f t="shared" si="126"/>
        <v>0.59740543185173878</v>
      </c>
      <c r="AG412">
        <f t="shared" si="127"/>
        <v>0.60075039204476433</v>
      </c>
      <c r="AI412">
        <f t="shared" si="128"/>
        <v>0.21595038778236664</v>
      </c>
      <c r="AJ412">
        <f t="shared" si="129"/>
        <v>18.157533107734601</v>
      </c>
      <c r="AL412">
        <f t="shared" si="130"/>
        <v>0.22109496548085145</v>
      </c>
      <c r="AM412">
        <f t="shared" si="131"/>
        <v>19.032970527264219</v>
      </c>
      <c r="AO412">
        <f t="shared" si="132"/>
        <v>0.21986391533389341</v>
      </c>
      <c r="AP412">
        <f t="shared" si="133"/>
        <v>18.821610573064994</v>
      </c>
    </row>
    <row r="413" spans="1:42" x14ac:dyDescent="0.2">
      <c r="A413" s="3">
        <v>410</v>
      </c>
      <c r="B413" s="3">
        <v>3.1800000000000002E-7</v>
      </c>
      <c r="C413" s="2">
        <v>2.1399999999999999E-2</v>
      </c>
      <c r="D413" s="3">
        <v>176000</v>
      </c>
      <c r="E413" s="3">
        <v>112000000000</v>
      </c>
      <c r="F413" s="3">
        <v>102000000000</v>
      </c>
      <c r="G413" s="3">
        <v>1630000000</v>
      </c>
      <c r="H413" s="3">
        <v>10300000000</v>
      </c>
      <c r="I413" s="2"/>
      <c r="J413" s="7">
        <f t="shared" si="134"/>
        <v>0.318</v>
      </c>
      <c r="K413" s="7">
        <f t="shared" si="135"/>
        <v>21.4</v>
      </c>
      <c r="L413" s="7">
        <f t="shared" si="136"/>
        <v>112</v>
      </c>
      <c r="M413" s="7">
        <f t="shared" si="137"/>
        <v>176</v>
      </c>
      <c r="O413">
        <f t="shared" si="138"/>
        <v>0.22680681818181819</v>
      </c>
      <c r="P413">
        <f t="shared" si="139"/>
        <v>226.80681818181819</v>
      </c>
      <c r="V413">
        <f t="shared" si="123"/>
        <v>706.71165242599159</v>
      </c>
      <c r="W413">
        <f t="shared" si="124"/>
        <v>124.52037503261</v>
      </c>
      <c r="AE413">
        <f t="shared" si="125"/>
        <v>0.64076298863823899</v>
      </c>
      <c r="AF413">
        <f t="shared" si="126"/>
        <v>0.62585330955896445</v>
      </c>
      <c r="AG413">
        <f t="shared" si="127"/>
        <v>0.62935755357070555</v>
      </c>
      <c r="AI413">
        <f t="shared" si="128"/>
        <v>0.20678472750367713</v>
      </c>
      <c r="AJ413">
        <f t="shared" si="129"/>
        <v>16.590880330940085</v>
      </c>
      <c r="AL413">
        <f t="shared" si="130"/>
        <v>0.21171095203342788</v>
      </c>
      <c r="AM413">
        <f t="shared" si="131"/>
        <v>17.390784006096041</v>
      </c>
      <c r="AO413">
        <f t="shared" si="132"/>
        <v>0.21053215179233439</v>
      </c>
      <c r="AP413">
        <f t="shared" si="133"/>
        <v>17.197660431100129</v>
      </c>
    </row>
    <row r="414" spans="1:42" x14ac:dyDescent="0.2">
      <c r="A414" s="3">
        <v>410</v>
      </c>
      <c r="B414" s="3">
        <v>3.1800000000000002E-7</v>
      </c>
      <c r="C414" s="2">
        <v>2.145E-2</v>
      </c>
      <c r="D414" s="3">
        <v>169000</v>
      </c>
      <c r="E414" s="3">
        <v>108000000000</v>
      </c>
      <c r="F414" s="3">
        <v>98000000000</v>
      </c>
      <c r="G414" s="3">
        <v>9610000</v>
      </c>
      <c r="H414" s="3">
        <v>10500000000</v>
      </c>
      <c r="I414" s="3"/>
      <c r="J414" s="7">
        <f t="shared" si="134"/>
        <v>0.318</v>
      </c>
      <c r="K414" s="7">
        <f t="shared" si="135"/>
        <v>21.45</v>
      </c>
      <c r="L414" s="7">
        <f t="shared" si="136"/>
        <v>108</v>
      </c>
      <c r="M414" s="7">
        <f t="shared" si="137"/>
        <v>169</v>
      </c>
      <c r="O414">
        <f t="shared" si="138"/>
        <v>0.22280769230769232</v>
      </c>
      <c r="P414">
        <f t="shared" si="139"/>
        <v>222.80769230769232</v>
      </c>
      <c r="V414">
        <f t="shared" si="123"/>
        <v>701.16384288571282</v>
      </c>
      <c r="W414">
        <f t="shared" si="124"/>
        <v>120.51391533857685</v>
      </c>
      <c r="AE414">
        <f t="shared" si="125"/>
        <v>0.61527809704467262</v>
      </c>
      <c r="AF414">
        <f t="shared" si="126"/>
        <v>0.60096141656514201</v>
      </c>
      <c r="AG414">
        <f t="shared" si="127"/>
        <v>0.60432628723550696</v>
      </c>
      <c r="AI414">
        <f t="shared" si="128"/>
        <v>0.21534977538844483</v>
      </c>
      <c r="AJ414">
        <f t="shared" si="129"/>
        <v>18.035777973925363</v>
      </c>
      <c r="AL414">
        <f t="shared" si="130"/>
        <v>0.220480044721203</v>
      </c>
      <c r="AM414">
        <f t="shared" si="131"/>
        <v>18.905345157695312</v>
      </c>
      <c r="AO414">
        <f t="shared" si="132"/>
        <v>0.21925241843462046</v>
      </c>
      <c r="AP414">
        <f t="shared" si="133"/>
        <v>18.695402475289161</v>
      </c>
    </row>
    <row r="415" spans="1:42" x14ac:dyDescent="0.2">
      <c r="A415" s="3">
        <v>410</v>
      </c>
      <c r="B415" s="3">
        <v>3.1899999999999998E-7</v>
      </c>
      <c r="C415" s="2">
        <v>2.1499999999999998E-2</v>
      </c>
      <c r="D415" s="3">
        <v>176000</v>
      </c>
      <c r="E415" s="3">
        <v>112000000000</v>
      </c>
      <c r="F415" s="3">
        <v>101000000000</v>
      </c>
      <c r="G415" s="3">
        <v>3080000000</v>
      </c>
      <c r="H415" s="3">
        <v>10300000000</v>
      </c>
      <c r="I415" s="2"/>
      <c r="J415" s="7">
        <f t="shared" si="134"/>
        <v>0.31900000000000001</v>
      </c>
      <c r="K415" s="7">
        <f t="shared" si="135"/>
        <v>21.5</v>
      </c>
      <c r="L415" s="7">
        <f t="shared" si="136"/>
        <v>112</v>
      </c>
      <c r="M415" s="7">
        <f t="shared" si="137"/>
        <v>176</v>
      </c>
      <c r="O415">
        <f t="shared" si="138"/>
        <v>0.22738068181818183</v>
      </c>
      <c r="P415">
        <f t="shared" si="139"/>
        <v>227.38068181818184</v>
      </c>
      <c r="V415">
        <f t="shared" si="123"/>
        <v>707.50326459320729</v>
      </c>
      <c r="W415">
        <f t="shared" si="124"/>
        <v>124.38105151443689</v>
      </c>
      <c r="AE415">
        <f t="shared" si="125"/>
        <v>0.64076298863823899</v>
      </c>
      <c r="AF415">
        <f t="shared" si="126"/>
        <v>0.62585330955896445</v>
      </c>
      <c r="AG415">
        <f t="shared" si="127"/>
        <v>0.62935755357070555</v>
      </c>
      <c r="AI415">
        <f t="shared" si="128"/>
        <v>0.20743499394236792</v>
      </c>
      <c r="AJ415">
        <f t="shared" si="129"/>
        <v>16.668407809122048</v>
      </c>
      <c r="AL415">
        <f t="shared" si="130"/>
        <v>0.21237670974422482</v>
      </c>
      <c r="AM415">
        <f t="shared" si="131"/>
        <v>17.472049351918923</v>
      </c>
      <c r="AO415">
        <f t="shared" si="132"/>
        <v>0.21119420258413421</v>
      </c>
      <c r="AP415">
        <f t="shared" si="133"/>
        <v>17.278023330310877</v>
      </c>
    </row>
    <row r="416" spans="1:42" x14ac:dyDescent="0.2">
      <c r="A416" s="3">
        <v>410</v>
      </c>
      <c r="B416" s="3">
        <v>3.1899999999999998E-7</v>
      </c>
      <c r="C416" s="2">
        <v>2.155E-2</v>
      </c>
      <c r="D416" s="3">
        <v>189000</v>
      </c>
      <c r="E416" s="3">
        <v>119000000000</v>
      </c>
      <c r="F416" s="3">
        <v>107000000000</v>
      </c>
      <c r="G416" s="3">
        <v>14500000000</v>
      </c>
      <c r="H416" s="3">
        <v>10000000000</v>
      </c>
      <c r="I416" s="2"/>
      <c r="J416" s="7">
        <f t="shared" si="134"/>
        <v>0.31900000000000001</v>
      </c>
      <c r="K416" s="7">
        <f t="shared" si="135"/>
        <v>21.55</v>
      </c>
      <c r="L416" s="7">
        <f t="shared" si="136"/>
        <v>119.00000000000001</v>
      </c>
      <c r="M416" s="7">
        <f t="shared" si="137"/>
        <v>189</v>
      </c>
      <c r="O416">
        <f t="shared" si="138"/>
        <v>0.23348412698412699</v>
      </c>
      <c r="P416">
        <f t="shared" si="139"/>
        <v>233.48412698412699</v>
      </c>
      <c r="V416">
        <f t="shared" si="123"/>
        <v>715.85466616024689</v>
      </c>
      <c r="W416">
        <f t="shared" si="124"/>
        <v>132.01003564995386</v>
      </c>
      <c r="AE416">
        <f t="shared" si="125"/>
        <v>0.68809207302629072</v>
      </c>
      <c r="AF416">
        <f t="shared" si="126"/>
        <v>0.67208111083320621</v>
      </c>
      <c r="AG416">
        <f t="shared" si="127"/>
        <v>0.67584419105035987</v>
      </c>
      <c r="AI416">
        <f t="shared" si="128"/>
        <v>0.19316697848601458</v>
      </c>
      <c r="AJ416">
        <f t="shared" si="129"/>
        <v>14.48787396426323</v>
      </c>
      <c r="AL416">
        <f t="shared" si="130"/>
        <v>0.19776878790996597</v>
      </c>
      <c r="AM416">
        <f t="shared" si="131"/>
        <v>15.186384434958292</v>
      </c>
      <c r="AO416">
        <f t="shared" si="132"/>
        <v>0.19666761722120435</v>
      </c>
      <c r="AP416">
        <f t="shared" si="133"/>
        <v>15.017740580126141</v>
      </c>
    </row>
    <row r="417" spans="1:42" x14ac:dyDescent="0.2">
      <c r="A417" s="3">
        <v>420</v>
      </c>
      <c r="B417" s="3">
        <v>3.2000000000000001E-7</v>
      </c>
      <c r="C417" s="2">
        <v>2.1600000000000001E-2</v>
      </c>
      <c r="D417" s="3">
        <v>192000</v>
      </c>
      <c r="E417" s="3">
        <v>121000000000</v>
      </c>
      <c r="F417" s="3">
        <v>108000000000</v>
      </c>
      <c r="G417" s="3">
        <v>2750000000</v>
      </c>
      <c r="H417" s="3">
        <v>9970000000</v>
      </c>
      <c r="I417" s="2"/>
      <c r="J417" s="7">
        <f t="shared" si="134"/>
        <v>0.32</v>
      </c>
      <c r="K417" s="7">
        <f t="shared" si="135"/>
        <v>21.6</v>
      </c>
      <c r="L417" s="7">
        <f t="shared" si="136"/>
        <v>121.00000000000001</v>
      </c>
      <c r="M417" s="7">
        <f t="shared" si="137"/>
        <v>192</v>
      </c>
      <c r="O417">
        <f t="shared" si="138"/>
        <v>0.235625</v>
      </c>
      <c r="P417">
        <f t="shared" si="139"/>
        <v>235.625</v>
      </c>
      <c r="V417">
        <f t="shared" si="123"/>
        <v>718.75519102094438</v>
      </c>
      <c r="W417">
        <f t="shared" si="124"/>
        <v>133.56425275153606</v>
      </c>
      <c r="AE417">
        <f t="shared" si="125"/>
        <v>0.69901416942353345</v>
      </c>
      <c r="AF417">
        <f t="shared" si="126"/>
        <v>0.68274906497341581</v>
      </c>
      <c r="AG417">
        <f t="shared" si="127"/>
        <v>0.68657187662258778</v>
      </c>
      <c r="AI417">
        <f t="shared" si="128"/>
        <v>0.19074482201597048</v>
      </c>
      <c r="AJ417">
        <f t="shared" si="129"/>
        <v>14.071237290026287</v>
      </c>
      <c r="AL417">
        <f t="shared" si="130"/>
        <v>0.19528892850043658</v>
      </c>
      <c r="AM417">
        <f t="shared" si="131"/>
        <v>14.749660266852484</v>
      </c>
      <c r="AO417">
        <f t="shared" si="132"/>
        <v>0.19420156559460619</v>
      </c>
      <c r="AP417">
        <f t="shared" si="133"/>
        <v>14.585866206750815</v>
      </c>
    </row>
    <row r="418" spans="1:42" x14ac:dyDescent="0.2">
      <c r="A418" s="3">
        <v>420</v>
      </c>
      <c r="B418" s="3">
        <v>3.2099999999999998E-7</v>
      </c>
      <c r="C418" s="2">
        <v>2.1659999999999999E-2</v>
      </c>
      <c r="D418" s="3">
        <v>176000</v>
      </c>
      <c r="E418" s="3">
        <v>112000000000</v>
      </c>
      <c r="F418" s="3">
        <v>101000000000</v>
      </c>
      <c r="G418" s="3">
        <v>5470000000</v>
      </c>
      <c r="H418" s="3">
        <v>10300000000</v>
      </c>
      <c r="I418" s="2"/>
      <c r="J418" s="7">
        <f t="shared" si="134"/>
        <v>0.32099999999999995</v>
      </c>
      <c r="K418" s="7">
        <f t="shared" si="135"/>
        <v>21.66</v>
      </c>
      <c r="L418" s="7">
        <f t="shared" si="136"/>
        <v>112</v>
      </c>
      <c r="M418" s="7">
        <f t="shared" si="137"/>
        <v>176</v>
      </c>
      <c r="O418">
        <f t="shared" si="138"/>
        <v>0.2286988636363636</v>
      </c>
      <c r="P418">
        <f t="shared" si="139"/>
        <v>228.6988636363636</v>
      </c>
      <c r="V418">
        <f t="shared" si="123"/>
        <v>709.31741760659509</v>
      </c>
      <c r="W418">
        <f t="shared" si="124"/>
        <v>124.06293404852913</v>
      </c>
      <c r="AE418">
        <f t="shared" si="125"/>
        <v>0.64076298863823899</v>
      </c>
      <c r="AF418">
        <f t="shared" si="126"/>
        <v>0.62585330955896445</v>
      </c>
      <c r="AG418">
        <f t="shared" si="127"/>
        <v>0.62935755357070555</v>
      </c>
      <c r="AI418">
        <f t="shared" si="128"/>
        <v>0.20873552681974952</v>
      </c>
      <c r="AJ418">
        <f t="shared" si="129"/>
        <v>16.792451774213188</v>
      </c>
      <c r="AL418">
        <f t="shared" si="130"/>
        <v>0.21370822516581867</v>
      </c>
      <c r="AM418">
        <f t="shared" si="131"/>
        <v>17.602073905235528</v>
      </c>
      <c r="AO418">
        <f t="shared" si="132"/>
        <v>0.21251830416773376</v>
      </c>
      <c r="AP418">
        <f t="shared" si="133"/>
        <v>17.406603969048074</v>
      </c>
    </row>
    <row r="419" spans="1:42" x14ac:dyDescent="0.2">
      <c r="A419" s="3">
        <v>420</v>
      </c>
      <c r="B419" s="3">
        <v>3.2099999999999998E-7</v>
      </c>
      <c r="C419" s="2">
        <v>2.171E-2</v>
      </c>
      <c r="D419" s="3">
        <v>187000</v>
      </c>
      <c r="E419" s="3">
        <v>117000000000</v>
      </c>
      <c r="F419" s="3">
        <v>106000000000</v>
      </c>
      <c r="G419" s="2">
        <v>0</v>
      </c>
      <c r="H419" s="3">
        <v>10100000000</v>
      </c>
      <c r="I419" s="2"/>
      <c r="J419" s="7">
        <f t="shared" si="134"/>
        <v>0.32099999999999995</v>
      </c>
      <c r="K419" s="7">
        <f t="shared" si="135"/>
        <v>21.71</v>
      </c>
      <c r="L419" s="7">
        <f t="shared" si="136"/>
        <v>117.00000000000001</v>
      </c>
      <c r="M419" s="7">
        <f t="shared" si="137"/>
        <v>187</v>
      </c>
      <c r="O419">
        <f t="shared" si="138"/>
        <v>0.23392780748663095</v>
      </c>
      <c r="P419">
        <f t="shared" si="139"/>
        <v>233.92780748663094</v>
      </c>
      <c r="V419">
        <f t="shared" si="123"/>
        <v>716.45699202313256</v>
      </c>
      <c r="W419">
        <f t="shared" si="124"/>
        <v>130.50329753356797</v>
      </c>
      <c r="AE419">
        <f t="shared" si="125"/>
        <v>0.6808106754281289</v>
      </c>
      <c r="AF419">
        <f t="shared" si="126"/>
        <v>0.66496914140639973</v>
      </c>
      <c r="AG419">
        <f t="shared" si="127"/>
        <v>0.66869240066887459</v>
      </c>
      <c r="AI419">
        <f t="shared" si="128"/>
        <v>0.19645696641858776</v>
      </c>
      <c r="AJ419">
        <f t="shared" si="129"/>
        <v>14.90931201178501</v>
      </c>
      <c r="AL419">
        <f t="shared" si="130"/>
        <v>0.20113715309724109</v>
      </c>
      <c r="AM419">
        <f t="shared" si="131"/>
        <v>15.628141467147486</v>
      </c>
      <c r="AO419">
        <f t="shared" si="132"/>
        <v>0.20001722745198472</v>
      </c>
      <c r="AP419">
        <f t="shared" si="133"/>
        <v>15.454591927942161</v>
      </c>
    </row>
    <row r="420" spans="1:42" x14ac:dyDescent="0.2">
      <c r="A420" s="3">
        <v>420</v>
      </c>
      <c r="B420" s="3">
        <v>3.22E-7</v>
      </c>
      <c r="C420" s="2">
        <v>2.1760000000000002E-2</v>
      </c>
      <c r="D420" s="3">
        <v>157000</v>
      </c>
      <c r="E420" s="3">
        <v>101000000000</v>
      </c>
      <c r="F420" s="3">
        <v>92100000000</v>
      </c>
      <c r="G420" s="3">
        <v>1570000000</v>
      </c>
      <c r="H420" s="3">
        <v>10900000000</v>
      </c>
      <c r="I420" s="2"/>
      <c r="J420" s="7">
        <f t="shared" si="134"/>
        <v>0.32200000000000001</v>
      </c>
      <c r="K420" s="7">
        <f t="shared" si="135"/>
        <v>21.76</v>
      </c>
      <c r="L420" s="7">
        <f t="shared" si="136"/>
        <v>101</v>
      </c>
      <c r="M420" s="7">
        <f t="shared" si="137"/>
        <v>157</v>
      </c>
      <c r="O420">
        <f t="shared" si="138"/>
        <v>0.21805095541401276</v>
      </c>
      <c r="P420">
        <f t="shared" si="139"/>
        <v>218.05095541401275</v>
      </c>
      <c r="V420">
        <f t="shared" si="123"/>
        <v>694.49231843409348</v>
      </c>
      <c r="W420">
        <f t="shared" si="124"/>
        <v>113.03220772405068</v>
      </c>
      <c r="AE420">
        <f t="shared" si="125"/>
        <v>0.57158971145570181</v>
      </c>
      <c r="AF420">
        <f t="shared" si="126"/>
        <v>0.5582896000043035</v>
      </c>
      <c r="AG420">
        <f t="shared" si="127"/>
        <v>0.56141554494659529</v>
      </c>
      <c r="AI420">
        <f t="shared" si="128"/>
        <v>0.2347254752451306</v>
      </c>
      <c r="AJ420">
        <f t="shared" si="129"/>
        <v>21.200230326674198</v>
      </c>
      <c r="AL420">
        <f t="shared" si="130"/>
        <v>0.24031733112283027</v>
      </c>
      <c r="AM420">
        <f t="shared" si="131"/>
        <v>22.222366694015385</v>
      </c>
      <c r="AO420">
        <f t="shared" si="132"/>
        <v>0.23897925141960452</v>
      </c>
      <c r="AP420">
        <f t="shared" si="133"/>
        <v>21.975588693707056</v>
      </c>
    </row>
    <row r="421" spans="1:42" x14ac:dyDescent="0.2">
      <c r="A421" s="3">
        <v>420</v>
      </c>
      <c r="B421" s="3">
        <v>3.22E-7</v>
      </c>
      <c r="C421" s="2">
        <v>2.181E-2</v>
      </c>
      <c r="D421" s="3">
        <v>188000</v>
      </c>
      <c r="E421" s="3">
        <v>118000000000</v>
      </c>
      <c r="F421" s="3">
        <v>106000000000</v>
      </c>
      <c r="G421" s="3">
        <v>9050000000</v>
      </c>
      <c r="H421" s="3">
        <v>10100000000</v>
      </c>
      <c r="I421" s="2"/>
      <c r="J421" s="7">
        <f t="shared" si="134"/>
        <v>0.32200000000000001</v>
      </c>
      <c r="K421" s="7">
        <f t="shared" si="135"/>
        <v>21.81</v>
      </c>
      <c r="L421" s="7">
        <f t="shared" si="136"/>
        <v>118.00000000000001</v>
      </c>
      <c r="M421" s="7">
        <f t="shared" si="137"/>
        <v>188</v>
      </c>
      <c r="O421">
        <f t="shared" si="138"/>
        <v>0.23499202127659574</v>
      </c>
      <c r="P421">
        <f t="shared" si="139"/>
        <v>234.99202127659575</v>
      </c>
      <c r="V421">
        <f t="shared" si="123"/>
        <v>717.89914460659168</v>
      </c>
      <c r="W421">
        <f t="shared" si="124"/>
        <v>130.93761248526343</v>
      </c>
      <c r="AE421">
        <f t="shared" si="125"/>
        <v>0.68445137422720981</v>
      </c>
      <c r="AF421">
        <f t="shared" si="126"/>
        <v>0.66852512611980297</v>
      </c>
      <c r="AG421">
        <f t="shared" si="127"/>
        <v>0.67226829585961723</v>
      </c>
      <c r="AI421">
        <f t="shared" si="128"/>
        <v>0.19602074262492289</v>
      </c>
      <c r="AJ421">
        <f t="shared" si="129"/>
        <v>14.819070362841627</v>
      </c>
      <c r="AL421">
        <f t="shared" si="130"/>
        <v>0.20069053716108698</v>
      </c>
      <c r="AM421">
        <f t="shared" si="131"/>
        <v>15.533548956453425</v>
      </c>
      <c r="AO421">
        <f t="shared" si="132"/>
        <v>0.1995730982599889</v>
      </c>
      <c r="AP421">
        <f t="shared" si="133"/>
        <v>15.361049861197413</v>
      </c>
    </row>
    <row r="422" spans="1:42" x14ac:dyDescent="0.2">
      <c r="A422" s="3">
        <v>420</v>
      </c>
      <c r="B422" s="3">
        <v>3.2300000000000002E-7</v>
      </c>
      <c r="C422" s="2">
        <v>2.1870000000000001E-2</v>
      </c>
      <c r="D422" s="3">
        <v>173000</v>
      </c>
      <c r="E422" s="3">
        <v>109000000000</v>
      </c>
      <c r="F422" s="3">
        <v>99300000000</v>
      </c>
      <c r="G422" s="3">
        <v>3130000000</v>
      </c>
      <c r="H422" s="3">
        <v>10400000000</v>
      </c>
      <c r="I422" s="2"/>
      <c r="J422" s="7">
        <f t="shared" si="134"/>
        <v>0.32300000000000001</v>
      </c>
      <c r="K422" s="7">
        <f t="shared" si="135"/>
        <v>21.87</v>
      </c>
      <c r="L422" s="7">
        <f t="shared" si="136"/>
        <v>109</v>
      </c>
      <c r="M422" s="7">
        <f t="shared" si="137"/>
        <v>173</v>
      </c>
      <c r="O422">
        <f t="shared" si="138"/>
        <v>0.22818786127167631</v>
      </c>
      <c r="P422">
        <f t="shared" si="139"/>
        <v>228.18786127167633</v>
      </c>
      <c r="V422">
        <f t="shared" si="123"/>
        <v>708.61484157169741</v>
      </c>
      <c r="W422">
        <f t="shared" si="124"/>
        <v>122.06913392915149</v>
      </c>
      <c r="AE422">
        <f t="shared" si="125"/>
        <v>0.62984089224099626</v>
      </c>
      <c r="AF422">
        <f t="shared" si="126"/>
        <v>0.61518535541875485</v>
      </c>
      <c r="AG422">
        <f t="shared" si="127"/>
        <v>0.61862986799847763</v>
      </c>
      <c r="AI422">
        <f t="shared" si="128"/>
        <v>0.21367830350690803</v>
      </c>
      <c r="AJ422">
        <f t="shared" si="129"/>
        <v>17.548401804362765</v>
      </c>
      <c r="AL422">
        <f t="shared" si="130"/>
        <v>0.21876875342996888</v>
      </c>
      <c r="AM422">
        <f t="shared" si="131"/>
        <v>18.394470898734191</v>
      </c>
      <c r="AO422">
        <f t="shared" si="132"/>
        <v>0.21755065556205011</v>
      </c>
      <c r="AP422">
        <f t="shared" si="133"/>
        <v>18.190201443206679</v>
      </c>
    </row>
    <row r="423" spans="1:42" x14ac:dyDescent="0.2">
      <c r="A423" s="3">
        <v>420</v>
      </c>
      <c r="B423" s="3">
        <v>3.2399999999999999E-7</v>
      </c>
      <c r="C423" s="2">
        <v>2.1919999999999999E-2</v>
      </c>
      <c r="D423" s="3">
        <v>179000</v>
      </c>
      <c r="E423" s="3">
        <v>113000000000</v>
      </c>
      <c r="F423" s="3">
        <v>102000000000</v>
      </c>
      <c r="G423" s="2">
        <v>0</v>
      </c>
      <c r="H423" s="3">
        <v>10300000000</v>
      </c>
      <c r="I423" s="2"/>
      <c r="J423" s="7">
        <f t="shared" si="134"/>
        <v>0.32400000000000001</v>
      </c>
      <c r="K423" s="7">
        <f t="shared" si="135"/>
        <v>21.919999999999998</v>
      </c>
      <c r="L423" s="7">
        <f t="shared" si="136"/>
        <v>113</v>
      </c>
      <c r="M423" s="7">
        <f t="shared" si="137"/>
        <v>179</v>
      </c>
      <c r="O423">
        <f t="shared" si="138"/>
        <v>0.2321564245810056</v>
      </c>
      <c r="P423">
        <f t="shared" si="139"/>
        <v>232.15642458100561</v>
      </c>
      <c r="V423">
        <f t="shared" si="123"/>
        <v>714.04840383472504</v>
      </c>
      <c r="W423">
        <f t="shared" si="124"/>
        <v>125.34164283450431</v>
      </c>
      <c r="AE423">
        <f t="shared" si="125"/>
        <v>0.65168508503548161</v>
      </c>
      <c r="AF423">
        <f t="shared" si="126"/>
        <v>0.63652126369917406</v>
      </c>
      <c r="AG423">
        <f t="shared" si="127"/>
        <v>0.64008523914293347</v>
      </c>
      <c r="AI423">
        <f t="shared" si="128"/>
        <v>0.20715527039052889</v>
      </c>
      <c r="AJ423">
        <f t="shared" si="129"/>
        <v>16.429164607373536</v>
      </c>
      <c r="AL423">
        <f t="shared" si="130"/>
        <v>0.21209032234907751</v>
      </c>
      <c r="AM423">
        <f t="shared" si="131"/>
        <v>17.221271408642686</v>
      </c>
      <c r="AO423">
        <f t="shared" si="132"/>
        <v>0.21090940978542702</v>
      </c>
      <c r="AP423">
        <f t="shared" si="133"/>
        <v>17.03003026050088</v>
      </c>
    </row>
    <row r="424" spans="1:42" x14ac:dyDescent="0.2">
      <c r="A424" s="3">
        <v>420</v>
      </c>
      <c r="B424" s="3">
        <v>3.2500000000000001E-7</v>
      </c>
      <c r="C424" s="2">
        <v>2.197E-2</v>
      </c>
      <c r="D424" s="3">
        <v>167000</v>
      </c>
      <c r="E424" s="3">
        <v>106000000000</v>
      </c>
      <c r="F424" s="3">
        <v>96200000000</v>
      </c>
      <c r="G424" s="3">
        <v>6860000000</v>
      </c>
      <c r="H424" s="3">
        <v>10600000000</v>
      </c>
      <c r="I424" s="2"/>
      <c r="J424" s="7">
        <f t="shared" si="134"/>
        <v>0.32500000000000001</v>
      </c>
      <c r="K424" s="7">
        <f t="shared" si="135"/>
        <v>21.97</v>
      </c>
      <c r="L424" s="7">
        <f t="shared" si="136"/>
        <v>106</v>
      </c>
      <c r="M424" s="7">
        <f t="shared" si="137"/>
        <v>167</v>
      </c>
      <c r="O424">
        <f t="shared" si="138"/>
        <v>0.22633233532934133</v>
      </c>
      <c r="P424">
        <f t="shared" si="139"/>
        <v>226.33233532934133</v>
      </c>
      <c r="V424">
        <f t="shared" si="123"/>
        <v>706.05628745612967</v>
      </c>
      <c r="W424">
        <f t="shared" si="124"/>
        <v>118.26252592529772</v>
      </c>
      <c r="AE424">
        <f t="shared" si="125"/>
        <v>0.6079966994465108</v>
      </c>
      <c r="AF424">
        <f t="shared" si="126"/>
        <v>0.59384944713833565</v>
      </c>
      <c r="AG424">
        <f t="shared" si="127"/>
        <v>0.59717449685402169</v>
      </c>
      <c r="AI424">
        <f t="shared" si="128"/>
        <v>0.22272598977912725</v>
      </c>
      <c r="AJ424">
        <f t="shared" si="129"/>
        <v>18.918125740146209</v>
      </c>
      <c r="AL424">
        <f t="shared" si="130"/>
        <v>0.22803198238074932</v>
      </c>
      <c r="AM424">
        <f t="shared" si="131"/>
        <v>19.830233958923767</v>
      </c>
      <c r="AO424">
        <f t="shared" si="132"/>
        <v>0.22676230713142637</v>
      </c>
      <c r="AP424">
        <f t="shared" si="133"/>
        <v>19.610020443891315</v>
      </c>
    </row>
    <row r="425" spans="1:42" x14ac:dyDescent="0.2">
      <c r="A425" s="3">
        <v>420</v>
      </c>
      <c r="B425" s="3">
        <v>3.2500000000000001E-7</v>
      </c>
      <c r="C425" s="2">
        <v>2.2020000000000001E-2</v>
      </c>
      <c r="D425" s="3">
        <v>178000</v>
      </c>
      <c r="E425" s="3">
        <v>112000000000</v>
      </c>
      <c r="F425" s="3">
        <v>101000000000</v>
      </c>
      <c r="G425" s="3">
        <v>3470000000</v>
      </c>
      <c r="H425" s="3">
        <v>10300000000</v>
      </c>
      <c r="I425" s="2"/>
      <c r="J425" s="7">
        <f t="shared" si="134"/>
        <v>0.32500000000000001</v>
      </c>
      <c r="K425" s="7">
        <f t="shared" si="135"/>
        <v>22.020000000000003</v>
      </c>
      <c r="L425" s="7">
        <f t="shared" si="136"/>
        <v>112</v>
      </c>
      <c r="M425" s="7">
        <f t="shared" si="137"/>
        <v>178</v>
      </c>
      <c r="O425">
        <f t="shared" si="138"/>
        <v>0.23221910112359551</v>
      </c>
      <c r="P425">
        <f t="shared" si="139"/>
        <v>232.21910112359549</v>
      </c>
      <c r="V425">
        <f t="shared" si="123"/>
        <v>714.1338008439543</v>
      </c>
      <c r="W425">
        <f t="shared" si="124"/>
        <v>124.62650541792158</v>
      </c>
      <c r="AE425">
        <f t="shared" si="125"/>
        <v>0.64804438623640082</v>
      </c>
      <c r="AF425">
        <f t="shared" si="126"/>
        <v>0.63296527898577093</v>
      </c>
      <c r="AG425">
        <f t="shared" si="127"/>
        <v>0.63650934395219083</v>
      </c>
      <c r="AI425">
        <f t="shared" si="128"/>
        <v>0.20896202411861939</v>
      </c>
      <c r="AJ425">
        <f t="shared" si="129"/>
        <v>16.690075569657239</v>
      </c>
      <c r="AL425">
        <f t="shared" si="130"/>
        <v>0.21394011830104007</v>
      </c>
      <c r="AM425">
        <f t="shared" si="131"/>
        <v>17.494761790068484</v>
      </c>
      <c r="AO425">
        <f t="shared" si="132"/>
        <v>0.21274890612892247</v>
      </c>
      <c r="AP425">
        <f t="shared" si="133"/>
        <v>17.300483548247097</v>
      </c>
    </row>
    <row r="426" spans="1:42" x14ac:dyDescent="0.2">
      <c r="A426" s="3">
        <v>420</v>
      </c>
      <c r="B426" s="3">
        <v>3.2599999999999998E-7</v>
      </c>
      <c r="C426" s="2">
        <v>2.2069999999999999E-2</v>
      </c>
      <c r="D426" s="3">
        <v>169000</v>
      </c>
      <c r="E426" s="3">
        <v>107000000000</v>
      </c>
      <c r="F426" s="3">
        <v>97100000000</v>
      </c>
      <c r="G426" s="3">
        <v>8210000000</v>
      </c>
      <c r="H426" s="3">
        <v>10500000000</v>
      </c>
      <c r="I426" s="2"/>
      <c r="J426" s="7">
        <f t="shared" si="134"/>
        <v>0.32599999999999996</v>
      </c>
      <c r="K426" s="7">
        <f t="shared" si="135"/>
        <v>22.07</v>
      </c>
      <c r="L426" s="7">
        <f t="shared" si="136"/>
        <v>107</v>
      </c>
      <c r="M426" s="7">
        <f t="shared" si="137"/>
        <v>169</v>
      </c>
      <c r="O426">
        <f t="shared" si="138"/>
        <v>0.22805621301775142</v>
      </c>
      <c r="P426">
        <f t="shared" si="139"/>
        <v>228.05621301775142</v>
      </c>
      <c r="V426">
        <f t="shared" si="123"/>
        <v>708.43369674508392</v>
      </c>
      <c r="W426">
        <f t="shared" si="124"/>
        <v>119.27721731509573</v>
      </c>
      <c r="AE426">
        <f t="shared" si="125"/>
        <v>0.61527809704467262</v>
      </c>
      <c r="AF426">
        <f t="shared" si="126"/>
        <v>0.60096141656514201</v>
      </c>
      <c r="AG426">
        <f t="shared" si="127"/>
        <v>0.60432628723550696</v>
      </c>
      <c r="AI426">
        <f t="shared" si="128"/>
        <v>0.22076737980073272</v>
      </c>
      <c r="AJ426">
        <f t="shared" si="129"/>
        <v>18.557091836108754</v>
      </c>
      <c r="AL426">
        <f t="shared" si="130"/>
        <v>0.22602671251293133</v>
      </c>
      <c r="AM426">
        <f t="shared" si="131"/>
        <v>19.451793362719606</v>
      </c>
      <c r="AO426">
        <f t="shared" si="132"/>
        <v>0.22476820254618318</v>
      </c>
      <c r="AP426">
        <f t="shared" si="133"/>
        <v>19.23578240697584</v>
      </c>
    </row>
    <row r="427" spans="1:42" x14ac:dyDescent="0.2">
      <c r="A427" s="3">
        <v>430</v>
      </c>
      <c r="B427" s="3">
        <v>3.27E-7</v>
      </c>
      <c r="C427" s="2">
        <v>2.213E-2</v>
      </c>
      <c r="D427" s="3">
        <v>194000</v>
      </c>
      <c r="E427" s="3">
        <v>120000000000</v>
      </c>
      <c r="F427" s="3">
        <v>108000000000</v>
      </c>
      <c r="G427" s="2">
        <v>0</v>
      </c>
      <c r="H427" s="3">
        <v>9980000000</v>
      </c>
      <c r="I427" s="2"/>
      <c r="J427" s="7">
        <f t="shared" si="134"/>
        <v>0.32700000000000001</v>
      </c>
      <c r="K427" s="7">
        <f t="shared" si="135"/>
        <v>22.13</v>
      </c>
      <c r="L427" s="7">
        <f t="shared" si="136"/>
        <v>120.00000000000001</v>
      </c>
      <c r="M427" s="7">
        <f t="shared" si="137"/>
        <v>194</v>
      </c>
      <c r="O427">
        <f t="shared" si="138"/>
        <v>0.24144587628865982</v>
      </c>
      <c r="P427">
        <f t="shared" si="139"/>
        <v>241.44587628865983</v>
      </c>
      <c r="V427">
        <f t="shared" si="123"/>
        <v>726.56807026492106</v>
      </c>
      <c r="W427">
        <f t="shared" si="124"/>
        <v>133.50435281945693</v>
      </c>
      <c r="AE427">
        <f t="shared" si="125"/>
        <v>0.70629556702169527</v>
      </c>
      <c r="AF427">
        <f t="shared" si="126"/>
        <v>0.68986103440022217</v>
      </c>
      <c r="AG427">
        <f t="shared" si="127"/>
        <v>0.69372366700407317</v>
      </c>
      <c r="AI427">
        <f t="shared" si="128"/>
        <v>0.1929079076264609</v>
      </c>
      <c r="AJ427">
        <f t="shared" si="129"/>
        <v>14.120788463960059</v>
      </c>
      <c r="AL427">
        <f t="shared" si="130"/>
        <v>0.19750354521539001</v>
      </c>
      <c r="AM427">
        <f t="shared" si="131"/>
        <v>14.80160047411947</v>
      </c>
      <c r="AO427">
        <f t="shared" si="132"/>
        <v>0.1964038513900089</v>
      </c>
      <c r="AP427">
        <f t="shared" si="133"/>
        <v>14.637229621245833</v>
      </c>
    </row>
    <row r="428" spans="1:42" x14ac:dyDescent="0.2">
      <c r="A428" s="3">
        <v>430</v>
      </c>
      <c r="B428" s="3">
        <v>3.27E-7</v>
      </c>
      <c r="C428" s="2">
        <v>2.2179999999999998E-2</v>
      </c>
      <c r="D428" s="3">
        <v>178000</v>
      </c>
      <c r="E428" s="3">
        <v>111000000000</v>
      </c>
      <c r="F428" s="3">
        <v>101000000000</v>
      </c>
      <c r="G428" s="2">
        <v>0</v>
      </c>
      <c r="H428" s="3">
        <v>10300000000</v>
      </c>
      <c r="I428" s="2"/>
      <c r="J428" s="7">
        <f t="shared" si="134"/>
        <v>0.32700000000000001</v>
      </c>
      <c r="K428" s="7">
        <f t="shared" si="135"/>
        <v>22.18</v>
      </c>
      <c r="L428" s="7">
        <f t="shared" si="136"/>
        <v>111</v>
      </c>
      <c r="M428" s="7">
        <f t="shared" si="137"/>
        <v>178</v>
      </c>
      <c r="O428">
        <f t="shared" si="138"/>
        <v>0.23354494382022473</v>
      </c>
      <c r="P428">
        <f t="shared" si="139"/>
        <v>233.54494382022472</v>
      </c>
      <c r="V428">
        <f t="shared" si="123"/>
        <v>715.93726675115261</v>
      </c>
      <c r="W428">
        <f t="shared" si="124"/>
        <v>124.31256778107466</v>
      </c>
      <c r="AE428">
        <f t="shared" si="125"/>
        <v>0.64804438623640082</v>
      </c>
      <c r="AF428">
        <f t="shared" si="126"/>
        <v>0.63296527898577093</v>
      </c>
      <c r="AG428">
        <f t="shared" si="127"/>
        <v>0.63650934395219083</v>
      </c>
      <c r="AI428">
        <f t="shared" si="128"/>
        <v>0.21024794426704166</v>
      </c>
      <c r="AJ428">
        <f t="shared" si="129"/>
        <v>16.811347690054383</v>
      </c>
      <c r="AL428">
        <f t="shared" si="130"/>
        <v>0.21525667287520034</v>
      </c>
      <c r="AM428">
        <f t="shared" si="131"/>
        <v>17.621880858479514</v>
      </c>
      <c r="AO428">
        <f t="shared" si="132"/>
        <v>0.21405813016663891</v>
      </c>
      <c r="AP428">
        <f t="shared" si="133"/>
        <v>17.426190967307924</v>
      </c>
    </row>
    <row r="429" spans="1:42" x14ac:dyDescent="0.2">
      <c r="A429" s="3">
        <v>430</v>
      </c>
      <c r="B429" s="3">
        <v>3.2800000000000003E-7</v>
      </c>
      <c r="C429" s="2">
        <v>2.223E-2</v>
      </c>
      <c r="D429" s="3">
        <v>177000</v>
      </c>
      <c r="E429" s="3">
        <v>110000000000</v>
      </c>
      <c r="F429" s="3">
        <v>100000000000</v>
      </c>
      <c r="G429" s="3">
        <v>1020000000</v>
      </c>
      <c r="H429" s="3">
        <v>10400000000</v>
      </c>
      <c r="I429" s="2"/>
      <c r="J429" s="7">
        <f t="shared" si="134"/>
        <v>0.32800000000000001</v>
      </c>
      <c r="K429" s="7">
        <f t="shared" si="135"/>
        <v>22.23</v>
      </c>
      <c r="L429" s="7">
        <f t="shared" si="136"/>
        <v>110</v>
      </c>
      <c r="M429" s="7">
        <f t="shared" si="137"/>
        <v>177</v>
      </c>
      <c r="O429">
        <f t="shared" si="138"/>
        <v>0.23380508474576273</v>
      </c>
      <c r="P429">
        <f t="shared" si="139"/>
        <v>233.80508474576271</v>
      </c>
      <c r="V429">
        <f t="shared" si="123"/>
        <v>716.29045142603991</v>
      </c>
      <c r="W429">
        <f t="shared" si="124"/>
        <v>123.55323154707446</v>
      </c>
      <c r="AE429">
        <f t="shared" si="125"/>
        <v>0.64440368743731991</v>
      </c>
      <c r="AF429">
        <f t="shared" si="126"/>
        <v>0.62940929427236769</v>
      </c>
      <c r="AG429">
        <f t="shared" si="127"/>
        <v>0.63293344876144819</v>
      </c>
      <c r="AI429">
        <f t="shared" si="128"/>
        <v>0.21208237837707908</v>
      </c>
      <c r="AJ429">
        <f t="shared" si="129"/>
        <v>17.040169995651485</v>
      </c>
      <c r="AL429">
        <f t="shared" si="130"/>
        <v>0.21713480863777357</v>
      </c>
      <c r="AM429">
        <f t="shared" si="131"/>
        <v>17.861735478188571</v>
      </c>
      <c r="AO429">
        <f t="shared" si="132"/>
        <v>0.2159258085255282</v>
      </c>
      <c r="AP429">
        <f t="shared" si="133"/>
        <v>17.663382016379725</v>
      </c>
    </row>
    <row r="430" spans="1:42" x14ac:dyDescent="0.2">
      <c r="A430" s="3">
        <v>430</v>
      </c>
      <c r="B430" s="3">
        <v>3.2899999999999999E-7</v>
      </c>
      <c r="C430" s="2">
        <v>2.2280000000000001E-2</v>
      </c>
      <c r="D430" s="3">
        <v>172000</v>
      </c>
      <c r="E430" s="3">
        <v>108000000000</v>
      </c>
      <c r="F430" s="3">
        <v>97800000000</v>
      </c>
      <c r="G430" s="3">
        <v>2580000000</v>
      </c>
      <c r="H430" s="3">
        <v>10500000000</v>
      </c>
      <c r="I430" s="2"/>
      <c r="J430" s="7">
        <f t="shared" si="134"/>
        <v>0.32900000000000001</v>
      </c>
      <c r="K430" s="7">
        <f t="shared" si="135"/>
        <v>22.28</v>
      </c>
      <c r="L430" s="7">
        <f t="shared" si="136"/>
        <v>108</v>
      </c>
      <c r="M430" s="7">
        <f t="shared" si="137"/>
        <v>172</v>
      </c>
      <c r="O430">
        <f t="shared" si="138"/>
        <v>0.23184883720930233</v>
      </c>
      <c r="P430">
        <f t="shared" si="139"/>
        <v>231.84883720930233</v>
      </c>
      <c r="V430">
        <f t="shared" si="123"/>
        <v>713.62912870248124</v>
      </c>
      <c r="W430">
        <f t="shared" si="124"/>
        <v>120.51077589330609</v>
      </c>
      <c r="AE430">
        <f t="shared" si="125"/>
        <v>0.62620019344191535</v>
      </c>
      <c r="AF430">
        <f t="shared" si="126"/>
        <v>0.61162937070535162</v>
      </c>
      <c r="AG430">
        <f t="shared" si="127"/>
        <v>0.61505397280773488</v>
      </c>
      <c r="AI430">
        <f t="shared" si="128"/>
        <v>0.21891295270902664</v>
      </c>
      <c r="AJ430">
        <f t="shared" si="129"/>
        <v>18.085865041098149</v>
      </c>
      <c r="AL430">
        <f t="shared" si="130"/>
        <v>0.22412810747666387</v>
      </c>
      <c r="AM430">
        <f t="shared" si="131"/>
        <v>18.957847095466285</v>
      </c>
      <c r="AO430">
        <f t="shared" si="132"/>
        <v>0.22288016888590267</v>
      </c>
      <c r="AP430">
        <f t="shared" si="133"/>
        <v>18.747321382305863</v>
      </c>
    </row>
    <row r="431" spans="1:42" x14ac:dyDescent="0.2">
      <c r="A431" s="3">
        <v>430</v>
      </c>
      <c r="B431" s="3">
        <v>3.3000000000000002E-7</v>
      </c>
      <c r="C431" s="2">
        <v>2.2329999999999999E-2</v>
      </c>
      <c r="D431" s="3">
        <v>183000</v>
      </c>
      <c r="E431" s="3">
        <v>114000000000</v>
      </c>
      <c r="F431" s="3">
        <v>103000000000</v>
      </c>
      <c r="G431" s="3">
        <v>2640000000</v>
      </c>
      <c r="H431" s="3">
        <v>10200000000</v>
      </c>
      <c r="I431" s="2"/>
      <c r="J431" s="7">
        <f t="shared" si="134"/>
        <v>0.33</v>
      </c>
      <c r="K431" s="7">
        <f t="shared" si="135"/>
        <v>22.33</v>
      </c>
      <c r="L431" s="7">
        <f t="shared" si="136"/>
        <v>114</v>
      </c>
      <c r="M431" s="7">
        <f t="shared" si="137"/>
        <v>183</v>
      </c>
      <c r="O431">
        <f t="shared" si="138"/>
        <v>0.23848360655737708</v>
      </c>
      <c r="P431">
        <f t="shared" si="139"/>
        <v>238.48360655737707</v>
      </c>
      <c r="V431">
        <f t="shared" si="123"/>
        <v>722.60533288933436</v>
      </c>
      <c r="W431">
        <f t="shared" si="124"/>
        <v>126.6251380046389</v>
      </c>
      <c r="AE431">
        <f t="shared" si="125"/>
        <v>0.66624788023180526</v>
      </c>
      <c r="AF431">
        <f t="shared" si="126"/>
        <v>0.65074520255278689</v>
      </c>
      <c r="AG431">
        <f t="shared" si="127"/>
        <v>0.65438881990590403</v>
      </c>
      <c r="AI431">
        <f t="shared" si="128"/>
        <v>0.20637964349268942</v>
      </c>
      <c r="AJ431">
        <f t="shared" si="129"/>
        <v>16.012809488426942</v>
      </c>
      <c r="AL431">
        <f t="shared" si="130"/>
        <v>0.21129621772178389</v>
      </c>
      <c r="AM431">
        <f t="shared" si="131"/>
        <v>16.784842370580765</v>
      </c>
      <c r="AO431">
        <f t="shared" si="132"/>
        <v>0.21011972670891815</v>
      </c>
      <c r="AP431">
        <f t="shared" si="133"/>
        <v>16.598447739768655</v>
      </c>
    </row>
    <row r="432" spans="1:42" x14ac:dyDescent="0.2">
      <c r="A432" s="3">
        <v>430</v>
      </c>
      <c r="B432" s="3">
        <v>3.3099999999999999E-7</v>
      </c>
      <c r="C432" s="2">
        <v>2.239E-2</v>
      </c>
      <c r="D432" s="3">
        <v>172000</v>
      </c>
      <c r="E432" s="3">
        <v>108000000000</v>
      </c>
      <c r="F432" s="3">
        <v>97700000000</v>
      </c>
      <c r="G432" s="2">
        <v>0</v>
      </c>
      <c r="H432" s="3">
        <v>10500000000</v>
      </c>
      <c r="I432" s="2"/>
      <c r="J432" s="7">
        <f t="shared" si="134"/>
        <v>0.33099999999999996</v>
      </c>
      <c r="K432" s="7">
        <f t="shared" si="135"/>
        <v>22.39</v>
      </c>
      <c r="L432" s="7">
        <f t="shared" si="136"/>
        <v>108</v>
      </c>
      <c r="M432" s="7">
        <f t="shared" si="137"/>
        <v>172</v>
      </c>
      <c r="O432">
        <f t="shared" si="138"/>
        <v>0.23336918604651158</v>
      </c>
      <c r="P432">
        <f t="shared" si="139"/>
        <v>233.36918604651157</v>
      </c>
      <c r="V432">
        <f t="shared" si="123"/>
        <v>715.69852222564407</v>
      </c>
      <c r="W432">
        <f t="shared" si="124"/>
        <v>120.16232719408366</v>
      </c>
      <c r="AE432">
        <f t="shared" si="125"/>
        <v>0.62620019344191535</v>
      </c>
      <c r="AF432">
        <f t="shared" si="126"/>
        <v>0.61162937070535162</v>
      </c>
      <c r="AG432">
        <f t="shared" si="127"/>
        <v>0.61505397280773488</v>
      </c>
      <c r="AI432">
        <f t="shared" si="128"/>
        <v>0.22024373053704499</v>
      </c>
      <c r="AJ432">
        <f t="shared" si="129"/>
        <v>18.175157911588308</v>
      </c>
      <c r="AL432">
        <f t="shared" si="130"/>
        <v>0.22549058837317851</v>
      </c>
      <c r="AM432">
        <f t="shared" si="131"/>
        <v>19.051445083819125</v>
      </c>
      <c r="AO432">
        <f t="shared" si="132"/>
        <v>0.22423506352958594</v>
      </c>
      <c r="AP432">
        <f t="shared" si="133"/>
        <v>18.839879970818146</v>
      </c>
    </row>
    <row r="433" spans="1:42" x14ac:dyDescent="0.2">
      <c r="A433" s="3">
        <v>430</v>
      </c>
      <c r="B433" s="3">
        <v>3.3200000000000001E-7</v>
      </c>
      <c r="C433" s="2">
        <v>2.2440000000000002E-2</v>
      </c>
      <c r="D433" s="3">
        <v>187000</v>
      </c>
      <c r="E433" s="3">
        <v>115000000000</v>
      </c>
      <c r="F433" s="3">
        <v>104000000000</v>
      </c>
      <c r="G433" s="2">
        <v>0</v>
      </c>
      <c r="H433" s="3">
        <v>10100000000</v>
      </c>
      <c r="I433" s="2"/>
      <c r="J433" s="7">
        <f t="shared" si="134"/>
        <v>0.33200000000000002</v>
      </c>
      <c r="K433" s="7">
        <f t="shared" si="135"/>
        <v>22.44</v>
      </c>
      <c r="L433" s="7">
        <f t="shared" si="136"/>
        <v>115.00000000000001</v>
      </c>
      <c r="M433" s="7">
        <f t="shared" si="137"/>
        <v>187</v>
      </c>
      <c r="O433">
        <f t="shared" si="138"/>
        <v>0.24199999999999999</v>
      </c>
      <c r="P433">
        <f t="shared" si="139"/>
        <v>242</v>
      </c>
      <c r="V433">
        <f t="shared" si="123"/>
        <v>727.30633011375812</v>
      </c>
      <c r="W433">
        <f t="shared" si="124"/>
        <v>128.55656018472388</v>
      </c>
      <c r="AE433">
        <f t="shared" si="125"/>
        <v>0.6808106754281289</v>
      </c>
      <c r="AF433">
        <f t="shared" si="126"/>
        <v>0.66496914140639973</v>
      </c>
      <c r="AG433">
        <f t="shared" si="127"/>
        <v>0.66869240066887459</v>
      </c>
      <c r="AI433">
        <f t="shared" si="128"/>
        <v>0.20318913660738677</v>
      </c>
      <c r="AJ433">
        <f t="shared" si="129"/>
        <v>15.410638486617026</v>
      </c>
      <c r="AL433">
        <f t="shared" si="130"/>
        <v>0.2080297035149036</v>
      </c>
      <c r="AM433">
        <f t="shared" si="131"/>
        <v>16.15363862380422</v>
      </c>
      <c r="AO433">
        <f t="shared" si="132"/>
        <v>0.20687140035532381</v>
      </c>
      <c r="AP433">
        <f t="shared" si="133"/>
        <v>15.974253471350625</v>
      </c>
    </row>
    <row r="434" spans="1:42" x14ac:dyDescent="0.2">
      <c r="A434" s="3">
        <v>430</v>
      </c>
      <c r="B434" s="3">
        <v>3.3299999999999998E-7</v>
      </c>
      <c r="C434" s="2">
        <v>2.249E-2</v>
      </c>
      <c r="D434" s="3">
        <v>182000</v>
      </c>
      <c r="E434" s="3">
        <v>112000000000</v>
      </c>
      <c r="F434" s="3">
        <v>102000000000</v>
      </c>
      <c r="G434" s="3">
        <v>5530000000</v>
      </c>
      <c r="H434" s="3">
        <v>10200000000</v>
      </c>
      <c r="I434" s="2"/>
      <c r="J434" s="7">
        <f t="shared" si="134"/>
        <v>0.33299999999999996</v>
      </c>
      <c r="K434" s="7">
        <f t="shared" si="135"/>
        <v>22.49</v>
      </c>
      <c r="L434" s="7">
        <f t="shared" si="136"/>
        <v>112</v>
      </c>
      <c r="M434" s="7">
        <f t="shared" si="137"/>
        <v>182</v>
      </c>
      <c r="O434">
        <f t="shared" si="138"/>
        <v>0.24032142857142852</v>
      </c>
      <c r="P434">
        <f t="shared" si="139"/>
        <v>240.32142857142853</v>
      </c>
      <c r="V434">
        <f t="shared" si="123"/>
        <v>725.06706097371455</v>
      </c>
      <c r="W434">
        <f t="shared" si="124"/>
        <v>125.50563237253301</v>
      </c>
      <c r="AE434">
        <f t="shared" si="125"/>
        <v>0.66260718143272435</v>
      </c>
      <c r="AF434">
        <f t="shared" si="126"/>
        <v>0.64718921783938366</v>
      </c>
      <c r="AG434">
        <f t="shared" si="127"/>
        <v>0.65081292471516139</v>
      </c>
      <c r="AI434">
        <f t="shared" si="128"/>
        <v>0.20940008482852146</v>
      </c>
      <c r="AJ434">
        <f t="shared" si="129"/>
        <v>16.305257904256521</v>
      </c>
      <c r="AL434">
        <f t="shared" si="130"/>
        <v>0.21438861491421557</v>
      </c>
      <c r="AM434">
        <f t="shared" si="131"/>
        <v>17.091390735174329</v>
      </c>
      <c r="AO434">
        <f t="shared" si="132"/>
        <v>0.21319490552638631</v>
      </c>
      <c r="AP434">
        <f t="shared" si="133"/>
        <v>16.901591903835165</v>
      </c>
    </row>
    <row r="435" spans="1:42" x14ac:dyDescent="0.2">
      <c r="A435" s="3">
        <v>430</v>
      </c>
      <c r="B435" s="3">
        <v>3.3299999999999998E-7</v>
      </c>
      <c r="C435" s="2">
        <v>2.2540000000000001E-2</v>
      </c>
      <c r="D435" s="3">
        <v>182000</v>
      </c>
      <c r="E435" s="3">
        <v>113000000000</v>
      </c>
      <c r="F435" s="3">
        <v>102000000000</v>
      </c>
      <c r="G435" s="3">
        <v>6610000000</v>
      </c>
      <c r="H435" s="3">
        <v>10200000000</v>
      </c>
      <c r="I435" s="2"/>
      <c r="J435" s="7">
        <f t="shared" si="134"/>
        <v>0.33299999999999996</v>
      </c>
      <c r="K435" s="7">
        <f t="shared" si="135"/>
        <v>22.540000000000003</v>
      </c>
      <c r="L435" s="7">
        <f t="shared" si="136"/>
        <v>113</v>
      </c>
      <c r="M435" s="7">
        <f t="shared" si="137"/>
        <v>182</v>
      </c>
      <c r="O435">
        <f t="shared" si="138"/>
        <v>0.24011538461538456</v>
      </c>
      <c r="P435">
        <f t="shared" si="139"/>
        <v>240.11538461538456</v>
      </c>
      <c r="V435">
        <f t="shared" si="123"/>
        <v>724.79159204429277</v>
      </c>
      <c r="W435">
        <f t="shared" si="124"/>
        <v>125.55333284611129</v>
      </c>
      <c r="AE435">
        <f t="shared" si="125"/>
        <v>0.66260718143272435</v>
      </c>
      <c r="AF435">
        <f t="shared" si="126"/>
        <v>0.64718921783938366</v>
      </c>
      <c r="AG435">
        <f t="shared" si="127"/>
        <v>0.65081292471516139</v>
      </c>
      <c r="AI435">
        <f t="shared" si="128"/>
        <v>0.20940008482852146</v>
      </c>
      <c r="AJ435">
        <f t="shared" si="129"/>
        <v>16.341507921829351</v>
      </c>
      <c r="AL435">
        <f t="shared" si="130"/>
        <v>0.21438861491421557</v>
      </c>
      <c r="AM435">
        <f t="shared" si="131"/>
        <v>17.12938849136636</v>
      </c>
      <c r="AO435">
        <f t="shared" si="132"/>
        <v>0.21319490552638631</v>
      </c>
      <c r="AP435">
        <f t="shared" si="133"/>
        <v>16.939167697307454</v>
      </c>
    </row>
    <row r="436" spans="1:42" x14ac:dyDescent="0.2">
      <c r="A436" s="3">
        <v>430</v>
      </c>
      <c r="B436" s="3">
        <v>3.34E-7</v>
      </c>
      <c r="C436" s="2">
        <v>2.2589999999999999E-2</v>
      </c>
      <c r="D436" s="3">
        <v>182000</v>
      </c>
      <c r="E436" s="3">
        <v>112000000000</v>
      </c>
      <c r="F436" s="3">
        <v>101000000000</v>
      </c>
      <c r="G436" s="3">
        <v>3490000000</v>
      </c>
      <c r="H436" s="3">
        <v>10200000000</v>
      </c>
      <c r="I436" s="2"/>
      <c r="J436" s="7">
        <f t="shared" si="134"/>
        <v>0.33400000000000002</v>
      </c>
      <c r="K436" s="7">
        <f t="shared" si="135"/>
        <v>22.59</v>
      </c>
      <c r="L436" s="7">
        <f t="shared" si="136"/>
        <v>112</v>
      </c>
      <c r="M436" s="7">
        <f t="shared" si="137"/>
        <v>182</v>
      </c>
      <c r="O436">
        <f t="shared" si="138"/>
        <v>0.24090934065934066</v>
      </c>
      <c r="P436">
        <f t="shared" si="139"/>
        <v>240.90934065934067</v>
      </c>
      <c r="V436">
        <f t="shared" si="123"/>
        <v>725.85234325300007</v>
      </c>
      <c r="W436">
        <f t="shared" si="124"/>
        <v>125.36985083243221</v>
      </c>
      <c r="AE436">
        <f t="shared" si="125"/>
        <v>0.66260718143272435</v>
      </c>
      <c r="AF436">
        <f t="shared" si="126"/>
        <v>0.64718921783938366</v>
      </c>
      <c r="AG436">
        <f t="shared" si="127"/>
        <v>0.65081292471516139</v>
      </c>
      <c r="AI436">
        <f t="shared" si="128"/>
        <v>0.21002891391209061</v>
      </c>
      <c r="AJ436">
        <f t="shared" si="129"/>
        <v>16.377757939402173</v>
      </c>
      <c r="AL436">
        <f t="shared" si="130"/>
        <v>0.21503242456861266</v>
      </c>
      <c r="AM436">
        <f t="shared" si="131"/>
        <v>17.167386247558387</v>
      </c>
      <c r="AO436">
        <f t="shared" si="132"/>
        <v>0.213835130467907</v>
      </c>
      <c r="AP436">
        <f t="shared" si="133"/>
        <v>16.976743490779739</v>
      </c>
    </row>
    <row r="437" spans="1:42" x14ac:dyDescent="0.2">
      <c r="A437" s="3">
        <v>440</v>
      </c>
      <c r="B437" s="3">
        <v>3.3500000000000002E-7</v>
      </c>
      <c r="C437" s="2">
        <v>2.265E-2</v>
      </c>
      <c r="D437" s="3">
        <v>168000</v>
      </c>
      <c r="E437" s="3">
        <v>105000000000</v>
      </c>
      <c r="F437" s="3">
        <v>95300000000</v>
      </c>
      <c r="G437" s="2">
        <v>0</v>
      </c>
      <c r="H437" s="3">
        <v>10500000000</v>
      </c>
      <c r="I437" s="2"/>
      <c r="J437" s="7">
        <f t="shared" si="134"/>
        <v>0.33500000000000002</v>
      </c>
      <c r="K437" s="7">
        <f t="shared" si="135"/>
        <v>22.65</v>
      </c>
      <c r="L437" s="7">
        <f t="shared" si="136"/>
        <v>105</v>
      </c>
      <c r="M437" s="7">
        <f t="shared" si="137"/>
        <v>168</v>
      </c>
      <c r="O437">
        <f t="shared" si="138"/>
        <v>0.23388392857142859</v>
      </c>
      <c r="P437">
        <f t="shared" si="139"/>
        <v>233.88392857142858</v>
      </c>
      <c r="V437">
        <f t="shared" si="123"/>
        <v>716.39745183835726</v>
      </c>
      <c r="W437">
        <f t="shared" si="124"/>
        <v>117.25334838146961</v>
      </c>
      <c r="AE437">
        <f t="shared" si="125"/>
        <v>0.61163739824559171</v>
      </c>
      <c r="AF437">
        <f t="shared" si="126"/>
        <v>0.59740543185173878</v>
      </c>
      <c r="AG437">
        <f t="shared" si="127"/>
        <v>0.60075039204476433</v>
      </c>
      <c r="AI437">
        <f t="shared" si="128"/>
        <v>0.22821255491196477</v>
      </c>
      <c r="AJ437">
        <f t="shared" si="129"/>
        <v>19.272170800852329</v>
      </c>
      <c r="AL437">
        <f t="shared" si="130"/>
        <v>0.23364925374159382</v>
      </c>
      <c r="AM437">
        <f t="shared" si="131"/>
        <v>20.201348755507709</v>
      </c>
      <c r="AO437">
        <f t="shared" si="132"/>
        <v>0.23234830169354667</v>
      </c>
      <c r="AP437">
        <f t="shared" si="133"/>
        <v>19.977014033735806</v>
      </c>
    </row>
    <row r="438" spans="1:42" x14ac:dyDescent="0.2">
      <c r="A438" s="3">
        <v>440</v>
      </c>
      <c r="B438" s="3">
        <v>3.3599999999999999E-7</v>
      </c>
      <c r="C438" s="2">
        <v>2.2700000000000001E-2</v>
      </c>
      <c r="D438" s="3">
        <v>176000</v>
      </c>
      <c r="E438" s="3">
        <v>109000000000</v>
      </c>
      <c r="F438" s="3">
        <v>98600000000</v>
      </c>
      <c r="G438" s="2">
        <v>0</v>
      </c>
      <c r="H438" s="3">
        <v>10300000000</v>
      </c>
      <c r="I438" s="2"/>
      <c r="J438" s="7">
        <f t="shared" si="134"/>
        <v>0.33599999999999997</v>
      </c>
      <c r="K438" s="7">
        <f t="shared" si="135"/>
        <v>22.700000000000003</v>
      </c>
      <c r="L438" s="7">
        <f t="shared" si="136"/>
        <v>109</v>
      </c>
      <c r="M438" s="7">
        <f t="shared" si="137"/>
        <v>176</v>
      </c>
      <c r="O438">
        <f t="shared" si="138"/>
        <v>0.23926704545454541</v>
      </c>
      <c r="P438">
        <f t="shared" si="139"/>
        <v>239.26704545454541</v>
      </c>
      <c r="V438">
        <f t="shared" si="123"/>
        <v>723.65602209153462</v>
      </c>
      <c r="W438">
        <f t="shared" si="124"/>
        <v>121.6047366615695</v>
      </c>
      <c r="AE438">
        <f t="shared" si="125"/>
        <v>0.64076298863823899</v>
      </c>
      <c r="AF438">
        <f t="shared" si="126"/>
        <v>0.62585330955896445</v>
      </c>
      <c r="AG438">
        <f t="shared" si="127"/>
        <v>0.62935755357070555</v>
      </c>
      <c r="AI438">
        <f t="shared" si="128"/>
        <v>0.21848952340011166</v>
      </c>
      <c r="AJ438">
        <f t="shared" si="129"/>
        <v>17.598737547305607</v>
      </c>
      <c r="AL438">
        <f t="shared" si="130"/>
        <v>0.22369459082777282</v>
      </c>
      <c r="AM438">
        <f t="shared" si="131"/>
        <v>18.44723350179347</v>
      </c>
      <c r="AO438">
        <f t="shared" si="132"/>
        <v>0.22244906604473066</v>
      </c>
      <c r="AP438">
        <f t="shared" si="133"/>
        <v>18.242378120839859</v>
      </c>
    </row>
    <row r="439" spans="1:42" x14ac:dyDescent="0.2">
      <c r="A439" s="3">
        <v>440</v>
      </c>
      <c r="B439" s="3">
        <v>3.3599999999999999E-7</v>
      </c>
      <c r="C439" s="2">
        <v>2.2749999999999999E-2</v>
      </c>
      <c r="D439" s="3">
        <v>171000</v>
      </c>
      <c r="E439" s="3">
        <v>106000000000</v>
      </c>
      <c r="F439" s="3">
        <v>96400000000</v>
      </c>
      <c r="G439" s="3">
        <v>2880000000</v>
      </c>
      <c r="H439" s="3">
        <v>10500000000</v>
      </c>
      <c r="I439" s="2"/>
      <c r="J439" s="7">
        <f t="shared" si="134"/>
        <v>0.33599999999999997</v>
      </c>
      <c r="K439" s="7">
        <f t="shared" si="135"/>
        <v>22.75</v>
      </c>
      <c r="L439" s="7">
        <f t="shared" si="136"/>
        <v>106</v>
      </c>
      <c r="M439" s="7">
        <f t="shared" si="137"/>
        <v>171</v>
      </c>
      <c r="O439">
        <f t="shared" si="138"/>
        <v>0.236219298245614</v>
      </c>
      <c r="P439">
        <f t="shared" si="139"/>
        <v>236.219298245614</v>
      </c>
      <c r="V439">
        <f t="shared" si="123"/>
        <v>719.55776050992358</v>
      </c>
      <c r="W439">
        <f t="shared" si="124"/>
        <v>118.82298363290441</v>
      </c>
      <c r="AE439">
        <f t="shared" si="125"/>
        <v>0.62255949464283444</v>
      </c>
      <c r="AF439">
        <f t="shared" si="126"/>
        <v>0.60807338599194838</v>
      </c>
      <c r="AG439">
        <f t="shared" si="127"/>
        <v>0.61147807761699224</v>
      </c>
      <c r="AI439">
        <f t="shared" si="128"/>
        <v>0.22487810595567048</v>
      </c>
      <c r="AJ439">
        <f t="shared" si="129"/>
        <v>18.684013537410511</v>
      </c>
      <c r="AL439">
        <f t="shared" si="130"/>
        <v>0.2302353683373568</v>
      </c>
      <c r="AM439">
        <f t="shared" si="131"/>
        <v>19.584834397854355</v>
      </c>
      <c r="AO439">
        <f t="shared" si="132"/>
        <v>0.22895342470100938</v>
      </c>
      <c r="AP439">
        <f t="shared" si="133"/>
        <v>19.367346029688164</v>
      </c>
    </row>
    <row r="440" spans="1:42" x14ac:dyDescent="0.2">
      <c r="A440" s="3">
        <v>440</v>
      </c>
      <c r="B440" s="3">
        <v>3.3799999999999998E-7</v>
      </c>
      <c r="C440" s="2">
        <v>2.281E-2</v>
      </c>
      <c r="D440" s="3">
        <v>171000</v>
      </c>
      <c r="E440" s="3">
        <v>106000000000</v>
      </c>
      <c r="F440" s="3">
        <v>96200000000</v>
      </c>
      <c r="G440" s="3">
        <v>1530000000</v>
      </c>
      <c r="H440" s="3">
        <v>10400000000</v>
      </c>
      <c r="I440" s="2"/>
      <c r="J440" s="7">
        <f t="shared" si="134"/>
        <v>0.33799999999999997</v>
      </c>
      <c r="K440" s="7">
        <f t="shared" si="135"/>
        <v>22.81</v>
      </c>
      <c r="L440" s="7">
        <f t="shared" si="136"/>
        <v>106</v>
      </c>
      <c r="M440" s="7">
        <f t="shared" si="137"/>
        <v>171</v>
      </c>
      <c r="O440">
        <f t="shared" si="138"/>
        <v>0.23795614035087717</v>
      </c>
      <c r="P440">
        <f t="shared" si="139"/>
        <v>237.95614035087718</v>
      </c>
      <c r="V440">
        <f t="shared" si="123"/>
        <v>721.89685168399831</v>
      </c>
      <c r="W440">
        <f t="shared" si="124"/>
        <v>118.43797323752092</v>
      </c>
      <c r="AE440">
        <f t="shared" si="125"/>
        <v>0.62255949464283444</v>
      </c>
      <c r="AF440">
        <f t="shared" si="126"/>
        <v>0.60807338599194838</v>
      </c>
      <c r="AG440">
        <f t="shared" si="127"/>
        <v>0.61147807761699224</v>
      </c>
      <c r="AI440">
        <f t="shared" si="128"/>
        <v>0.22621666611016852</v>
      </c>
      <c r="AJ440">
        <f t="shared" si="129"/>
        <v>18.733290056630054</v>
      </c>
      <c r="AL440">
        <f t="shared" si="130"/>
        <v>0.23160581695841251</v>
      </c>
      <c r="AM440">
        <f t="shared" si="131"/>
        <v>19.636486708354191</v>
      </c>
      <c r="AO440">
        <f t="shared" si="132"/>
        <v>0.23031624270518203</v>
      </c>
      <c r="AP440">
        <f t="shared" si="133"/>
        <v>19.418424744491737</v>
      </c>
    </row>
    <row r="441" spans="1:42" x14ac:dyDescent="0.2">
      <c r="A441" s="3">
        <v>440</v>
      </c>
      <c r="B441" s="3">
        <v>3.39E-7</v>
      </c>
      <c r="C441" s="2">
        <v>2.2859999999999998E-2</v>
      </c>
      <c r="D441" s="3">
        <v>168000</v>
      </c>
      <c r="E441" s="3">
        <v>104000000000</v>
      </c>
      <c r="F441" s="3">
        <v>94600000000</v>
      </c>
      <c r="G441" s="3">
        <v>14200000000</v>
      </c>
      <c r="H441" s="3">
        <v>10500000000</v>
      </c>
      <c r="I441" s="2"/>
      <c r="J441" s="7">
        <f t="shared" si="134"/>
        <v>0.33900000000000002</v>
      </c>
      <c r="K441" s="7">
        <f t="shared" si="135"/>
        <v>22.86</v>
      </c>
      <c r="L441" s="7">
        <f t="shared" si="136"/>
        <v>104</v>
      </c>
      <c r="M441" s="7">
        <f t="shared" si="137"/>
        <v>168</v>
      </c>
      <c r="O441">
        <f t="shared" si="138"/>
        <v>0.23694642857142861</v>
      </c>
      <c r="P441">
        <f t="shared" si="139"/>
        <v>236.94642857142861</v>
      </c>
      <c r="V441">
        <f t="shared" si="123"/>
        <v>720.53818468934298</v>
      </c>
      <c r="W441">
        <f t="shared" si="124"/>
        <v>116.57952595005948</v>
      </c>
      <c r="AE441">
        <f t="shared" si="125"/>
        <v>0.61163739824559171</v>
      </c>
      <c r="AF441">
        <f t="shared" si="126"/>
        <v>0.59740543185173878</v>
      </c>
      <c r="AG441">
        <f t="shared" si="127"/>
        <v>0.60075039204476433</v>
      </c>
      <c r="AI441">
        <f t="shared" si="128"/>
        <v>0.23093748094076433</v>
      </c>
      <c r="AJ441">
        <f t="shared" si="129"/>
        <v>19.450853179138377</v>
      </c>
      <c r="AL441">
        <f t="shared" si="130"/>
        <v>0.23643909557731435</v>
      </c>
      <c r="AM441">
        <f t="shared" si="131"/>
        <v>20.388646028737583</v>
      </c>
      <c r="AO441">
        <f t="shared" si="132"/>
        <v>0.23512260977346963</v>
      </c>
      <c r="AP441">
        <f t="shared" si="133"/>
        <v>20.16223138239296</v>
      </c>
    </row>
    <row r="442" spans="1:42" x14ac:dyDescent="0.2">
      <c r="A442" s="3">
        <v>440</v>
      </c>
      <c r="B442" s="3">
        <v>3.3999999999999997E-7</v>
      </c>
      <c r="C442" s="2">
        <v>2.291E-2</v>
      </c>
      <c r="D442" s="3">
        <v>149000</v>
      </c>
      <c r="E442" s="3">
        <v>93700000000</v>
      </c>
      <c r="F442" s="3">
        <v>86200000000</v>
      </c>
      <c r="G442" s="3">
        <v>3540000000</v>
      </c>
      <c r="H442" s="3">
        <v>11100000000</v>
      </c>
      <c r="I442" s="2"/>
      <c r="J442" s="7">
        <f t="shared" si="134"/>
        <v>0.33999999999999997</v>
      </c>
      <c r="K442" s="7">
        <f t="shared" si="135"/>
        <v>22.91</v>
      </c>
      <c r="L442" s="7">
        <f t="shared" si="136"/>
        <v>93.7</v>
      </c>
      <c r="M442" s="7">
        <f t="shared" si="137"/>
        <v>149</v>
      </c>
      <c r="O442">
        <f t="shared" si="138"/>
        <v>0.22468120805369124</v>
      </c>
      <c r="P442">
        <f t="shared" si="139"/>
        <v>224.68120805369125</v>
      </c>
      <c r="V442">
        <f t="shared" si="123"/>
        <v>703.7697338754225</v>
      </c>
      <c r="W442">
        <f t="shared" si="124"/>
        <v>105.85848810200125</v>
      </c>
      <c r="AE442">
        <f t="shared" si="125"/>
        <v>0.54246412106305453</v>
      </c>
      <c r="AF442">
        <f t="shared" si="126"/>
        <v>0.52984172229707782</v>
      </c>
      <c r="AG442">
        <f t="shared" si="127"/>
        <v>0.53280838342065406</v>
      </c>
      <c r="AI442">
        <f t="shared" si="128"/>
        <v>0.26115398450508714</v>
      </c>
      <c r="AJ442">
        <f t="shared" si="129"/>
        <v>24.781839813976127</v>
      </c>
      <c r="AL442">
        <f t="shared" si="130"/>
        <v>0.26737544573214139</v>
      </c>
      <c r="AM442">
        <f t="shared" si="131"/>
        <v>25.976657951947857</v>
      </c>
      <c r="AO442">
        <f t="shared" si="132"/>
        <v>0.26588670725704466</v>
      </c>
      <c r="AP442">
        <f t="shared" si="133"/>
        <v>25.688188780669115</v>
      </c>
    </row>
    <row r="443" spans="1:42" x14ac:dyDescent="0.2">
      <c r="A443" s="3">
        <v>440</v>
      </c>
      <c r="B443" s="3">
        <v>3.4200000000000002E-7</v>
      </c>
      <c r="C443" s="2">
        <v>2.2960000000000001E-2</v>
      </c>
      <c r="D443" s="3">
        <v>169000</v>
      </c>
      <c r="E443" s="3">
        <v>104000000000</v>
      </c>
      <c r="F443" s="3">
        <v>94600000000</v>
      </c>
      <c r="G443" s="2">
        <v>0</v>
      </c>
      <c r="H443" s="3">
        <v>10400000000</v>
      </c>
      <c r="I443" s="2"/>
      <c r="J443" s="7">
        <f t="shared" si="134"/>
        <v>0.34200000000000003</v>
      </c>
      <c r="K443" s="7">
        <f t="shared" si="135"/>
        <v>22.96</v>
      </c>
      <c r="L443" s="7">
        <f t="shared" si="136"/>
        <v>104</v>
      </c>
      <c r="M443" s="7">
        <f t="shared" si="137"/>
        <v>169</v>
      </c>
      <c r="O443">
        <f t="shared" si="138"/>
        <v>0.24010650887573967</v>
      </c>
      <c r="P443">
        <f t="shared" si="139"/>
        <v>240.10650887573968</v>
      </c>
      <c r="V443">
        <f t="shared" si="123"/>
        <v>724.7797227330658</v>
      </c>
      <c r="W443">
        <f t="shared" si="124"/>
        <v>116.58714689389993</v>
      </c>
      <c r="AE443">
        <f t="shared" si="125"/>
        <v>0.61527809704467262</v>
      </c>
      <c r="AF443">
        <f t="shared" si="126"/>
        <v>0.60096141656514201</v>
      </c>
      <c r="AG443">
        <f t="shared" si="127"/>
        <v>0.60432628723550696</v>
      </c>
      <c r="AI443">
        <f t="shared" si="128"/>
        <v>0.23160258862530861</v>
      </c>
      <c r="AJ443">
        <f t="shared" si="129"/>
        <v>19.305429476984912</v>
      </c>
      <c r="AL443">
        <f t="shared" si="130"/>
        <v>0.23712004809638815</v>
      </c>
      <c r="AM443">
        <f t="shared" si="131"/>
        <v>20.236210947351253</v>
      </c>
      <c r="AO443">
        <f t="shared" si="132"/>
        <v>0.2357997707693088</v>
      </c>
      <c r="AP443">
        <f t="shared" si="133"/>
        <v>20.011489083106721</v>
      </c>
    </row>
    <row r="444" spans="1:42" x14ac:dyDescent="0.2">
      <c r="A444" s="3">
        <v>440</v>
      </c>
      <c r="B444" s="3">
        <v>3.4299999999999999E-7</v>
      </c>
      <c r="C444" s="2">
        <v>2.3009999999999999E-2</v>
      </c>
      <c r="D444" s="3">
        <v>176000</v>
      </c>
      <c r="E444" s="3">
        <v>107000000000</v>
      </c>
      <c r="F444" s="3">
        <v>97500000000</v>
      </c>
      <c r="G444" s="3">
        <v>4460000000</v>
      </c>
      <c r="H444" s="3">
        <v>10200000000</v>
      </c>
      <c r="I444" s="2"/>
      <c r="J444" s="7">
        <f t="shared" si="134"/>
        <v>0.34299999999999997</v>
      </c>
      <c r="K444" s="7">
        <f t="shared" si="135"/>
        <v>23.009999999999998</v>
      </c>
      <c r="L444" s="7">
        <f t="shared" si="136"/>
        <v>107</v>
      </c>
      <c r="M444" s="7">
        <f t="shared" si="137"/>
        <v>176</v>
      </c>
      <c r="O444">
        <f t="shared" si="138"/>
        <v>0.2449460227272727</v>
      </c>
      <c r="P444">
        <f t="shared" si="139"/>
        <v>244.94602272727269</v>
      </c>
      <c r="V444">
        <f t="shared" si="123"/>
        <v>731.21560154310021</v>
      </c>
      <c r="W444">
        <f t="shared" si="124"/>
        <v>120.34754156543116</v>
      </c>
      <c r="AE444">
        <f t="shared" si="125"/>
        <v>0.64076298863823899</v>
      </c>
      <c r="AF444">
        <f t="shared" si="126"/>
        <v>0.62585330955896445</v>
      </c>
      <c r="AG444">
        <f t="shared" si="127"/>
        <v>0.62935755357070555</v>
      </c>
      <c r="AI444">
        <f t="shared" si="128"/>
        <v>0.22304138847094732</v>
      </c>
      <c r="AJ444">
        <f t="shared" si="129"/>
        <v>17.839072729669688</v>
      </c>
      <c r="AL444">
        <f t="shared" si="130"/>
        <v>0.22835489480335144</v>
      </c>
      <c r="AM444">
        <f t="shared" si="131"/>
        <v>18.699156073844389</v>
      </c>
      <c r="AO444">
        <f t="shared" si="132"/>
        <v>0.22708342158732922</v>
      </c>
      <c r="AP444">
        <f t="shared" si="133"/>
        <v>18.491503108393175</v>
      </c>
    </row>
    <row r="445" spans="1:42" x14ac:dyDescent="0.2">
      <c r="A445" s="3">
        <v>440</v>
      </c>
      <c r="B445" s="3">
        <v>3.4400000000000001E-7</v>
      </c>
      <c r="C445" s="2">
        <v>2.3060000000000001E-2</v>
      </c>
      <c r="D445" s="3">
        <v>189000</v>
      </c>
      <c r="E445" s="3">
        <v>114000000000</v>
      </c>
      <c r="F445" s="3">
        <v>103000000000</v>
      </c>
      <c r="G445" s="3">
        <v>7770000000</v>
      </c>
      <c r="H445" s="3">
        <v>9920000000</v>
      </c>
      <c r="I445" s="2"/>
      <c r="J445" s="7">
        <f t="shared" si="134"/>
        <v>0.34400000000000003</v>
      </c>
      <c r="K445" s="7">
        <f t="shared" si="135"/>
        <v>23.060000000000002</v>
      </c>
      <c r="L445" s="7">
        <f t="shared" si="136"/>
        <v>114</v>
      </c>
      <c r="M445" s="7">
        <f t="shared" si="137"/>
        <v>189</v>
      </c>
      <c r="O445">
        <f t="shared" si="138"/>
        <v>0.25249206349206349</v>
      </c>
      <c r="P445">
        <f t="shared" si="139"/>
        <v>252.49206349206349</v>
      </c>
      <c r="V445">
        <f t="shared" si="123"/>
        <v>741.11102513935293</v>
      </c>
      <c r="W445">
        <f t="shared" si="124"/>
        <v>127.51125916961084</v>
      </c>
      <c r="AE445">
        <f t="shared" si="125"/>
        <v>0.68809207302629072</v>
      </c>
      <c r="AF445">
        <f t="shared" si="126"/>
        <v>0.67208111083320621</v>
      </c>
      <c r="AG445">
        <f t="shared" si="127"/>
        <v>0.67584419105035987</v>
      </c>
      <c r="AI445">
        <f t="shared" si="128"/>
        <v>0.20830545642379003</v>
      </c>
      <c r="AJ445">
        <f t="shared" si="129"/>
        <v>15.503033578464505</v>
      </c>
      <c r="AL445">
        <f t="shared" si="130"/>
        <v>0.21326790921952443</v>
      </c>
      <c r="AM445">
        <f t="shared" si="131"/>
        <v>16.250488402326599</v>
      </c>
      <c r="AO445">
        <f t="shared" si="132"/>
        <v>0.21208043988744293</v>
      </c>
      <c r="AP445">
        <f t="shared" si="133"/>
        <v>16.07002773910482</v>
      </c>
    </row>
    <row r="446" spans="1:42" x14ac:dyDescent="0.2">
      <c r="A446" s="3">
        <v>440</v>
      </c>
      <c r="B446" s="3">
        <v>3.4499999999999998E-7</v>
      </c>
      <c r="C446" s="2">
        <v>2.3109999999999999E-2</v>
      </c>
      <c r="D446" s="3">
        <v>172000</v>
      </c>
      <c r="E446" s="3">
        <v>104000000000</v>
      </c>
      <c r="F446" s="3">
        <v>95100000000</v>
      </c>
      <c r="G446" s="3">
        <v>2170000000</v>
      </c>
      <c r="H446" s="3">
        <v>10300000000</v>
      </c>
      <c r="I446" s="2"/>
      <c r="J446" s="7">
        <f t="shared" si="134"/>
        <v>0.34499999999999997</v>
      </c>
      <c r="K446" s="7">
        <f t="shared" si="135"/>
        <v>23.11</v>
      </c>
      <c r="L446" s="7">
        <f t="shared" si="136"/>
        <v>104</v>
      </c>
      <c r="M446" s="7">
        <f t="shared" si="137"/>
        <v>172</v>
      </c>
      <c r="O446">
        <f t="shared" si="138"/>
        <v>0.24422965116279069</v>
      </c>
      <c r="P446">
        <f t="shared" si="139"/>
        <v>244.2296511627907</v>
      </c>
      <c r="V446">
        <f t="shared" si="123"/>
        <v>730.26742142657417</v>
      </c>
      <c r="W446">
        <f t="shared" si="124"/>
        <v>117.76507821203276</v>
      </c>
      <c r="AE446">
        <f t="shared" si="125"/>
        <v>0.62620019344191535</v>
      </c>
      <c r="AF446">
        <f t="shared" si="126"/>
        <v>0.61162937070535162</v>
      </c>
      <c r="AG446">
        <f t="shared" si="127"/>
        <v>0.61505397280773488</v>
      </c>
      <c r="AI446">
        <f t="shared" si="128"/>
        <v>0.2295591753331738</v>
      </c>
      <c r="AJ446">
        <f t="shared" si="129"/>
        <v>18.75962033661482</v>
      </c>
      <c r="AL446">
        <f t="shared" si="130"/>
        <v>0.23502795464878123</v>
      </c>
      <c r="AM446">
        <f t="shared" si="131"/>
        <v>19.664086462128626</v>
      </c>
      <c r="AO446">
        <f t="shared" si="132"/>
        <v>0.23371932603536905</v>
      </c>
      <c r="AP446">
        <f t="shared" si="133"/>
        <v>19.445718004716717</v>
      </c>
    </row>
    <row r="447" spans="1:42" x14ac:dyDescent="0.2">
      <c r="A447" s="3">
        <v>450</v>
      </c>
      <c r="B447" s="3">
        <v>3.4499999999999998E-7</v>
      </c>
      <c r="C447" s="2">
        <v>2.317E-2</v>
      </c>
      <c r="D447" s="3">
        <v>149000</v>
      </c>
      <c r="E447" s="3">
        <v>92700000000</v>
      </c>
      <c r="F447" s="3">
        <v>85300000000</v>
      </c>
      <c r="G447" s="3">
        <v>2710000000</v>
      </c>
      <c r="H447" s="3">
        <v>11000000000</v>
      </c>
      <c r="I447" s="2"/>
      <c r="J447" s="7">
        <f t="shared" si="134"/>
        <v>0.34499999999999997</v>
      </c>
      <c r="K447" s="7">
        <f t="shared" si="135"/>
        <v>23.169999999999998</v>
      </c>
      <c r="L447" s="7">
        <f t="shared" si="136"/>
        <v>92.7</v>
      </c>
      <c r="M447" s="7">
        <f t="shared" si="137"/>
        <v>149</v>
      </c>
      <c r="O447">
        <f t="shared" si="138"/>
        <v>0.22837248322147649</v>
      </c>
      <c r="P447">
        <f t="shared" si="139"/>
        <v>228.3724832214765</v>
      </c>
      <c r="V447">
        <f t="shared" si="123"/>
        <v>708.86877890055246</v>
      </c>
      <c r="W447">
        <f t="shared" si="124"/>
        <v>105.09702531341367</v>
      </c>
      <c r="AE447">
        <f t="shared" si="125"/>
        <v>0.54246412106305453</v>
      </c>
      <c r="AF447">
        <f t="shared" si="126"/>
        <v>0.52984172229707782</v>
      </c>
      <c r="AG447">
        <f t="shared" si="127"/>
        <v>0.53280838342065406</v>
      </c>
      <c r="AI447">
        <f t="shared" si="128"/>
        <v>0.26499448427722078</v>
      </c>
      <c r="AJ447">
        <f t="shared" si="129"/>
        <v>25.063082867299293</v>
      </c>
      <c r="AL447">
        <f t="shared" si="130"/>
        <v>0.27130743758114351</v>
      </c>
      <c r="AM447">
        <f t="shared" si="131"/>
        <v>26.271460704785323</v>
      </c>
      <c r="AO447">
        <f t="shared" si="132"/>
        <v>0.26979680589317773</v>
      </c>
      <c r="AP447">
        <f t="shared" si="133"/>
        <v>25.979717767267715</v>
      </c>
    </row>
    <row r="448" spans="1:42" x14ac:dyDescent="0.2">
      <c r="A448" s="3">
        <v>450</v>
      </c>
      <c r="B448" s="3">
        <v>3.46E-7</v>
      </c>
      <c r="C448" s="2">
        <v>2.3220000000000001E-2</v>
      </c>
      <c r="D448" s="3">
        <v>177000</v>
      </c>
      <c r="E448" s="3">
        <v>107000000000</v>
      </c>
      <c r="F448" s="3">
        <v>97200000000</v>
      </c>
      <c r="G448" s="3">
        <v>4700000000</v>
      </c>
      <c r="H448" s="3">
        <v>10200000000</v>
      </c>
      <c r="I448" s="2"/>
      <c r="J448" s="7">
        <f t="shared" si="134"/>
        <v>0.34599999999999997</v>
      </c>
      <c r="K448" s="7">
        <f t="shared" si="135"/>
        <v>23.220000000000002</v>
      </c>
      <c r="L448" s="7">
        <f t="shared" si="136"/>
        <v>107</v>
      </c>
      <c r="M448" s="7">
        <f t="shared" si="137"/>
        <v>177</v>
      </c>
      <c r="O448">
        <f t="shared" si="138"/>
        <v>0.24761016949152539</v>
      </c>
      <c r="P448">
        <f t="shared" si="139"/>
        <v>247.6101694915254</v>
      </c>
      <c r="V448">
        <f t="shared" si="123"/>
        <v>734.72834524573864</v>
      </c>
      <c r="W448">
        <f t="shared" si="124"/>
        <v>120.45268237255789</v>
      </c>
      <c r="AE448">
        <f t="shared" si="125"/>
        <v>0.64440368743731991</v>
      </c>
      <c r="AF448">
        <f t="shared" si="126"/>
        <v>0.62940929427236769</v>
      </c>
      <c r="AG448">
        <f t="shared" si="127"/>
        <v>0.63293344876144819</v>
      </c>
      <c r="AI448">
        <f t="shared" si="128"/>
        <v>0.22372104548313826</v>
      </c>
      <c r="AJ448">
        <f t="shared" si="129"/>
        <v>17.799043963069163</v>
      </c>
      <c r="AL448">
        <f t="shared" si="130"/>
        <v>0.22905074325813915</v>
      </c>
      <c r="AM448">
        <f t="shared" si="131"/>
        <v>18.657197382075513</v>
      </c>
      <c r="AO448">
        <f t="shared" si="132"/>
        <v>0.22777539557875839</v>
      </c>
      <c r="AP448">
        <f t="shared" si="133"/>
        <v>18.450010365287323</v>
      </c>
    </row>
    <row r="449" spans="1:42" x14ac:dyDescent="0.2">
      <c r="A449" s="3">
        <v>450</v>
      </c>
      <c r="B449" s="3">
        <v>3.4700000000000002E-7</v>
      </c>
      <c r="C449" s="2">
        <v>2.3269999999999999E-2</v>
      </c>
      <c r="D449" s="3">
        <v>185000</v>
      </c>
      <c r="E449" s="3">
        <v>111000000000</v>
      </c>
      <c r="F449" s="3">
        <v>101000000000</v>
      </c>
      <c r="G449" s="3">
        <v>11600000000</v>
      </c>
      <c r="H449" s="3">
        <v>9990000000</v>
      </c>
      <c r="I449" s="2"/>
      <c r="J449" s="7">
        <f t="shared" si="134"/>
        <v>0.34700000000000003</v>
      </c>
      <c r="K449" s="7">
        <f t="shared" si="135"/>
        <v>23.27</v>
      </c>
      <c r="L449" s="7">
        <f t="shared" si="136"/>
        <v>111</v>
      </c>
      <c r="M449" s="7">
        <f t="shared" si="137"/>
        <v>185</v>
      </c>
      <c r="O449">
        <f t="shared" si="138"/>
        <v>0.2526621621621622</v>
      </c>
      <c r="P449">
        <f t="shared" si="139"/>
        <v>252.66216216216219</v>
      </c>
      <c r="V449">
        <f t="shared" si="123"/>
        <v>741.33217075566802</v>
      </c>
      <c r="W449">
        <f t="shared" si="124"/>
        <v>124.77537553201184</v>
      </c>
      <c r="AE449">
        <f t="shared" si="125"/>
        <v>0.67352927782996708</v>
      </c>
      <c r="AF449">
        <f t="shared" si="126"/>
        <v>0.65785717197959337</v>
      </c>
      <c r="AG449">
        <f t="shared" si="127"/>
        <v>0.66154061028738931</v>
      </c>
      <c r="AI449">
        <f t="shared" si="128"/>
        <v>0.21466525374986523</v>
      </c>
      <c r="AJ449">
        <f t="shared" si="129"/>
        <v>16.328034883888268</v>
      </c>
      <c r="AL449">
        <f t="shared" si="130"/>
        <v>0.21977921575022108</v>
      </c>
      <c r="AM449">
        <f t="shared" si="131"/>
        <v>17.11526587170631</v>
      </c>
      <c r="AO449">
        <f t="shared" si="132"/>
        <v>0.21855549165836219</v>
      </c>
      <c r="AP449">
        <f t="shared" si="133"/>
        <v>16.925201908460558</v>
      </c>
    </row>
    <row r="450" spans="1:42" x14ac:dyDescent="0.2">
      <c r="A450" s="3">
        <v>450</v>
      </c>
      <c r="B450" s="3">
        <v>3.4799999999999999E-7</v>
      </c>
      <c r="C450" s="2">
        <v>2.332E-2</v>
      </c>
      <c r="D450" s="3">
        <v>173000</v>
      </c>
      <c r="E450" s="3">
        <v>105000000000</v>
      </c>
      <c r="F450" s="3">
        <v>95300000000</v>
      </c>
      <c r="G450" s="3">
        <v>11100000000</v>
      </c>
      <c r="H450" s="3">
        <v>10300000000</v>
      </c>
      <c r="I450" s="2"/>
      <c r="J450" s="7">
        <f t="shared" si="134"/>
        <v>0.34799999999999998</v>
      </c>
      <c r="K450" s="7">
        <f t="shared" si="135"/>
        <v>23.32</v>
      </c>
      <c r="L450" s="7">
        <f t="shared" si="136"/>
        <v>105</v>
      </c>
      <c r="M450" s="7">
        <f t="shared" si="137"/>
        <v>173</v>
      </c>
      <c r="O450">
        <f t="shared" si="138"/>
        <v>0.24690173410404623</v>
      </c>
      <c r="P450">
        <f t="shared" si="139"/>
        <v>246.90173410404623</v>
      </c>
      <c r="V450">
        <f t="shared" si="123"/>
        <v>733.79631863330155</v>
      </c>
      <c r="W450">
        <f t="shared" si="124"/>
        <v>117.88012259465485</v>
      </c>
      <c r="AE450">
        <f t="shared" si="125"/>
        <v>0.62984089224099626</v>
      </c>
      <c r="AF450">
        <f t="shared" si="126"/>
        <v>0.61518535541875485</v>
      </c>
      <c r="AG450">
        <f t="shared" si="127"/>
        <v>0.61862986799847763</v>
      </c>
      <c r="AI450">
        <f t="shared" si="128"/>
        <v>0.23021687188979562</v>
      </c>
      <c r="AJ450">
        <f t="shared" si="129"/>
        <v>18.71187608951713</v>
      </c>
      <c r="AL450">
        <f t="shared" si="130"/>
        <v>0.23570131948491999</v>
      </c>
      <c r="AM450">
        <f t="shared" si="131"/>
        <v>19.614040299884834</v>
      </c>
      <c r="AO450">
        <f t="shared" si="132"/>
        <v>0.2343889415962645</v>
      </c>
      <c r="AP450">
        <f t="shared" si="133"/>
        <v>19.39622760199267</v>
      </c>
    </row>
    <row r="451" spans="1:42" x14ac:dyDescent="0.2">
      <c r="A451" s="3">
        <v>450</v>
      </c>
      <c r="B451" s="3">
        <v>3.4900000000000001E-7</v>
      </c>
      <c r="C451" s="2">
        <v>2.3369999999999998E-2</v>
      </c>
      <c r="D451" s="3">
        <v>191000</v>
      </c>
      <c r="E451" s="3">
        <v>114000000000</v>
      </c>
      <c r="F451" s="3">
        <v>103000000000</v>
      </c>
      <c r="G451" s="3">
        <v>9470000000</v>
      </c>
      <c r="H451" s="3">
        <v>9870000000</v>
      </c>
      <c r="I451" s="2"/>
      <c r="J451" s="7">
        <f t="shared" si="134"/>
        <v>0.34900000000000003</v>
      </c>
      <c r="K451" s="7">
        <f t="shared" si="135"/>
        <v>23.369999999999997</v>
      </c>
      <c r="L451" s="7">
        <f t="shared" si="136"/>
        <v>114</v>
      </c>
      <c r="M451" s="7">
        <f t="shared" si="137"/>
        <v>191</v>
      </c>
      <c r="O451">
        <f t="shared" si="138"/>
        <v>0.25723298429319374</v>
      </c>
      <c r="P451">
        <f t="shared" si="139"/>
        <v>257.23298429319374</v>
      </c>
      <c r="V451">
        <f t="shared" si="123"/>
        <v>747.24393586526708</v>
      </c>
      <c r="W451">
        <f t="shared" si="124"/>
        <v>127.80297760384806</v>
      </c>
      <c r="AE451">
        <f t="shared" si="125"/>
        <v>0.69537347062445254</v>
      </c>
      <c r="AF451">
        <f t="shared" si="126"/>
        <v>0.67919308026001257</v>
      </c>
      <c r="AG451">
        <f t="shared" si="127"/>
        <v>0.68299598143184514</v>
      </c>
      <c r="AI451">
        <f t="shared" si="128"/>
        <v>0.20912023942483887</v>
      </c>
      <c r="AJ451">
        <f t="shared" si="129"/>
        <v>15.384131056309871</v>
      </c>
      <c r="AL451">
        <f t="shared" si="130"/>
        <v>0.21410210276435301</v>
      </c>
      <c r="AM451">
        <f t="shared" si="131"/>
        <v>16.12585317867816</v>
      </c>
      <c r="AO451">
        <f t="shared" si="132"/>
        <v>0.21290998866759445</v>
      </c>
      <c r="AP451">
        <f t="shared" si="133"/>
        <v>15.946776581864938</v>
      </c>
    </row>
    <row r="452" spans="1:42" x14ac:dyDescent="0.2">
      <c r="A452" s="3">
        <v>450</v>
      </c>
      <c r="B452" s="3">
        <v>3.4900000000000001E-7</v>
      </c>
      <c r="C452" s="2">
        <v>2.3429999999999999E-2</v>
      </c>
      <c r="D452" s="3">
        <v>186000</v>
      </c>
      <c r="E452" s="3">
        <v>112000000000</v>
      </c>
      <c r="F452" s="3">
        <v>101000000000</v>
      </c>
      <c r="G452" s="3">
        <v>5320000000</v>
      </c>
      <c r="H452" s="3">
        <v>9970000000</v>
      </c>
      <c r="I452" s="2"/>
      <c r="J452" s="7">
        <f t="shared" si="134"/>
        <v>0.34900000000000003</v>
      </c>
      <c r="K452" s="7">
        <f t="shared" si="135"/>
        <v>23.43</v>
      </c>
      <c r="L452" s="7">
        <f t="shared" si="136"/>
        <v>112</v>
      </c>
      <c r="M452" s="7">
        <f t="shared" si="137"/>
        <v>186</v>
      </c>
      <c r="O452">
        <f t="shared" si="138"/>
        <v>0.25452419354838712</v>
      </c>
      <c r="P452">
        <f t="shared" si="139"/>
        <v>254.52419354838713</v>
      </c>
      <c r="V452">
        <f t="shared" si="123"/>
        <v>743.74759887835785</v>
      </c>
      <c r="W452">
        <f t="shared" si="124"/>
        <v>125.04242049352878</v>
      </c>
      <c r="AE452">
        <f t="shared" si="125"/>
        <v>0.67716997662904799</v>
      </c>
      <c r="AF452">
        <f t="shared" si="126"/>
        <v>0.6614131566929965</v>
      </c>
      <c r="AG452">
        <f t="shared" si="127"/>
        <v>0.66511650547813195</v>
      </c>
      <c r="AI452">
        <f t="shared" si="128"/>
        <v>0.21474175123733458</v>
      </c>
      <c r="AJ452">
        <f t="shared" si="129"/>
        <v>16.264001033753591</v>
      </c>
      <c r="AL452">
        <f t="shared" si="130"/>
        <v>0.21985753563436253</v>
      </c>
      <c r="AM452">
        <f t="shared" si="131"/>
        <v>17.048144728369859</v>
      </c>
      <c r="AO452">
        <f t="shared" si="132"/>
        <v>0.21863337545973408</v>
      </c>
      <c r="AP452">
        <f t="shared" si="133"/>
        <v>16.858826141247139</v>
      </c>
    </row>
    <row r="453" spans="1:42" x14ac:dyDescent="0.2">
      <c r="A453" s="3">
        <v>450</v>
      </c>
      <c r="B453" s="3">
        <v>3.4999999999999998E-7</v>
      </c>
      <c r="C453" s="2">
        <v>2.3480000000000001E-2</v>
      </c>
      <c r="D453" s="3">
        <v>184000</v>
      </c>
      <c r="E453" s="3">
        <v>110000000000</v>
      </c>
      <c r="F453" s="3">
        <v>99800000000</v>
      </c>
      <c r="G453" s="2">
        <v>0</v>
      </c>
      <c r="H453" s="3">
        <v>10000000000</v>
      </c>
      <c r="I453" s="2"/>
      <c r="J453" s="7">
        <f t="shared" si="134"/>
        <v>0.35</v>
      </c>
      <c r="K453" s="7">
        <f t="shared" si="135"/>
        <v>23.48</v>
      </c>
      <c r="L453" s="7">
        <f t="shared" si="136"/>
        <v>110</v>
      </c>
      <c r="M453" s="7">
        <f t="shared" si="137"/>
        <v>184</v>
      </c>
      <c r="O453">
        <f t="shared" si="138"/>
        <v>0.25429347826086957</v>
      </c>
      <c r="P453">
        <f t="shared" si="139"/>
        <v>254.29347826086956</v>
      </c>
      <c r="V453">
        <f t="shared" ref="V453:V516" si="140">$S$3*(P453^$S$4)</f>
        <v>743.44885027577891</v>
      </c>
      <c r="W453">
        <f t="shared" ref="W453:W516" si="141">M453/(2*(V453/1000))</f>
        <v>123.74758527889716</v>
      </c>
      <c r="AE453">
        <f t="shared" si="125"/>
        <v>0.66988857903088617</v>
      </c>
      <c r="AF453">
        <f t="shared" si="126"/>
        <v>0.65430118726619013</v>
      </c>
      <c r="AG453">
        <f t="shared" si="127"/>
        <v>0.65796471509664667</v>
      </c>
      <c r="AI453">
        <f t="shared" si="128"/>
        <v>0.21769789469214024</v>
      </c>
      <c r="AJ453">
        <f t="shared" si="129"/>
        <v>16.654954080394067</v>
      </c>
      <c r="AL453">
        <f t="shared" si="130"/>
        <v>0.22288410317984608</v>
      </c>
      <c r="AM453">
        <f t="shared" si="131"/>
        <v>17.457946972435856</v>
      </c>
      <c r="AO453">
        <f t="shared" si="132"/>
        <v>0.22164309116775702</v>
      </c>
      <c r="AP453">
        <f t="shared" si="133"/>
        <v>17.264077556875066</v>
      </c>
    </row>
    <row r="454" spans="1:42" x14ac:dyDescent="0.2">
      <c r="A454" s="3">
        <v>450</v>
      </c>
      <c r="B454" s="3">
        <v>3.5100000000000001E-7</v>
      </c>
      <c r="C454" s="2">
        <v>2.3529999999999999E-2</v>
      </c>
      <c r="D454" s="3">
        <v>188000</v>
      </c>
      <c r="E454" s="3">
        <v>112000000000</v>
      </c>
      <c r="F454" s="3">
        <v>102000000000</v>
      </c>
      <c r="G454" s="3">
        <v>7820000000</v>
      </c>
      <c r="H454" s="3">
        <v>9940000000</v>
      </c>
      <c r="I454" s="2"/>
      <c r="J454" s="7">
        <f t="shared" si="134"/>
        <v>0.35099999999999998</v>
      </c>
      <c r="K454" s="7">
        <f t="shared" si="135"/>
        <v>23.529999999999998</v>
      </c>
      <c r="L454" s="7">
        <f t="shared" si="136"/>
        <v>112</v>
      </c>
      <c r="M454" s="7">
        <f t="shared" si="137"/>
        <v>188</v>
      </c>
      <c r="O454">
        <f t="shared" si="138"/>
        <v>0.25713031914893614</v>
      </c>
      <c r="P454">
        <f t="shared" si="139"/>
        <v>257.13031914893611</v>
      </c>
      <c r="V454">
        <f t="shared" si="140"/>
        <v>747.11179705985626</v>
      </c>
      <c r="W454">
        <f t="shared" si="141"/>
        <v>125.81784997897579</v>
      </c>
      <c r="AE454">
        <f t="shared" si="125"/>
        <v>0.68445137422720981</v>
      </c>
      <c r="AF454">
        <f t="shared" si="126"/>
        <v>0.66852512611980297</v>
      </c>
      <c r="AG454">
        <f t="shared" si="127"/>
        <v>0.67226829585961723</v>
      </c>
      <c r="AI454">
        <f t="shared" si="128"/>
        <v>0.2136747846625712</v>
      </c>
      <c r="AJ454">
        <f t="shared" si="129"/>
        <v>15.987745329558161</v>
      </c>
      <c r="AL454">
        <f t="shared" si="130"/>
        <v>0.21876515075634015</v>
      </c>
      <c r="AM454">
        <f t="shared" si="131"/>
        <v>16.758569781996748</v>
      </c>
      <c r="AO454">
        <f t="shared" si="132"/>
        <v>0.2175470729480003</v>
      </c>
      <c r="AP454">
        <f t="shared" si="133"/>
        <v>16.572466906647186</v>
      </c>
    </row>
    <row r="455" spans="1:42" x14ac:dyDescent="0.2">
      <c r="A455" s="3">
        <v>450</v>
      </c>
      <c r="B455" s="3">
        <v>3.5100000000000001E-7</v>
      </c>
      <c r="C455" s="2">
        <v>2.358E-2</v>
      </c>
      <c r="D455" s="3">
        <v>176000</v>
      </c>
      <c r="E455" s="3">
        <v>106000000000</v>
      </c>
      <c r="F455" s="3">
        <v>96300000000</v>
      </c>
      <c r="G455" s="3">
        <v>8290000000</v>
      </c>
      <c r="H455" s="3">
        <v>10200000000</v>
      </c>
      <c r="I455" s="2"/>
      <c r="J455" s="7">
        <f t="shared" si="134"/>
        <v>0.35099999999999998</v>
      </c>
      <c r="K455" s="7">
        <f t="shared" si="135"/>
        <v>23.580000000000002</v>
      </c>
      <c r="L455" s="7">
        <f t="shared" si="136"/>
        <v>106</v>
      </c>
      <c r="M455" s="7">
        <f t="shared" si="137"/>
        <v>176</v>
      </c>
      <c r="O455">
        <f t="shared" si="138"/>
        <v>0.25051704545454545</v>
      </c>
      <c r="P455">
        <f t="shared" si="139"/>
        <v>250.51704545454544</v>
      </c>
      <c r="V455">
        <f t="shared" si="140"/>
        <v>738.53720128852603</v>
      </c>
      <c r="W455">
        <f t="shared" si="141"/>
        <v>119.15445809157124</v>
      </c>
      <c r="AE455">
        <f t="shared" si="125"/>
        <v>0.64076298863823899</v>
      </c>
      <c r="AF455">
        <f t="shared" si="126"/>
        <v>0.62585330955896445</v>
      </c>
      <c r="AG455">
        <f t="shared" si="127"/>
        <v>0.62935755357070555</v>
      </c>
      <c r="AI455">
        <f t="shared" si="128"/>
        <v>0.22824351998047379</v>
      </c>
      <c r="AJ455">
        <f t="shared" si="129"/>
        <v>18.280979355306879</v>
      </c>
      <c r="AL455">
        <f t="shared" si="130"/>
        <v>0.23368095648972698</v>
      </c>
      <c r="AM455">
        <f t="shared" si="131"/>
        <v>19.162368545034802</v>
      </c>
      <c r="AO455">
        <f t="shared" si="132"/>
        <v>0.23237982792172759</v>
      </c>
      <c r="AP455">
        <f t="shared" si="133"/>
        <v>18.949571633894443</v>
      </c>
    </row>
    <row r="456" spans="1:42" x14ac:dyDescent="0.2">
      <c r="A456" s="3">
        <v>450</v>
      </c>
      <c r="B456" s="3">
        <v>3.5199999999999998E-7</v>
      </c>
      <c r="C456" s="2">
        <v>2.3640000000000001E-2</v>
      </c>
      <c r="D456" s="3">
        <v>184000</v>
      </c>
      <c r="E456" s="3">
        <v>110000000000</v>
      </c>
      <c r="F456" s="3">
        <v>99800000000</v>
      </c>
      <c r="G456" s="3">
        <v>5160000000</v>
      </c>
      <c r="H456" s="3">
        <v>10000000000</v>
      </c>
      <c r="I456" s="2"/>
      <c r="J456" s="7">
        <f t="shared" si="134"/>
        <v>0.35199999999999998</v>
      </c>
      <c r="K456" s="7">
        <f t="shared" si="135"/>
        <v>23.64</v>
      </c>
      <c r="L456" s="7">
        <f t="shared" si="136"/>
        <v>110</v>
      </c>
      <c r="M456" s="7">
        <f t="shared" si="137"/>
        <v>184</v>
      </c>
      <c r="O456">
        <f t="shared" si="138"/>
        <v>0.25564130434782606</v>
      </c>
      <c r="P456">
        <f t="shared" si="139"/>
        <v>255.64130434782606</v>
      </c>
      <c r="V456">
        <f t="shared" si="140"/>
        <v>745.1919944069723</v>
      </c>
      <c r="W456">
        <f t="shared" si="141"/>
        <v>123.45811641899627</v>
      </c>
      <c r="AE456">
        <f t="shared" si="125"/>
        <v>0.66988857903088617</v>
      </c>
      <c r="AF456">
        <f t="shared" si="126"/>
        <v>0.65430118726619013</v>
      </c>
      <c r="AG456">
        <f t="shared" si="127"/>
        <v>0.65796471509664667</v>
      </c>
      <c r="AI456">
        <f t="shared" si="128"/>
        <v>0.21894188266180961</v>
      </c>
      <c r="AJ456">
        <f t="shared" si="129"/>
        <v>16.768446101384825</v>
      </c>
      <c r="AL456">
        <f t="shared" si="130"/>
        <v>0.22415772662658806</v>
      </c>
      <c r="AM456">
        <f t="shared" si="131"/>
        <v>17.576910835961826</v>
      </c>
      <c r="AO456">
        <f t="shared" si="132"/>
        <v>0.22290962311728704</v>
      </c>
      <c r="AP456">
        <f t="shared" si="133"/>
        <v>17.381720334093973</v>
      </c>
    </row>
    <row r="457" spans="1:42" x14ac:dyDescent="0.2">
      <c r="A457" s="3">
        <v>460</v>
      </c>
      <c r="B457" s="3">
        <v>3.53E-7</v>
      </c>
      <c r="C457" s="2">
        <v>2.3689999999999999E-2</v>
      </c>
      <c r="D457" s="3">
        <v>177000</v>
      </c>
      <c r="E457" s="3">
        <v>106000000000</v>
      </c>
      <c r="F457" s="3">
        <v>96600000000</v>
      </c>
      <c r="G457" s="3">
        <v>5140000000</v>
      </c>
      <c r="H457" s="3">
        <v>10200000000</v>
      </c>
      <c r="I457" s="2"/>
      <c r="J457" s="7">
        <f t="shared" si="134"/>
        <v>0.35299999999999998</v>
      </c>
      <c r="K457" s="7">
        <f t="shared" si="135"/>
        <v>23.689999999999998</v>
      </c>
      <c r="L457" s="7">
        <f t="shared" si="136"/>
        <v>106</v>
      </c>
      <c r="M457" s="7">
        <f t="shared" si="137"/>
        <v>177</v>
      </c>
      <c r="O457">
        <f t="shared" si="138"/>
        <v>0.2526186440677966</v>
      </c>
      <c r="P457">
        <f t="shared" si="139"/>
        <v>252.61864406779659</v>
      </c>
      <c r="V457">
        <f t="shared" si="140"/>
        <v>741.27560069113645</v>
      </c>
      <c r="W457">
        <f t="shared" si="141"/>
        <v>119.38879401599898</v>
      </c>
      <c r="AE457">
        <f t="shared" si="125"/>
        <v>0.64440368743731991</v>
      </c>
      <c r="AF457">
        <f t="shared" si="126"/>
        <v>0.62940929427236769</v>
      </c>
      <c r="AG457">
        <f t="shared" si="127"/>
        <v>0.63293344876144819</v>
      </c>
      <c r="AI457">
        <f t="shared" si="128"/>
        <v>0.2282471938021613</v>
      </c>
      <c r="AJ457">
        <f t="shared" si="129"/>
        <v>18.159317462752298</v>
      </c>
      <c r="AL457">
        <f t="shared" si="130"/>
        <v>0.23368471783272579</v>
      </c>
      <c r="AM457">
        <f t="shared" si="131"/>
        <v>19.034840912203652</v>
      </c>
      <c r="AO457">
        <f t="shared" si="132"/>
        <v>0.23238356832168125</v>
      </c>
      <c r="AP457">
        <f t="shared" si="133"/>
        <v>18.823460187495979</v>
      </c>
    </row>
    <row r="458" spans="1:42" x14ac:dyDescent="0.2">
      <c r="A458" s="3">
        <v>460</v>
      </c>
      <c r="B458" s="3">
        <v>3.53E-7</v>
      </c>
      <c r="C458" s="2">
        <v>2.3740000000000001E-2</v>
      </c>
      <c r="D458" s="3">
        <v>186000</v>
      </c>
      <c r="E458" s="3">
        <v>111000000000</v>
      </c>
      <c r="F458" s="3">
        <v>100000000000</v>
      </c>
      <c r="G458" s="2">
        <v>0</v>
      </c>
      <c r="H458" s="3">
        <v>10000000000</v>
      </c>
      <c r="I458" s="2"/>
      <c r="J458" s="7">
        <f t="shared" si="134"/>
        <v>0.35299999999999998</v>
      </c>
      <c r="K458" s="7">
        <f t="shared" si="135"/>
        <v>23.740000000000002</v>
      </c>
      <c r="L458" s="7">
        <f t="shared" si="136"/>
        <v>111</v>
      </c>
      <c r="M458" s="7">
        <f t="shared" si="137"/>
        <v>186</v>
      </c>
      <c r="O458">
        <f t="shared" si="138"/>
        <v>0.2572741935483871</v>
      </c>
      <c r="P458">
        <f t="shared" si="139"/>
        <v>257.27419354838707</v>
      </c>
      <c r="V458">
        <f t="shared" si="140"/>
        <v>747.29696743303612</v>
      </c>
      <c r="W458">
        <f t="shared" si="141"/>
        <v>124.4485178622561</v>
      </c>
      <c r="AE458">
        <f t="shared" si="125"/>
        <v>0.67716997662904799</v>
      </c>
      <c r="AF458">
        <f t="shared" si="126"/>
        <v>0.6614131566929965</v>
      </c>
      <c r="AG458">
        <f t="shared" si="127"/>
        <v>0.66511650547813195</v>
      </c>
      <c r="AI458">
        <f t="shared" si="128"/>
        <v>0.21720297474721803</v>
      </c>
      <c r="AJ458">
        <f t="shared" si="129"/>
        <v>16.47918841405507</v>
      </c>
      <c r="AL458">
        <f t="shared" si="130"/>
        <v>0.22237739277630361</v>
      </c>
      <c r="AM458">
        <f t="shared" si="131"/>
        <v>17.273707035915514</v>
      </c>
      <c r="AO458">
        <f t="shared" si="132"/>
        <v>0.22113920211256766</v>
      </c>
      <c r="AP458">
        <f t="shared" si="133"/>
        <v>17.081883593393393</v>
      </c>
    </row>
    <row r="459" spans="1:42" x14ac:dyDescent="0.2">
      <c r="A459" s="3">
        <v>460</v>
      </c>
      <c r="B459" s="3">
        <v>3.5400000000000002E-7</v>
      </c>
      <c r="C459" s="2">
        <v>2.3789999999999999E-2</v>
      </c>
      <c r="D459" s="3">
        <v>181000</v>
      </c>
      <c r="E459" s="3">
        <v>108000000000</v>
      </c>
      <c r="F459" s="3">
        <v>97900000000</v>
      </c>
      <c r="G459" s="3">
        <v>1870000000</v>
      </c>
      <c r="H459" s="3">
        <v>10100000000</v>
      </c>
      <c r="I459" s="2"/>
      <c r="J459" s="7">
        <f t="shared" si="134"/>
        <v>0.35400000000000004</v>
      </c>
      <c r="K459" s="7">
        <f t="shared" si="135"/>
        <v>23.79</v>
      </c>
      <c r="L459" s="7">
        <f t="shared" si="136"/>
        <v>108</v>
      </c>
      <c r="M459" s="7">
        <f t="shared" si="137"/>
        <v>181</v>
      </c>
      <c r="O459">
        <f t="shared" si="138"/>
        <v>0.25542265193370173</v>
      </c>
      <c r="P459">
        <f t="shared" si="139"/>
        <v>255.42265193370173</v>
      </c>
      <c r="V459">
        <f t="shared" si="140"/>
        <v>744.90955958172719</v>
      </c>
      <c r="W459">
        <f t="shared" si="141"/>
        <v>121.49125868490195</v>
      </c>
      <c r="AE459">
        <f t="shared" si="125"/>
        <v>0.65896648263364344</v>
      </c>
      <c r="AF459">
        <f t="shared" si="126"/>
        <v>0.64363323312598053</v>
      </c>
      <c r="AG459">
        <f t="shared" si="127"/>
        <v>0.64723702952441875</v>
      </c>
      <c r="AI459">
        <f t="shared" si="128"/>
        <v>0.22383536019995659</v>
      </c>
      <c r="AJ459">
        <f t="shared" si="129"/>
        <v>17.438867798746418</v>
      </c>
      <c r="AL459">
        <f t="shared" si="130"/>
        <v>0.22916778129001514</v>
      </c>
      <c r="AM459">
        <f t="shared" si="131"/>
        <v>18.279655880181856</v>
      </c>
      <c r="AO459">
        <f t="shared" si="132"/>
        <v>0.22789178194637766</v>
      </c>
      <c r="AP459">
        <f t="shared" si="133"/>
        <v>18.076661438295954</v>
      </c>
    </row>
    <row r="460" spans="1:42" x14ac:dyDescent="0.2">
      <c r="A460" s="3">
        <v>460</v>
      </c>
      <c r="B460" s="3">
        <v>3.5499999999999999E-7</v>
      </c>
      <c r="C460" s="2">
        <v>2.384E-2</v>
      </c>
      <c r="D460" s="3">
        <v>203000</v>
      </c>
      <c r="E460" s="3">
        <v>119000000000</v>
      </c>
      <c r="F460" s="3">
        <v>107000000000</v>
      </c>
      <c r="G460" s="3">
        <v>14200000000</v>
      </c>
      <c r="H460" s="3">
        <v>9690000000</v>
      </c>
      <c r="I460" s="2"/>
      <c r="J460" s="7">
        <f t="shared" si="134"/>
        <v>0.35499999999999998</v>
      </c>
      <c r="K460" s="7">
        <f t="shared" si="135"/>
        <v>23.84</v>
      </c>
      <c r="L460" s="7">
        <f t="shared" si="136"/>
        <v>119.00000000000001</v>
      </c>
      <c r="M460" s="7">
        <f t="shared" si="137"/>
        <v>203</v>
      </c>
      <c r="O460">
        <f t="shared" si="138"/>
        <v>0.2669211822660098</v>
      </c>
      <c r="P460">
        <f t="shared" si="139"/>
        <v>266.92118226600979</v>
      </c>
      <c r="V460">
        <f t="shared" si="140"/>
        <v>759.58380797810321</v>
      </c>
      <c r="W460">
        <f t="shared" si="141"/>
        <v>133.62580788837192</v>
      </c>
      <c r="AE460">
        <f t="shared" si="125"/>
        <v>0.73906185621342335</v>
      </c>
      <c r="AF460">
        <f t="shared" si="126"/>
        <v>0.72186489682085109</v>
      </c>
      <c r="AG460">
        <f t="shared" si="127"/>
        <v>0.72590672372075693</v>
      </c>
      <c r="AI460">
        <f t="shared" si="128"/>
        <v>0.20014111866700354</v>
      </c>
      <c r="AJ460">
        <f t="shared" si="129"/>
        <v>13.8929722521006</v>
      </c>
      <c r="AL460">
        <f t="shared" si="130"/>
        <v>0.20490907276154186</v>
      </c>
      <c r="AM460">
        <f t="shared" si="131"/>
        <v>14.562800455403977</v>
      </c>
      <c r="AO460">
        <f t="shared" si="132"/>
        <v>0.20376814518054734</v>
      </c>
      <c r="AP460">
        <f t="shared" si="133"/>
        <v>14.401081461889147</v>
      </c>
    </row>
    <row r="461" spans="1:42" x14ac:dyDescent="0.2">
      <c r="A461" s="3">
        <v>460</v>
      </c>
      <c r="B461" s="3">
        <v>3.5600000000000001E-7</v>
      </c>
      <c r="C461" s="2">
        <v>2.3900000000000001E-2</v>
      </c>
      <c r="D461" s="3">
        <v>183000</v>
      </c>
      <c r="E461" s="3">
        <v>108000000000</v>
      </c>
      <c r="F461" s="3">
        <v>98500000000</v>
      </c>
      <c r="G461" s="3">
        <v>2150000000</v>
      </c>
      <c r="H461" s="3">
        <v>10100000000</v>
      </c>
      <c r="I461" s="2"/>
      <c r="J461" s="7">
        <f t="shared" si="134"/>
        <v>0.35600000000000004</v>
      </c>
      <c r="K461" s="7">
        <f t="shared" si="135"/>
        <v>23.900000000000002</v>
      </c>
      <c r="L461" s="7">
        <f t="shared" si="136"/>
        <v>108</v>
      </c>
      <c r="M461" s="7">
        <f t="shared" si="137"/>
        <v>183</v>
      </c>
      <c r="O461">
        <f t="shared" si="138"/>
        <v>0.25804918032786889</v>
      </c>
      <c r="P461">
        <f t="shared" si="139"/>
        <v>258.0491803278689</v>
      </c>
      <c r="V461">
        <f t="shared" si="140"/>
        <v>748.29340641545969</v>
      </c>
      <c r="W461">
        <f t="shared" si="141"/>
        <v>122.27823901096667</v>
      </c>
      <c r="AE461">
        <f t="shared" ref="AE461:AE524" si="142">M461/(2*$Y$5)</f>
        <v>0.66624788023180526</v>
      </c>
      <c r="AF461">
        <f t="shared" ref="AF461:AF524" si="143">M461/(2*$Y$8)</f>
        <v>0.65074520255278689</v>
      </c>
      <c r="AG461">
        <f t="shared" ref="AG461:AG524" si="144">M461/(2*$Y$11)</f>
        <v>0.65438881990590403</v>
      </c>
      <c r="AI461">
        <f t="shared" ref="AI461:AI524" si="145">J461/(2.4*AE461)</f>
        <v>0.22263985782847709</v>
      </c>
      <c r="AJ461">
        <f t="shared" ref="AJ461:AJ524" si="146">K461/(3.14159*(AE461^2))</f>
        <v>17.13865413226171</v>
      </c>
      <c r="AL461">
        <f t="shared" ref="AL461:AL524" si="147">J461/(2.4*AF461)</f>
        <v>0.22794379851198507</v>
      </c>
      <c r="AM461">
        <f t="shared" ref="AM461:AM524" si="148">K461/(3.14159*(AF461^2))</f>
        <v>17.964967875364099</v>
      </c>
      <c r="AO461">
        <f t="shared" ref="AO461:AO524" si="149">J461/(2.4*AG461)</f>
        <v>0.22667461426780261</v>
      </c>
      <c r="AP461">
        <f t="shared" ref="AP461:AP524" si="150">K461/(3.14159*(AG461^2))</f>
        <v>17.765468024203805</v>
      </c>
    </row>
    <row r="462" spans="1:42" x14ac:dyDescent="0.2">
      <c r="A462" s="3">
        <v>460</v>
      </c>
      <c r="B462" s="3">
        <v>3.5600000000000001E-7</v>
      </c>
      <c r="C462" s="2">
        <v>2.3949999999999999E-2</v>
      </c>
      <c r="D462" s="3">
        <v>156000</v>
      </c>
      <c r="E462" s="3">
        <v>94800000000</v>
      </c>
      <c r="F462" s="3">
        <v>87100000000</v>
      </c>
      <c r="G462" s="2">
        <v>0</v>
      </c>
      <c r="H462" s="3">
        <v>10800000000</v>
      </c>
      <c r="I462" s="2"/>
      <c r="J462" s="7">
        <f t="shared" ref="J462:J525" si="151">B462*(10^6)</f>
        <v>0.35600000000000004</v>
      </c>
      <c r="K462" s="7">
        <f t="shared" ref="K462:K525" si="152">C462*1000</f>
        <v>23.95</v>
      </c>
      <c r="L462" s="7">
        <f t="shared" ref="L462:L525" si="153">E462*(10^-9)</f>
        <v>94.800000000000011</v>
      </c>
      <c r="M462" s="7">
        <f t="shared" ref="M462:M525" si="154">D462*(10^-3)</f>
        <v>156</v>
      </c>
      <c r="O462">
        <f t="shared" ref="O462:O525" si="155">J462-(0.75*(K462/M462))</f>
        <v>0.24085576923076929</v>
      </c>
      <c r="P462">
        <f t="shared" ref="P462:P525" si="156">O462*1000</f>
        <v>240.85576923076928</v>
      </c>
      <c r="V462">
        <f t="shared" si="140"/>
        <v>725.78083138839077</v>
      </c>
      <c r="W462">
        <f t="shared" si="141"/>
        <v>107.47046026386369</v>
      </c>
      <c r="AE462">
        <f t="shared" si="142"/>
        <v>0.5679490126566209</v>
      </c>
      <c r="AF462">
        <f t="shared" si="143"/>
        <v>0.55473361529090037</v>
      </c>
      <c r="AG462">
        <f t="shared" si="144"/>
        <v>0.55783964975585265</v>
      </c>
      <c r="AI462">
        <f t="shared" si="145"/>
        <v>0.26117367937571351</v>
      </c>
      <c r="AJ462">
        <f t="shared" si="146"/>
        <v>23.634004512549083</v>
      </c>
      <c r="AL462">
        <f t="shared" si="147"/>
        <v>0.2673956097929055</v>
      </c>
      <c r="AM462">
        <f t="shared" si="148"/>
        <v>24.773481543974889</v>
      </c>
      <c r="AO462">
        <f t="shared" si="149"/>
        <v>0.26590675904492228</v>
      </c>
      <c r="AP462">
        <f t="shared" si="150"/>
        <v>24.498373571890905</v>
      </c>
    </row>
    <row r="463" spans="1:42" x14ac:dyDescent="0.2">
      <c r="A463" s="3">
        <v>460</v>
      </c>
      <c r="B463" s="3">
        <v>3.58E-7</v>
      </c>
      <c r="C463" s="2">
        <v>2.4E-2</v>
      </c>
      <c r="D463" s="3">
        <v>191000</v>
      </c>
      <c r="E463" s="3">
        <v>113000000000</v>
      </c>
      <c r="F463" s="3">
        <v>102000000000</v>
      </c>
      <c r="G463" s="3">
        <v>5860000000</v>
      </c>
      <c r="H463" s="3">
        <v>9880000000</v>
      </c>
      <c r="I463" s="2"/>
      <c r="J463" s="7">
        <f t="shared" si="151"/>
        <v>0.35799999999999998</v>
      </c>
      <c r="K463" s="7">
        <f t="shared" si="152"/>
        <v>24</v>
      </c>
      <c r="L463" s="7">
        <f t="shared" si="153"/>
        <v>113</v>
      </c>
      <c r="M463" s="7">
        <f t="shared" si="154"/>
        <v>191</v>
      </c>
      <c r="O463">
        <f t="shared" si="155"/>
        <v>0.26375916230366492</v>
      </c>
      <c r="P463">
        <f t="shared" si="156"/>
        <v>263.75916230366494</v>
      </c>
      <c r="V463">
        <f t="shared" si="140"/>
        <v>755.58417763940622</v>
      </c>
      <c r="W463">
        <f t="shared" si="141"/>
        <v>126.39227081006489</v>
      </c>
      <c r="AE463">
        <f t="shared" si="142"/>
        <v>0.69537347062445254</v>
      </c>
      <c r="AF463">
        <f t="shared" si="143"/>
        <v>0.67919308026001257</v>
      </c>
      <c r="AG463">
        <f t="shared" si="144"/>
        <v>0.68299598143184514</v>
      </c>
      <c r="AI463">
        <f t="shared" si="145"/>
        <v>0.21451302496874589</v>
      </c>
      <c r="AJ463">
        <f t="shared" si="146"/>
        <v>15.798850892230934</v>
      </c>
      <c r="AL463">
        <f t="shared" si="147"/>
        <v>0.21962336042876324</v>
      </c>
      <c r="AM463">
        <f t="shared" si="148"/>
        <v>16.560568091068713</v>
      </c>
      <c r="AO463">
        <f t="shared" si="149"/>
        <v>0.21840050413466705</v>
      </c>
      <c r="AP463">
        <f t="shared" si="150"/>
        <v>16.37666401218479</v>
      </c>
    </row>
    <row r="464" spans="1:42" x14ac:dyDescent="0.2">
      <c r="A464" s="3">
        <v>460</v>
      </c>
      <c r="B464" s="3">
        <v>3.58E-7</v>
      </c>
      <c r="C464" s="2">
        <v>2.4049999999999998E-2</v>
      </c>
      <c r="D464" s="3">
        <v>167000</v>
      </c>
      <c r="E464" s="3">
        <v>100000000000</v>
      </c>
      <c r="F464" s="3">
        <v>91500000000</v>
      </c>
      <c r="G464" s="3">
        <v>6480000000</v>
      </c>
      <c r="H464" s="3">
        <v>10400000000</v>
      </c>
      <c r="I464" s="2"/>
      <c r="J464" s="7">
        <f t="shared" si="151"/>
        <v>0.35799999999999998</v>
      </c>
      <c r="K464" s="7">
        <f t="shared" si="152"/>
        <v>24.049999999999997</v>
      </c>
      <c r="L464" s="7">
        <f t="shared" si="153"/>
        <v>100</v>
      </c>
      <c r="M464" s="7">
        <f t="shared" si="154"/>
        <v>167</v>
      </c>
      <c r="O464">
        <f t="shared" si="155"/>
        <v>0.24999101796407186</v>
      </c>
      <c r="P464">
        <f t="shared" si="156"/>
        <v>249.99101796407186</v>
      </c>
      <c r="V464">
        <f t="shared" si="140"/>
        <v>737.84978307982362</v>
      </c>
      <c r="W464">
        <f t="shared" si="141"/>
        <v>113.1666660542565</v>
      </c>
      <c r="AE464">
        <f t="shared" si="142"/>
        <v>0.6079966994465108</v>
      </c>
      <c r="AF464">
        <f t="shared" si="143"/>
        <v>0.59384944713833565</v>
      </c>
      <c r="AG464">
        <f t="shared" si="144"/>
        <v>0.59717449685402169</v>
      </c>
      <c r="AI464">
        <f t="shared" si="145"/>
        <v>0.24534124412593092</v>
      </c>
      <c r="AJ464">
        <f t="shared" si="146"/>
        <v>20.709190898976619</v>
      </c>
      <c r="AL464">
        <f t="shared" si="147"/>
        <v>0.25118599905325617</v>
      </c>
      <c r="AM464">
        <f t="shared" si="148"/>
        <v>21.707652558585185</v>
      </c>
      <c r="AO464">
        <f t="shared" si="149"/>
        <v>0.24978740293246349</v>
      </c>
      <c r="AP464">
        <f t="shared" si="150"/>
        <v>21.466590426744929</v>
      </c>
    </row>
    <row r="465" spans="1:42" x14ac:dyDescent="0.2">
      <c r="A465" s="3">
        <v>460</v>
      </c>
      <c r="B465" s="3">
        <v>3.5900000000000003E-7</v>
      </c>
      <c r="C465" s="2">
        <v>2.4109999999999999E-2</v>
      </c>
      <c r="D465" s="3">
        <v>171000</v>
      </c>
      <c r="E465" s="3">
        <v>102000000000</v>
      </c>
      <c r="F465" s="3">
        <v>93200000000</v>
      </c>
      <c r="G465" s="2">
        <v>0</v>
      </c>
      <c r="H465" s="3">
        <v>10300000000</v>
      </c>
      <c r="I465" s="2"/>
      <c r="J465" s="7">
        <f t="shared" si="151"/>
        <v>0.35900000000000004</v>
      </c>
      <c r="K465" s="7">
        <f t="shared" si="152"/>
        <v>24.11</v>
      </c>
      <c r="L465" s="7">
        <f t="shared" si="153"/>
        <v>102</v>
      </c>
      <c r="M465" s="7">
        <f t="shared" si="154"/>
        <v>171</v>
      </c>
      <c r="O465">
        <f t="shared" si="155"/>
        <v>0.25325438596491234</v>
      </c>
      <c r="P465">
        <f t="shared" si="156"/>
        <v>253.25438596491233</v>
      </c>
      <c r="V465">
        <f t="shared" si="140"/>
        <v>742.1014758193146</v>
      </c>
      <c r="W465">
        <f t="shared" si="141"/>
        <v>115.21335394947708</v>
      </c>
      <c r="AE465">
        <f t="shared" si="142"/>
        <v>0.62255949464283444</v>
      </c>
      <c r="AF465">
        <f t="shared" si="143"/>
        <v>0.60807338599194838</v>
      </c>
      <c r="AG465">
        <f t="shared" si="144"/>
        <v>0.61147807761699224</v>
      </c>
      <c r="AI465">
        <f t="shared" si="145"/>
        <v>0.24027154773239798</v>
      </c>
      <c r="AJ465">
        <f t="shared" si="146"/>
        <v>19.800947973053511</v>
      </c>
      <c r="AL465">
        <f t="shared" si="147"/>
        <v>0.24599552747949738</v>
      </c>
      <c r="AM465">
        <f t="shared" si="148"/>
        <v>20.755620102517295</v>
      </c>
      <c r="AO465">
        <f t="shared" si="149"/>
        <v>0.24462583174899519</v>
      </c>
      <c r="AP465">
        <f t="shared" si="150"/>
        <v>20.525130231902491</v>
      </c>
    </row>
    <row r="466" spans="1:42" x14ac:dyDescent="0.2">
      <c r="A466" s="3">
        <v>460</v>
      </c>
      <c r="B466" s="3">
        <v>3.5999999999999999E-7</v>
      </c>
      <c r="C466" s="2">
        <v>2.4160000000000001E-2</v>
      </c>
      <c r="D466" s="3">
        <v>185000</v>
      </c>
      <c r="E466" s="3">
        <v>109000000000</v>
      </c>
      <c r="F466" s="3">
        <v>99000000000</v>
      </c>
      <c r="G466" s="3">
        <v>11400000000</v>
      </c>
      <c r="H466" s="3">
        <v>10000000000</v>
      </c>
      <c r="I466" s="2"/>
      <c r="J466" s="7">
        <f t="shared" si="151"/>
        <v>0.36</v>
      </c>
      <c r="K466" s="7">
        <f t="shared" si="152"/>
        <v>24.16</v>
      </c>
      <c r="L466" s="7">
        <f t="shared" si="153"/>
        <v>109</v>
      </c>
      <c r="M466" s="7">
        <f t="shared" si="154"/>
        <v>185</v>
      </c>
      <c r="O466">
        <f t="shared" si="155"/>
        <v>0.26205405405405402</v>
      </c>
      <c r="P466">
        <f t="shared" si="156"/>
        <v>262.05405405405401</v>
      </c>
      <c r="V466">
        <f t="shared" si="140"/>
        <v>753.4163018675298</v>
      </c>
      <c r="W466">
        <f t="shared" si="141"/>
        <v>122.77408886788848</v>
      </c>
      <c r="AE466">
        <f t="shared" si="142"/>
        <v>0.67352927782996708</v>
      </c>
      <c r="AF466">
        <f t="shared" si="143"/>
        <v>0.65785717197959337</v>
      </c>
      <c r="AG466">
        <f t="shared" si="144"/>
        <v>0.66154061028738931</v>
      </c>
      <c r="AI466">
        <f t="shared" si="145"/>
        <v>0.22270746786729531</v>
      </c>
      <c r="AJ466">
        <f t="shared" si="146"/>
        <v>16.952527838192548</v>
      </c>
      <c r="AL466">
        <f t="shared" si="147"/>
        <v>0.22801301922213135</v>
      </c>
      <c r="AM466">
        <f t="shared" si="148"/>
        <v>17.769867789446689</v>
      </c>
      <c r="AO466">
        <f t="shared" si="149"/>
        <v>0.22674344955910772</v>
      </c>
      <c r="AP466">
        <f t="shared" si="150"/>
        <v>17.572534512608815</v>
      </c>
    </row>
    <row r="467" spans="1:42" x14ac:dyDescent="0.2">
      <c r="A467" s="3">
        <v>470</v>
      </c>
      <c r="B467" s="3">
        <v>3.6100000000000002E-7</v>
      </c>
      <c r="C467" s="2">
        <v>2.4209999999999999E-2</v>
      </c>
      <c r="D467" s="3">
        <v>192000</v>
      </c>
      <c r="E467" s="3">
        <v>113000000000</v>
      </c>
      <c r="F467" s="3">
        <v>102000000000</v>
      </c>
      <c r="G467" s="3">
        <v>7080000000</v>
      </c>
      <c r="H467" s="3">
        <v>9860000000</v>
      </c>
      <c r="I467" s="2"/>
      <c r="J467" s="7">
        <f t="shared" si="151"/>
        <v>0.36100000000000004</v>
      </c>
      <c r="K467" s="7">
        <f t="shared" si="152"/>
        <v>24.209999999999997</v>
      </c>
      <c r="L467" s="7">
        <f t="shared" si="153"/>
        <v>113</v>
      </c>
      <c r="M467" s="7">
        <f t="shared" si="154"/>
        <v>192</v>
      </c>
      <c r="O467">
        <f t="shared" si="155"/>
        <v>0.26642968750000007</v>
      </c>
      <c r="P467">
        <f t="shared" si="156"/>
        <v>266.42968750000006</v>
      </c>
      <c r="V467">
        <f t="shared" si="140"/>
        <v>758.9638564291721</v>
      </c>
      <c r="W467">
        <f t="shared" si="141"/>
        <v>126.48823680704339</v>
      </c>
      <c r="AE467">
        <f t="shared" si="142"/>
        <v>0.69901416942353345</v>
      </c>
      <c r="AF467">
        <f t="shared" si="143"/>
        <v>0.68274906497341581</v>
      </c>
      <c r="AG467">
        <f t="shared" si="144"/>
        <v>0.68657187662258778</v>
      </c>
      <c r="AI467">
        <f t="shared" si="145"/>
        <v>0.21518400233676674</v>
      </c>
      <c r="AJ467">
        <f t="shared" si="146"/>
        <v>15.771511795904461</v>
      </c>
      <c r="AL467">
        <f t="shared" si="147"/>
        <v>0.22031032246455506</v>
      </c>
      <c r="AM467">
        <f t="shared" si="148"/>
        <v>16.531910882430488</v>
      </c>
      <c r="AO467">
        <f t="shared" si="149"/>
        <v>0.21908364118641513</v>
      </c>
      <c r="AP467">
        <f t="shared" si="150"/>
        <v>16.348325040066534</v>
      </c>
    </row>
    <row r="468" spans="1:42" x14ac:dyDescent="0.2">
      <c r="A468" s="3">
        <v>470</v>
      </c>
      <c r="B468" s="3">
        <v>3.6100000000000002E-7</v>
      </c>
      <c r="C468" s="2">
        <v>2.426E-2</v>
      </c>
      <c r="D468" s="3">
        <v>166000</v>
      </c>
      <c r="E468" s="3">
        <v>98800000000</v>
      </c>
      <c r="F468" s="3">
        <v>90500000000</v>
      </c>
      <c r="G468" s="3">
        <v>6070000000</v>
      </c>
      <c r="H468" s="3">
        <v>10500000000</v>
      </c>
      <c r="I468" s="2"/>
      <c r="J468" s="7">
        <f t="shared" si="151"/>
        <v>0.36100000000000004</v>
      </c>
      <c r="K468" s="7">
        <f t="shared" si="152"/>
        <v>24.26</v>
      </c>
      <c r="L468" s="7">
        <f t="shared" si="153"/>
        <v>98.800000000000011</v>
      </c>
      <c r="M468" s="7">
        <f t="shared" si="154"/>
        <v>166</v>
      </c>
      <c r="O468">
        <f t="shared" si="155"/>
        <v>0.25139156626506026</v>
      </c>
      <c r="P468">
        <f t="shared" si="156"/>
        <v>251.39156626506025</v>
      </c>
      <c r="V468">
        <f t="shared" si="140"/>
        <v>739.67825720423377</v>
      </c>
      <c r="W468">
        <f t="shared" si="141"/>
        <v>112.21095008756319</v>
      </c>
      <c r="AE468">
        <f t="shared" si="142"/>
        <v>0.60435600064742989</v>
      </c>
      <c r="AF468">
        <f t="shared" si="143"/>
        <v>0.59029346242493241</v>
      </c>
      <c r="AG468">
        <f t="shared" si="144"/>
        <v>0.59359860166327905</v>
      </c>
      <c r="AI468">
        <f t="shared" si="145"/>
        <v>0.24888752077505555</v>
      </c>
      <c r="AJ468">
        <f t="shared" si="146"/>
        <v>21.142464669266388</v>
      </c>
      <c r="AL468">
        <f t="shared" si="147"/>
        <v>0.25481675851322033</v>
      </c>
      <c r="AM468">
        <f t="shared" si="148"/>
        <v>22.161815954638644</v>
      </c>
      <c r="AO468">
        <f t="shared" si="149"/>
        <v>0.25339794643248015</v>
      </c>
      <c r="AP468">
        <f t="shared" si="150"/>
        <v>21.915710366525939</v>
      </c>
    </row>
    <row r="469" spans="1:42" x14ac:dyDescent="0.2">
      <c r="A469" s="3">
        <v>470</v>
      </c>
      <c r="B469" s="3">
        <v>3.6199999999999999E-7</v>
      </c>
      <c r="C469" s="2">
        <v>2.4309999999999998E-2</v>
      </c>
      <c r="D469" s="3">
        <v>185000</v>
      </c>
      <c r="E469" s="3">
        <v>109000000000</v>
      </c>
      <c r="F469" s="3">
        <v>98800000000</v>
      </c>
      <c r="G469" s="3">
        <v>19800000000</v>
      </c>
      <c r="H469" s="3">
        <v>10000000000</v>
      </c>
      <c r="I469" s="2"/>
      <c r="J469" s="7">
        <f t="shared" si="151"/>
        <v>0.36199999999999999</v>
      </c>
      <c r="K469" s="7">
        <f t="shared" si="152"/>
        <v>24.31</v>
      </c>
      <c r="L469" s="7">
        <f t="shared" si="153"/>
        <v>109</v>
      </c>
      <c r="M469" s="7">
        <f t="shared" si="154"/>
        <v>185</v>
      </c>
      <c r="O469">
        <f t="shared" si="155"/>
        <v>0.26344594594594595</v>
      </c>
      <c r="P469">
        <f t="shared" si="156"/>
        <v>263.44594594594594</v>
      </c>
      <c r="V469">
        <f t="shared" si="140"/>
        <v>755.18654066742931</v>
      </c>
      <c r="W469">
        <f t="shared" si="141"/>
        <v>122.48629314586177</v>
      </c>
      <c r="AE469">
        <f t="shared" si="142"/>
        <v>0.67352927782996708</v>
      </c>
      <c r="AF469">
        <f t="shared" si="143"/>
        <v>0.65785717197959337</v>
      </c>
      <c r="AG469">
        <f t="shared" si="144"/>
        <v>0.66154061028738931</v>
      </c>
      <c r="AI469">
        <f t="shared" si="145"/>
        <v>0.22394473157766917</v>
      </c>
      <c r="AJ469">
        <f t="shared" si="146"/>
        <v>17.057779459704506</v>
      </c>
      <c r="AL469">
        <f t="shared" si="147"/>
        <v>0.22927975821780985</v>
      </c>
      <c r="AM469">
        <f t="shared" si="148"/>
        <v>17.880193955357985</v>
      </c>
      <c r="AO469">
        <f t="shared" si="149"/>
        <v>0.22800313538999165</v>
      </c>
      <c r="AP469">
        <f t="shared" si="150"/>
        <v>17.681635513307956</v>
      </c>
    </row>
    <row r="470" spans="1:42" x14ac:dyDescent="0.2">
      <c r="A470" s="3">
        <v>470</v>
      </c>
      <c r="B470" s="3">
        <v>3.6300000000000001E-7</v>
      </c>
      <c r="C470" s="2">
        <v>2.436E-2</v>
      </c>
      <c r="D470" s="3">
        <v>192000</v>
      </c>
      <c r="E470" s="3">
        <v>112000000000</v>
      </c>
      <c r="F470" s="3">
        <v>101000000000</v>
      </c>
      <c r="G470" s="2">
        <v>0</v>
      </c>
      <c r="H470" s="3">
        <v>9870000000</v>
      </c>
      <c r="I470" s="2"/>
      <c r="J470" s="7">
        <f t="shared" si="151"/>
        <v>0.36299999999999999</v>
      </c>
      <c r="K470" s="7">
        <f t="shared" si="152"/>
        <v>24.36</v>
      </c>
      <c r="L470" s="7">
        <f t="shared" si="153"/>
        <v>112</v>
      </c>
      <c r="M470" s="7">
        <f t="shared" si="154"/>
        <v>192</v>
      </c>
      <c r="O470">
        <f t="shared" si="155"/>
        <v>0.26784374999999999</v>
      </c>
      <c r="P470">
        <f t="shared" si="156"/>
        <v>267.84375</v>
      </c>
      <c r="V470">
        <f t="shared" si="140"/>
        <v>760.74578293657055</v>
      </c>
      <c r="W470">
        <f t="shared" si="141"/>
        <v>126.19195814589784</v>
      </c>
      <c r="AE470">
        <f t="shared" si="142"/>
        <v>0.69901416942353345</v>
      </c>
      <c r="AF470">
        <f t="shared" si="143"/>
        <v>0.68274906497341581</v>
      </c>
      <c r="AG470">
        <f t="shared" si="144"/>
        <v>0.68657187662258778</v>
      </c>
      <c r="AI470">
        <f t="shared" si="145"/>
        <v>0.21637615747436653</v>
      </c>
      <c r="AJ470">
        <f t="shared" si="146"/>
        <v>15.869228721529645</v>
      </c>
      <c r="AL470">
        <f t="shared" si="147"/>
        <v>0.22153087826768275</v>
      </c>
      <c r="AM470">
        <f t="shared" si="148"/>
        <v>16.634339078728075</v>
      </c>
      <c r="AO470">
        <f t="shared" si="149"/>
        <v>0.22029740097138137</v>
      </c>
      <c r="AP470">
        <f t="shared" si="150"/>
        <v>16.449615777613417</v>
      </c>
    </row>
    <row r="471" spans="1:42" x14ac:dyDescent="0.2">
      <c r="A471" s="3">
        <v>470</v>
      </c>
      <c r="B471" s="3">
        <v>3.6300000000000001E-7</v>
      </c>
      <c r="C471" s="2">
        <v>2.4420000000000001E-2</v>
      </c>
      <c r="D471" s="3">
        <v>187000</v>
      </c>
      <c r="E471" s="3">
        <v>109000000000</v>
      </c>
      <c r="F471" s="3">
        <v>99300000000</v>
      </c>
      <c r="G471" s="2">
        <v>0</v>
      </c>
      <c r="H471" s="3">
        <v>9980000000</v>
      </c>
      <c r="I471" s="2"/>
      <c r="J471" s="7">
        <f t="shared" si="151"/>
        <v>0.36299999999999999</v>
      </c>
      <c r="K471" s="7">
        <f t="shared" si="152"/>
        <v>24.42</v>
      </c>
      <c r="L471" s="7">
        <f t="shared" si="153"/>
        <v>109</v>
      </c>
      <c r="M471" s="7">
        <f t="shared" si="154"/>
        <v>187</v>
      </c>
      <c r="O471">
        <f t="shared" si="155"/>
        <v>0.26505882352941179</v>
      </c>
      <c r="P471">
        <f t="shared" si="156"/>
        <v>265.05882352941177</v>
      </c>
      <c r="V471">
        <f t="shared" si="140"/>
        <v>757.2313306641945</v>
      </c>
      <c r="W471">
        <f t="shared" si="141"/>
        <v>123.47613762624934</v>
      </c>
      <c r="AE471">
        <f t="shared" si="142"/>
        <v>0.6808106754281289</v>
      </c>
      <c r="AF471">
        <f t="shared" si="143"/>
        <v>0.66496914140639973</v>
      </c>
      <c r="AG471">
        <f t="shared" si="144"/>
        <v>0.66869240066887459</v>
      </c>
      <c r="AI471">
        <f t="shared" si="145"/>
        <v>0.22216161623036562</v>
      </c>
      <c r="AJ471">
        <f t="shared" si="146"/>
        <v>16.770400706024411</v>
      </c>
      <c r="AL471">
        <f t="shared" si="147"/>
        <v>0.22745416378286146</v>
      </c>
      <c r="AM471">
        <f t="shared" si="148"/>
        <v>17.578959678845766</v>
      </c>
      <c r="AO471">
        <f t="shared" si="149"/>
        <v>0.22618770581018835</v>
      </c>
      <c r="AP471">
        <f t="shared" si="150"/>
        <v>17.383746424705091</v>
      </c>
    </row>
    <row r="472" spans="1:42" x14ac:dyDescent="0.2">
      <c r="A472" s="3">
        <v>470</v>
      </c>
      <c r="B472" s="3">
        <v>3.6399999999999998E-7</v>
      </c>
      <c r="C472" s="2">
        <v>2.4469999999999999E-2</v>
      </c>
      <c r="D472" s="3">
        <v>205000</v>
      </c>
      <c r="E472" s="3">
        <v>119000000000</v>
      </c>
      <c r="F472" s="3">
        <v>107000000000</v>
      </c>
      <c r="G472" s="3">
        <v>5750000000</v>
      </c>
      <c r="H472" s="3">
        <v>9670000000</v>
      </c>
      <c r="I472" s="2"/>
      <c r="J472" s="7">
        <f t="shared" si="151"/>
        <v>0.36399999999999999</v>
      </c>
      <c r="K472" s="7">
        <f t="shared" si="152"/>
        <v>24.47</v>
      </c>
      <c r="L472" s="7">
        <f t="shared" si="153"/>
        <v>119.00000000000001</v>
      </c>
      <c r="M472" s="7">
        <f t="shared" si="154"/>
        <v>205</v>
      </c>
      <c r="O472">
        <f t="shared" si="155"/>
        <v>0.27447560975609753</v>
      </c>
      <c r="P472">
        <f t="shared" si="156"/>
        <v>274.47560975609753</v>
      </c>
      <c r="V472">
        <f t="shared" si="140"/>
        <v>769.03378431323097</v>
      </c>
      <c r="W472">
        <f t="shared" si="141"/>
        <v>133.28413145273637</v>
      </c>
      <c r="AE472">
        <f t="shared" si="142"/>
        <v>0.74634325381158517</v>
      </c>
      <c r="AF472">
        <f t="shared" si="143"/>
        <v>0.72897686624765745</v>
      </c>
      <c r="AG472">
        <f t="shared" si="144"/>
        <v>0.73305851410224221</v>
      </c>
      <c r="AI472">
        <f t="shared" si="145"/>
        <v>0.20321302013799003</v>
      </c>
      <c r="AJ472">
        <f t="shared" si="146"/>
        <v>13.983221603118375</v>
      </c>
      <c r="AL472">
        <f t="shared" si="147"/>
        <v>0.20805415602192853</v>
      </c>
      <c r="AM472">
        <f t="shared" si="148"/>
        <v>14.65740103951606</v>
      </c>
      <c r="AO472">
        <f t="shared" si="149"/>
        <v>0.20689571671152188</v>
      </c>
      <c r="AP472">
        <f t="shared" si="150"/>
        <v>14.494631512397104</v>
      </c>
    </row>
    <row r="473" spans="1:42" x14ac:dyDescent="0.2">
      <c r="A473" s="3">
        <v>470</v>
      </c>
      <c r="B473" s="3">
        <v>3.65E-7</v>
      </c>
      <c r="C473" s="2">
        <v>2.452E-2</v>
      </c>
      <c r="D473" s="3">
        <v>173000</v>
      </c>
      <c r="E473" s="3">
        <v>102000000000</v>
      </c>
      <c r="F473" s="3">
        <v>93000000000</v>
      </c>
      <c r="G473" s="3">
        <v>7180000000</v>
      </c>
      <c r="H473" s="3">
        <v>10300000000</v>
      </c>
      <c r="I473" s="2"/>
      <c r="J473" s="7">
        <f t="shared" si="151"/>
        <v>0.36499999999999999</v>
      </c>
      <c r="K473" s="7">
        <f t="shared" si="152"/>
        <v>24.52</v>
      </c>
      <c r="L473" s="7">
        <f t="shared" si="153"/>
        <v>102</v>
      </c>
      <c r="M473" s="7">
        <f t="shared" si="154"/>
        <v>173</v>
      </c>
      <c r="O473">
        <f t="shared" si="155"/>
        <v>0.25869942196531792</v>
      </c>
      <c r="P473">
        <f t="shared" si="156"/>
        <v>258.69942196531792</v>
      </c>
      <c r="V473">
        <f t="shared" si="140"/>
        <v>749.12816917932673</v>
      </c>
      <c r="W473">
        <f t="shared" si="141"/>
        <v>115.46755756730005</v>
      </c>
      <c r="AE473">
        <f t="shared" si="142"/>
        <v>0.62984089224099626</v>
      </c>
      <c r="AF473">
        <f t="shared" si="143"/>
        <v>0.61518535541875485</v>
      </c>
      <c r="AG473">
        <f t="shared" si="144"/>
        <v>0.61862986799847763</v>
      </c>
      <c r="AI473">
        <f t="shared" si="145"/>
        <v>0.2414630983901592</v>
      </c>
      <c r="AJ473">
        <f t="shared" si="146"/>
        <v>19.67475135998971</v>
      </c>
      <c r="AL473">
        <f t="shared" si="147"/>
        <v>0.24721546440228678</v>
      </c>
      <c r="AM473">
        <f t="shared" si="148"/>
        <v>20.623339114630195</v>
      </c>
      <c r="AO473">
        <f t="shared" si="149"/>
        <v>0.24583897609953032</v>
      </c>
      <c r="AP473">
        <f t="shared" si="150"/>
        <v>20.394318216160389</v>
      </c>
    </row>
    <row r="474" spans="1:42" x14ac:dyDescent="0.2">
      <c r="A474" s="3">
        <v>470</v>
      </c>
      <c r="B474" s="3">
        <v>3.6600000000000002E-7</v>
      </c>
      <c r="C474" s="2">
        <v>2.4580000000000001E-2</v>
      </c>
      <c r="D474" s="3">
        <v>193000</v>
      </c>
      <c r="E474" s="3">
        <v>112000000000</v>
      </c>
      <c r="F474" s="3">
        <v>102000000000</v>
      </c>
      <c r="G474" s="3">
        <v>5920000000</v>
      </c>
      <c r="H474" s="3">
        <v>9850000000</v>
      </c>
      <c r="I474" s="2"/>
      <c r="J474" s="7">
        <f t="shared" si="151"/>
        <v>0.36600000000000005</v>
      </c>
      <c r="K474" s="7">
        <f t="shared" si="152"/>
        <v>24.580000000000002</v>
      </c>
      <c r="L474" s="7">
        <f t="shared" si="153"/>
        <v>112</v>
      </c>
      <c r="M474" s="7">
        <f t="shared" si="154"/>
        <v>193</v>
      </c>
      <c r="O474">
        <f t="shared" si="155"/>
        <v>0.27048186528497414</v>
      </c>
      <c r="P474">
        <f t="shared" si="156"/>
        <v>270.48186528497416</v>
      </c>
      <c r="V474">
        <f t="shared" si="140"/>
        <v>764.05624268758686</v>
      </c>
      <c r="W474">
        <f t="shared" si="141"/>
        <v>126.29960284148565</v>
      </c>
      <c r="AE474">
        <f t="shared" si="142"/>
        <v>0.70265486822261436</v>
      </c>
      <c r="AF474">
        <f t="shared" si="143"/>
        <v>0.68630504968681894</v>
      </c>
      <c r="AG474">
        <f t="shared" si="144"/>
        <v>0.69014777181333054</v>
      </c>
      <c r="AI474">
        <f t="shared" si="145"/>
        <v>0.21703400473941517</v>
      </c>
      <c r="AJ474">
        <f t="shared" si="146"/>
        <v>15.847043629402956</v>
      </c>
      <c r="AL474">
        <f t="shared" si="147"/>
        <v>0.22220439740256936</v>
      </c>
      <c r="AM474">
        <f t="shared" si="148"/>
        <v>16.611084366643212</v>
      </c>
      <c r="AO474">
        <f t="shared" si="149"/>
        <v>0.22096716997189386</v>
      </c>
      <c r="AP474">
        <f t="shared" si="150"/>
        <v>16.426619307660221</v>
      </c>
    </row>
    <row r="475" spans="1:42" x14ac:dyDescent="0.2">
      <c r="A475" s="3">
        <v>470</v>
      </c>
      <c r="B475" s="3">
        <v>3.6699999999999999E-7</v>
      </c>
      <c r="C475" s="2">
        <v>2.4629999999999999E-2</v>
      </c>
      <c r="D475" s="3">
        <v>186000</v>
      </c>
      <c r="E475" s="3">
        <v>108000000000</v>
      </c>
      <c r="F475" s="3">
        <v>98500000000</v>
      </c>
      <c r="G475" s="3">
        <v>16300000000</v>
      </c>
      <c r="H475" s="3">
        <v>9970000000</v>
      </c>
      <c r="I475" s="2"/>
      <c r="J475" s="7">
        <f t="shared" si="151"/>
        <v>0.36699999999999999</v>
      </c>
      <c r="K475" s="7">
        <f t="shared" si="152"/>
        <v>24.63</v>
      </c>
      <c r="L475" s="7">
        <f t="shared" si="153"/>
        <v>108</v>
      </c>
      <c r="M475" s="7">
        <f t="shared" si="154"/>
        <v>186</v>
      </c>
      <c r="O475">
        <f t="shared" si="155"/>
        <v>0.26768548387096774</v>
      </c>
      <c r="P475">
        <f t="shared" si="156"/>
        <v>267.68548387096774</v>
      </c>
      <c r="V475">
        <f t="shared" si="140"/>
        <v>760.54660518201285</v>
      </c>
      <c r="W475">
        <f t="shared" si="141"/>
        <v>122.28047481422045</v>
      </c>
      <c r="AE475">
        <f t="shared" si="142"/>
        <v>0.67716997662904799</v>
      </c>
      <c r="AF475">
        <f t="shared" si="143"/>
        <v>0.6614131566929965</v>
      </c>
      <c r="AG475">
        <f t="shared" si="144"/>
        <v>0.66511650547813195</v>
      </c>
      <c r="AI475">
        <f t="shared" si="145"/>
        <v>0.22581725703181024</v>
      </c>
      <c r="AJ475">
        <f t="shared" si="146"/>
        <v>17.096984441372211</v>
      </c>
      <c r="AL475">
        <f t="shared" si="147"/>
        <v>0.23119689277309752</v>
      </c>
      <c r="AM475">
        <f t="shared" si="148"/>
        <v>17.921289144675615</v>
      </c>
      <c r="AO475">
        <f t="shared" si="149"/>
        <v>0.22990959539748537</v>
      </c>
      <c r="AP475">
        <f t="shared" si="150"/>
        <v>17.722274343103589</v>
      </c>
    </row>
    <row r="476" spans="1:42" x14ac:dyDescent="0.2">
      <c r="A476" s="3">
        <v>470</v>
      </c>
      <c r="B476" s="3">
        <v>3.6699999999999999E-7</v>
      </c>
      <c r="C476" s="2">
        <v>2.4680000000000001E-2</v>
      </c>
      <c r="D476" s="3">
        <v>172000</v>
      </c>
      <c r="E476" s="3">
        <v>101000000000</v>
      </c>
      <c r="F476" s="3">
        <v>92200000000</v>
      </c>
      <c r="G476" s="3">
        <v>1510000000</v>
      </c>
      <c r="H476" s="3">
        <v>10300000000</v>
      </c>
      <c r="I476" s="2"/>
      <c r="J476" s="7">
        <f t="shared" si="151"/>
        <v>0.36699999999999999</v>
      </c>
      <c r="K476" s="7">
        <f t="shared" si="152"/>
        <v>24.68</v>
      </c>
      <c r="L476" s="7">
        <f t="shared" si="153"/>
        <v>101</v>
      </c>
      <c r="M476" s="7">
        <f t="shared" si="154"/>
        <v>172</v>
      </c>
      <c r="O476">
        <f t="shared" si="155"/>
        <v>0.25938372093023254</v>
      </c>
      <c r="P476">
        <f t="shared" si="156"/>
        <v>259.38372093023253</v>
      </c>
      <c r="V476">
        <f t="shared" si="140"/>
        <v>750.00539273322545</v>
      </c>
      <c r="W476">
        <f t="shared" si="141"/>
        <v>114.66584218360404</v>
      </c>
      <c r="AE476">
        <f t="shared" si="142"/>
        <v>0.62620019344191535</v>
      </c>
      <c r="AF476">
        <f t="shared" si="143"/>
        <v>0.61162937070535162</v>
      </c>
      <c r="AG476">
        <f t="shared" si="144"/>
        <v>0.61505397280773488</v>
      </c>
      <c r="AI476">
        <f t="shared" si="145"/>
        <v>0.24419773144137619</v>
      </c>
      <c r="AJ476">
        <f t="shared" si="146"/>
        <v>20.03407312451985</v>
      </c>
      <c r="AL476">
        <f t="shared" si="147"/>
        <v>0.25001524451044266</v>
      </c>
      <c r="AM476">
        <f t="shared" si="148"/>
        <v>20.999985023164626</v>
      </c>
      <c r="AO476">
        <f t="shared" si="149"/>
        <v>0.24862316711588534</v>
      </c>
      <c r="AP476">
        <f t="shared" si="150"/>
        <v>20.766781495301107</v>
      </c>
    </row>
    <row r="477" spans="1:42" x14ac:dyDescent="0.2">
      <c r="A477" s="3">
        <v>480</v>
      </c>
      <c r="B477" s="3">
        <v>3.6800000000000001E-7</v>
      </c>
      <c r="C477" s="2">
        <v>2.4729999999999999E-2</v>
      </c>
      <c r="D477" s="3">
        <v>197000</v>
      </c>
      <c r="E477" s="3">
        <v>114000000000</v>
      </c>
      <c r="F477" s="3">
        <v>103000000000</v>
      </c>
      <c r="G477" s="2">
        <v>0</v>
      </c>
      <c r="H477" s="3">
        <v>9780000000</v>
      </c>
      <c r="I477" s="2"/>
      <c r="J477" s="7">
        <f t="shared" si="151"/>
        <v>0.36799999999999999</v>
      </c>
      <c r="K477" s="7">
        <f t="shared" si="152"/>
        <v>24.729999999999997</v>
      </c>
      <c r="L477" s="7">
        <f t="shared" si="153"/>
        <v>114</v>
      </c>
      <c r="M477" s="7">
        <f t="shared" si="154"/>
        <v>197</v>
      </c>
      <c r="O477">
        <f t="shared" si="155"/>
        <v>0.27385025380710659</v>
      </c>
      <c r="P477">
        <f t="shared" si="156"/>
        <v>273.85025380710658</v>
      </c>
      <c r="V477">
        <f t="shared" si="140"/>
        <v>768.25705789185224</v>
      </c>
      <c r="W477">
        <f t="shared" si="141"/>
        <v>128.21229429416562</v>
      </c>
      <c r="AE477">
        <f t="shared" si="142"/>
        <v>0.71721766341893789</v>
      </c>
      <c r="AF477">
        <f t="shared" si="143"/>
        <v>0.70052898854043177</v>
      </c>
      <c r="AG477">
        <f t="shared" si="144"/>
        <v>0.70445135257630109</v>
      </c>
      <c r="AI477">
        <f t="shared" si="145"/>
        <v>0.21378912031028574</v>
      </c>
      <c r="AJ477">
        <f t="shared" si="146"/>
        <v>15.302861833540609</v>
      </c>
      <c r="AL477">
        <f t="shared" si="147"/>
        <v>0.21888221021774826</v>
      </c>
      <c r="AM477">
        <f t="shared" si="148"/>
        <v>16.040665685830788</v>
      </c>
      <c r="AO477">
        <f t="shared" si="149"/>
        <v>0.21766348062583268</v>
      </c>
      <c r="AP477">
        <f t="shared" si="150"/>
        <v>15.862535090828512</v>
      </c>
    </row>
    <row r="478" spans="1:42" x14ac:dyDescent="0.2">
      <c r="A478" s="3">
        <v>480</v>
      </c>
      <c r="B478" s="3">
        <v>3.6899999999999998E-7</v>
      </c>
      <c r="C478" s="2">
        <v>2.478E-2</v>
      </c>
      <c r="D478" s="3">
        <v>180000</v>
      </c>
      <c r="E478" s="3">
        <v>105000000000</v>
      </c>
      <c r="F478" s="3">
        <v>95600000000</v>
      </c>
      <c r="G478" s="3">
        <v>14900000000</v>
      </c>
      <c r="H478" s="3">
        <v>10100000000</v>
      </c>
      <c r="I478" s="2"/>
      <c r="J478" s="7">
        <f t="shared" si="151"/>
        <v>0.36899999999999999</v>
      </c>
      <c r="K478" s="7">
        <f t="shared" si="152"/>
        <v>24.78</v>
      </c>
      <c r="L478" s="7">
        <f t="shared" si="153"/>
        <v>105</v>
      </c>
      <c r="M478" s="7">
        <f t="shared" si="154"/>
        <v>180</v>
      </c>
      <c r="O478">
        <f t="shared" si="155"/>
        <v>0.26574999999999999</v>
      </c>
      <c r="P478">
        <f t="shared" si="156"/>
        <v>265.75</v>
      </c>
      <c r="V478">
        <f t="shared" si="140"/>
        <v>758.10547573678662</v>
      </c>
      <c r="W478">
        <f t="shared" si="141"/>
        <v>118.71698975994192</v>
      </c>
      <c r="AE478">
        <f t="shared" si="142"/>
        <v>0.65532578383456253</v>
      </c>
      <c r="AF478">
        <f t="shared" si="143"/>
        <v>0.64007724841257729</v>
      </c>
      <c r="AG478">
        <f t="shared" si="144"/>
        <v>0.64366113433367611</v>
      </c>
      <c r="AI478">
        <f t="shared" si="145"/>
        <v>0.23461613107964377</v>
      </c>
      <c r="AJ478">
        <f t="shared" si="146"/>
        <v>18.366960199998761</v>
      </c>
      <c r="AL478">
        <f t="shared" si="147"/>
        <v>0.24020538205553701</v>
      </c>
      <c r="AM478">
        <f t="shared" si="148"/>
        <v>19.252494823379994</v>
      </c>
      <c r="AO478">
        <f t="shared" si="149"/>
        <v>0.23886792568136556</v>
      </c>
      <c r="AP478">
        <f t="shared" si="150"/>
        <v>19.03869706552284</v>
      </c>
    </row>
    <row r="479" spans="1:42" x14ac:dyDescent="0.2">
      <c r="A479" s="3">
        <v>480</v>
      </c>
      <c r="B479" s="3">
        <v>3.7E-7</v>
      </c>
      <c r="C479" s="2">
        <v>2.4830000000000001E-2</v>
      </c>
      <c r="D479" s="3">
        <v>179000</v>
      </c>
      <c r="E479" s="3">
        <v>104000000000</v>
      </c>
      <c r="F479" s="3">
        <v>95000000000</v>
      </c>
      <c r="G479" s="3">
        <v>5880000000</v>
      </c>
      <c r="H479" s="3">
        <v>10100000000</v>
      </c>
      <c r="I479" s="2"/>
      <c r="J479" s="7">
        <f t="shared" si="151"/>
        <v>0.37</v>
      </c>
      <c r="K479" s="7">
        <f t="shared" si="152"/>
        <v>24.830000000000002</v>
      </c>
      <c r="L479" s="7">
        <f t="shared" si="153"/>
        <v>104</v>
      </c>
      <c r="M479" s="7">
        <f t="shared" si="154"/>
        <v>179</v>
      </c>
      <c r="O479">
        <f t="shared" si="155"/>
        <v>0.26596368715083796</v>
      </c>
      <c r="P479">
        <f t="shared" si="156"/>
        <v>265.96368715083798</v>
      </c>
      <c r="V479">
        <f t="shared" si="140"/>
        <v>758.37547394319711</v>
      </c>
      <c r="W479">
        <f t="shared" si="141"/>
        <v>118.01541990096533</v>
      </c>
      <c r="AE479">
        <f t="shared" si="142"/>
        <v>0.65168508503548161</v>
      </c>
      <c r="AF479">
        <f t="shared" si="143"/>
        <v>0.63652126369917406</v>
      </c>
      <c r="AG479">
        <f t="shared" si="144"/>
        <v>0.64008523914293347</v>
      </c>
      <c r="AI479">
        <f t="shared" si="145"/>
        <v>0.23656620384103608</v>
      </c>
      <c r="AJ479">
        <f t="shared" si="146"/>
        <v>18.610226149684532</v>
      </c>
      <c r="AL479">
        <f t="shared" si="147"/>
        <v>0.24220191132456384</v>
      </c>
      <c r="AM479">
        <f t="shared" si="148"/>
        <v>19.507489465173265</v>
      </c>
      <c r="AO479">
        <f t="shared" si="149"/>
        <v>0.24085333833520986</v>
      </c>
      <c r="AP479">
        <f t="shared" si="150"/>
        <v>19.29086000767504</v>
      </c>
    </row>
    <row r="480" spans="1:42" x14ac:dyDescent="0.2">
      <c r="A480" s="3">
        <v>480</v>
      </c>
      <c r="B480" s="3">
        <v>3.7E-7</v>
      </c>
      <c r="C480" s="2">
        <v>2.4889999999999999E-2</v>
      </c>
      <c r="D480" s="3">
        <v>190000</v>
      </c>
      <c r="E480" s="3">
        <v>110000000000</v>
      </c>
      <c r="F480" s="3">
        <v>99700000000</v>
      </c>
      <c r="G480" s="3">
        <v>11200000000</v>
      </c>
      <c r="H480" s="3">
        <v>9910000000</v>
      </c>
      <c r="I480" s="2"/>
      <c r="J480" s="7">
        <f t="shared" si="151"/>
        <v>0.37</v>
      </c>
      <c r="K480" s="7">
        <f t="shared" si="152"/>
        <v>24.89</v>
      </c>
      <c r="L480" s="7">
        <f t="shared" si="153"/>
        <v>110</v>
      </c>
      <c r="M480" s="7">
        <f t="shared" si="154"/>
        <v>190</v>
      </c>
      <c r="O480">
        <f t="shared" si="155"/>
        <v>0.27174999999999999</v>
      </c>
      <c r="P480">
        <f t="shared" si="156"/>
        <v>271.75</v>
      </c>
      <c r="V480">
        <f t="shared" si="140"/>
        <v>765.64117185266298</v>
      </c>
      <c r="W480">
        <f t="shared" si="141"/>
        <v>124.07901180408494</v>
      </c>
      <c r="AE480">
        <f t="shared" si="142"/>
        <v>0.69173277182537163</v>
      </c>
      <c r="AF480">
        <f t="shared" si="143"/>
        <v>0.67563709554660933</v>
      </c>
      <c r="AG480">
        <f t="shared" si="144"/>
        <v>0.67942008624110251</v>
      </c>
      <c r="AI480">
        <f t="shared" si="145"/>
        <v>0.22287026572392343</v>
      </c>
      <c r="AJ480">
        <f t="shared" si="146"/>
        <v>16.557649605555142</v>
      </c>
      <c r="AL480">
        <f t="shared" si="147"/>
        <v>0.22817969540577332</v>
      </c>
      <c r="AM480">
        <f t="shared" si="148"/>
        <v>17.355951112602281</v>
      </c>
      <c r="AO480">
        <f t="shared" si="149"/>
        <v>0.22690919769475035</v>
      </c>
      <c r="AP480">
        <f t="shared" si="150"/>
        <v>17.163214354722641</v>
      </c>
    </row>
    <row r="481" spans="1:42" x14ac:dyDescent="0.2">
      <c r="A481" s="3">
        <v>480</v>
      </c>
      <c r="B481" s="3">
        <v>3.7099999999999997E-7</v>
      </c>
      <c r="C481" s="2">
        <v>2.494E-2</v>
      </c>
      <c r="D481" s="3">
        <v>175000</v>
      </c>
      <c r="E481" s="3">
        <v>102000000000</v>
      </c>
      <c r="F481" s="3">
        <v>93200000000</v>
      </c>
      <c r="G481" s="3">
        <v>3550000000</v>
      </c>
      <c r="H481" s="3">
        <v>10200000000</v>
      </c>
      <c r="I481" s="2"/>
      <c r="J481" s="7">
        <f t="shared" si="151"/>
        <v>0.371</v>
      </c>
      <c r="K481" s="7">
        <f t="shared" si="152"/>
        <v>24.94</v>
      </c>
      <c r="L481" s="7">
        <f t="shared" si="153"/>
        <v>102</v>
      </c>
      <c r="M481" s="7">
        <f t="shared" si="154"/>
        <v>175</v>
      </c>
      <c r="O481">
        <f t="shared" si="155"/>
        <v>0.26411428571428569</v>
      </c>
      <c r="P481">
        <f t="shared" si="156"/>
        <v>264.1142857142857</v>
      </c>
      <c r="V481">
        <f t="shared" si="140"/>
        <v>756.03469878254441</v>
      </c>
      <c r="W481">
        <f t="shared" si="141"/>
        <v>115.73542873217691</v>
      </c>
      <c r="AE481">
        <f t="shared" si="142"/>
        <v>0.63712228983915808</v>
      </c>
      <c r="AF481">
        <f t="shared" si="143"/>
        <v>0.62229732484556122</v>
      </c>
      <c r="AG481">
        <f t="shared" si="144"/>
        <v>0.62578165837996291</v>
      </c>
      <c r="AI481">
        <f t="shared" si="145"/>
        <v>0.24262741360431447</v>
      </c>
      <c r="AJ481">
        <f t="shared" si="146"/>
        <v>19.556959880575441</v>
      </c>
      <c r="AL481">
        <f t="shared" si="147"/>
        <v>0.24840751705255537</v>
      </c>
      <c r="AM481">
        <f t="shared" si="148"/>
        <v>20.499868500932148</v>
      </c>
      <c r="AO481">
        <f t="shared" si="149"/>
        <v>0.247024391436339</v>
      </c>
      <c r="AP481">
        <f t="shared" si="150"/>
        <v>20.272218735949824</v>
      </c>
    </row>
    <row r="482" spans="1:42" x14ac:dyDescent="0.2">
      <c r="A482" s="3">
        <v>480</v>
      </c>
      <c r="B482" s="3">
        <v>3.72E-7</v>
      </c>
      <c r="C482" s="2">
        <v>2.4989999999999998E-2</v>
      </c>
      <c r="D482" s="3">
        <v>185000</v>
      </c>
      <c r="E482" s="3">
        <v>107000000000</v>
      </c>
      <c r="F482" s="3">
        <v>97100000000</v>
      </c>
      <c r="G482" s="2">
        <v>0</v>
      </c>
      <c r="H482" s="3">
        <v>10000000000</v>
      </c>
      <c r="I482" s="2"/>
      <c r="J482" s="7">
        <f t="shared" si="151"/>
        <v>0.372</v>
      </c>
      <c r="K482" s="7">
        <f t="shared" si="152"/>
        <v>24.99</v>
      </c>
      <c r="L482" s="7">
        <f t="shared" si="153"/>
        <v>107</v>
      </c>
      <c r="M482" s="7">
        <f t="shared" si="154"/>
        <v>185</v>
      </c>
      <c r="O482">
        <f t="shared" si="155"/>
        <v>0.27068918918918916</v>
      </c>
      <c r="P482">
        <f t="shared" si="156"/>
        <v>270.68918918918916</v>
      </c>
      <c r="V482">
        <f t="shared" si="140"/>
        <v>764.31564103723838</v>
      </c>
      <c r="W482">
        <f t="shared" si="141"/>
        <v>121.02329853471269</v>
      </c>
      <c r="AE482">
        <f t="shared" si="142"/>
        <v>0.67352927782996708</v>
      </c>
      <c r="AF482">
        <f t="shared" si="143"/>
        <v>0.65785717197959337</v>
      </c>
      <c r="AG482">
        <f t="shared" si="144"/>
        <v>0.66154061028738931</v>
      </c>
      <c r="AI482">
        <f t="shared" si="145"/>
        <v>0.23013105012953849</v>
      </c>
      <c r="AJ482">
        <f t="shared" si="146"/>
        <v>17.534920143892041</v>
      </c>
      <c r="AL482">
        <f t="shared" si="147"/>
        <v>0.23561345319620242</v>
      </c>
      <c r="AM482">
        <f t="shared" si="148"/>
        <v>18.380339240822543</v>
      </c>
      <c r="AO482">
        <f t="shared" si="149"/>
        <v>0.23430156454441131</v>
      </c>
      <c r="AP482">
        <f t="shared" si="150"/>
        <v>18.176226716477412</v>
      </c>
    </row>
    <row r="483" spans="1:42" x14ac:dyDescent="0.2">
      <c r="A483" s="3">
        <v>480</v>
      </c>
      <c r="B483" s="3">
        <v>3.7300000000000002E-7</v>
      </c>
      <c r="C483" s="2">
        <v>2.504E-2</v>
      </c>
      <c r="D483" s="3">
        <v>205000</v>
      </c>
      <c r="E483" s="3">
        <v>117000000000</v>
      </c>
      <c r="F483" s="3">
        <v>106000000000</v>
      </c>
      <c r="G483" s="3">
        <v>322000000</v>
      </c>
      <c r="H483" s="3">
        <v>9650000000</v>
      </c>
      <c r="I483" s="2"/>
      <c r="J483" s="7">
        <f t="shared" si="151"/>
        <v>0.373</v>
      </c>
      <c r="K483" s="7">
        <f t="shared" si="152"/>
        <v>25.04</v>
      </c>
      <c r="L483" s="7">
        <f t="shared" si="153"/>
        <v>117.00000000000001</v>
      </c>
      <c r="M483" s="7">
        <f t="shared" si="154"/>
        <v>205</v>
      </c>
      <c r="O483">
        <f t="shared" si="155"/>
        <v>0.28139024390243905</v>
      </c>
      <c r="P483">
        <f t="shared" si="156"/>
        <v>281.39024390243907</v>
      </c>
      <c r="V483">
        <f t="shared" si="140"/>
        <v>777.55724642936957</v>
      </c>
      <c r="W483">
        <f t="shared" si="141"/>
        <v>131.82309144528142</v>
      </c>
      <c r="AE483">
        <f t="shared" si="142"/>
        <v>0.74634325381158517</v>
      </c>
      <c r="AF483">
        <f t="shared" si="143"/>
        <v>0.72897686624765745</v>
      </c>
      <c r="AG483">
        <f t="shared" si="144"/>
        <v>0.73305851410224221</v>
      </c>
      <c r="AI483">
        <f t="shared" si="145"/>
        <v>0.20823751788865463</v>
      </c>
      <c r="AJ483">
        <f t="shared" si="146"/>
        <v>14.308944378507729</v>
      </c>
      <c r="AL483">
        <f t="shared" si="147"/>
        <v>0.2131983521873059</v>
      </c>
      <c r="AM483">
        <f t="shared" si="148"/>
        <v>14.998828035532576</v>
      </c>
      <c r="AO483">
        <f t="shared" si="149"/>
        <v>0.21201127014669685</v>
      </c>
      <c r="AP483">
        <f t="shared" si="150"/>
        <v>14.832266982853433</v>
      </c>
    </row>
    <row r="484" spans="1:42" x14ac:dyDescent="0.2">
      <c r="A484" s="3">
        <v>480</v>
      </c>
      <c r="B484" s="3">
        <v>3.7300000000000002E-7</v>
      </c>
      <c r="C484" s="2">
        <v>2.5090000000000001E-2</v>
      </c>
      <c r="D484" s="3">
        <v>190000</v>
      </c>
      <c r="E484" s="3">
        <v>110000000000</v>
      </c>
      <c r="F484" s="3">
        <v>99300000000</v>
      </c>
      <c r="G484" s="2">
        <v>0</v>
      </c>
      <c r="H484" s="3">
        <v>9900000000</v>
      </c>
      <c r="I484" s="2"/>
      <c r="J484" s="7">
        <f t="shared" si="151"/>
        <v>0.373</v>
      </c>
      <c r="K484" s="7">
        <f t="shared" si="152"/>
        <v>25.09</v>
      </c>
      <c r="L484" s="7">
        <f t="shared" si="153"/>
        <v>110</v>
      </c>
      <c r="M484" s="7">
        <f t="shared" si="154"/>
        <v>190</v>
      </c>
      <c r="O484">
        <f t="shared" si="155"/>
        <v>0.27396052631578949</v>
      </c>
      <c r="P484">
        <f t="shared" si="156"/>
        <v>273.96052631578948</v>
      </c>
      <c r="V484">
        <f t="shared" si="140"/>
        <v>768.39409409080758</v>
      </c>
      <c r="W484">
        <f t="shared" si="141"/>
        <v>123.63447445858824</v>
      </c>
      <c r="AE484">
        <f t="shared" si="142"/>
        <v>0.69173277182537163</v>
      </c>
      <c r="AF484">
        <f t="shared" si="143"/>
        <v>0.67563709554660933</v>
      </c>
      <c r="AG484">
        <f t="shared" si="144"/>
        <v>0.67942008624110251</v>
      </c>
      <c r="AI484">
        <f t="shared" si="145"/>
        <v>0.22467732193249579</v>
      </c>
      <c r="AJ484">
        <f t="shared" si="146"/>
        <v>16.69069620744791</v>
      </c>
      <c r="AL484">
        <f t="shared" si="147"/>
        <v>0.23002980104419851</v>
      </c>
      <c r="AM484">
        <f t="shared" si="148"/>
        <v>17.495412350951838</v>
      </c>
      <c r="AO484">
        <f t="shared" si="149"/>
        <v>0.22874900200038345</v>
      </c>
      <c r="AP484">
        <f t="shared" si="150"/>
        <v>17.301126884692287</v>
      </c>
    </row>
    <row r="485" spans="1:42" x14ac:dyDescent="0.2">
      <c r="A485" s="3">
        <v>480</v>
      </c>
      <c r="B485" s="3">
        <v>3.7399999999999999E-7</v>
      </c>
      <c r="C485" s="2">
        <v>2.5149999999999999E-2</v>
      </c>
      <c r="D485" s="3">
        <v>192000</v>
      </c>
      <c r="E485" s="3">
        <v>110000000000</v>
      </c>
      <c r="F485" s="3">
        <v>100000000000</v>
      </c>
      <c r="G485" s="3">
        <v>4000000000</v>
      </c>
      <c r="H485" s="3">
        <v>9860000000</v>
      </c>
      <c r="I485" s="2"/>
      <c r="J485" s="7">
        <f t="shared" si="151"/>
        <v>0.374</v>
      </c>
      <c r="K485" s="7">
        <f t="shared" si="152"/>
        <v>25.15</v>
      </c>
      <c r="L485" s="7">
        <f t="shared" si="153"/>
        <v>110</v>
      </c>
      <c r="M485" s="7">
        <f t="shared" si="154"/>
        <v>192</v>
      </c>
      <c r="O485">
        <f t="shared" si="155"/>
        <v>0.27575781249999998</v>
      </c>
      <c r="P485">
        <f t="shared" si="156"/>
        <v>275.7578125</v>
      </c>
      <c r="V485">
        <f t="shared" si="140"/>
        <v>770.62327393646603</v>
      </c>
      <c r="W485">
        <f t="shared" si="141"/>
        <v>124.57448827053557</v>
      </c>
      <c r="AE485">
        <f t="shared" si="142"/>
        <v>0.69901416942353345</v>
      </c>
      <c r="AF485">
        <f t="shared" si="143"/>
        <v>0.68274906497341581</v>
      </c>
      <c r="AG485">
        <f t="shared" si="144"/>
        <v>0.68657187662258778</v>
      </c>
      <c r="AI485">
        <f t="shared" si="145"/>
        <v>0.2229330107311655</v>
      </c>
      <c r="AJ485">
        <f t="shared" si="146"/>
        <v>16.38387119648894</v>
      </c>
      <c r="AL485">
        <f t="shared" si="147"/>
        <v>0.22824393518488525</v>
      </c>
      <c r="AM485">
        <f t="shared" si="148"/>
        <v>17.173794245895365</v>
      </c>
      <c r="AO485">
        <f t="shared" si="149"/>
        <v>0.22697307978869596</v>
      </c>
      <c r="AP485">
        <f t="shared" si="150"/>
        <v>16.983080328693656</v>
      </c>
    </row>
    <row r="486" spans="1:42" x14ac:dyDescent="0.2">
      <c r="A486" s="3">
        <v>480</v>
      </c>
      <c r="B486" s="3">
        <v>3.7500000000000001E-7</v>
      </c>
      <c r="C486" s="2">
        <v>2.52E-2</v>
      </c>
      <c r="D486" s="3">
        <v>182000</v>
      </c>
      <c r="E486" s="3">
        <v>105000000000</v>
      </c>
      <c r="F486" s="3">
        <v>95400000000</v>
      </c>
      <c r="G486" s="3">
        <v>2480000000</v>
      </c>
      <c r="H486" s="3">
        <v>10100000000</v>
      </c>
      <c r="I486" s="2"/>
      <c r="J486" s="7">
        <f t="shared" si="151"/>
        <v>0.375</v>
      </c>
      <c r="K486" s="7">
        <f t="shared" si="152"/>
        <v>25.2</v>
      </c>
      <c r="L486" s="7">
        <f t="shared" si="153"/>
        <v>105</v>
      </c>
      <c r="M486" s="7">
        <f t="shared" si="154"/>
        <v>182</v>
      </c>
      <c r="O486">
        <f t="shared" si="155"/>
        <v>0.27115384615384613</v>
      </c>
      <c r="P486">
        <f t="shared" si="156"/>
        <v>271.15384615384613</v>
      </c>
      <c r="V486">
        <f t="shared" si="140"/>
        <v>764.89660626764385</v>
      </c>
      <c r="W486">
        <f t="shared" si="141"/>
        <v>118.97032782514179</v>
      </c>
      <c r="AE486">
        <f t="shared" si="142"/>
        <v>0.66260718143272435</v>
      </c>
      <c r="AF486">
        <f t="shared" si="143"/>
        <v>0.64718921783938366</v>
      </c>
      <c r="AG486">
        <f t="shared" si="144"/>
        <v>0.65081292471516139</v>
      </c>
      <c r="AI486">
        <f t="shared" si="145"/>
        <v>0.23581090633842508</v>
      </c>
      <c r="AJ486">
        <f t="shared" si="146"/>
        <v>18.270008856703619</v>
      </c>
      <c r="AL486">
        <f t="shared" si="147"/>
        <v>0.24142862039889143</v>
      </c>
      <c r="AM486">
        <f t="shared" si="148"/>
        <v>19.150869120782261</v>
      </c>
      <c r="AO486">
        <f t="shared" si="149"/>
        <v>0.24008435307025486</v>
      </c>
      <c r="AP486">
        <f t="shared" si="150"/>
        <v>18.938199910033177</v>
      </c>
    </row>
    <row r="487" spans="1:42" x14ac:dyDescent="0.2">
      <c r="A487" s="3">
        <v>490</v>
      </c>
      <c r="B487" s="3">
        <v>3.7599999999999998E-7</v>
      </c>
      <c r="C487" s="2">
        <v>2.5250000000000002E-2</v>
      </c>
      <c r="D487" s="3">
        <v>176000</v>
      </c>
      <c r="E487" s="3">
        <v>102000000000</v>
      </c>
      <c r="F487" s="3">
        <v>93100000000</v>
      </c>
      <c r="G487" s="3">
        <v>11600000000</v>
      </c>
      <c r="H487" s="3">
        <v>10200000000</v>
      </c>
      <c r="I487" s="2"/>
      <c r="J487" s="7">
        <f t="shared" si="151"/>
        <v>0.376</v>
      </c>
      <c r="K487" s="7">
        <f t="shared" si="152"/>
        <v>25.25</v>
      </c>
      <c r="L487" s="7">
        <f t="shared" si="153"/>
        <v>102</v>
      </c>
      <c r="M487" s="7">
        <f t="shared" si="154"/>
        <v>176</v>
      </c>
      <c r="O487">
        <f t="shared" si="155"/>
        <v>0.26840056818181818</v>
      </c>
      <c r="P487">
        <f t="shared" si="156"/>
        <v>268.40056818181819</v>
      </c>
      <c r="V487">
        <f t="shared" si="140"/>
        <v>761.44601749521269</v>
      </c>
      <c r="W487">
        <f t="shared" si="141"/>
        <v>115.56958468241416</v>
      </c>
      <c r="AE487">
        <f t="shared" si="142"/>
        <v>0.64076298863823899</v>
      </c>
      <c r="AF487">
        <f t="shared" si="143"/>
        <v>0.62585330955896445</v>
      </c>
      <c r="AG487">
        <f t="shared" si="144"/>
        <v>0.62935755357070555</v>
      </c>
      <c r="AI487">
        <f t="shared" si="145"/>
        <v>0.24450018094774401</v>
      </c>
      <c r="AJ487">
        <f t="shared" si="146"/>
        <v>19.575688240945659</v>
      </c>
      <c r="AL487">
        <f t="shared" si="147"/>
        <v>0.25032489925965057</v>
      </c>
      <c r="AM487">
        <f t="shared" si="148"/>
        <v>20.519499820276874</v>
      </c>
      <c r="AO487">
        <f t="shared" si="149"/>
        <v>0.24893109771672245</v>
      </c>
      <c r="AP487">
        <f t="shared" si="150"/>
        <v>20.29163205071394</v>
      </c>
    </row>
    <row r="488" spans="1:42" x14ac:dyDescent="0.2">
      <c r="A488" s="3">
        <v>490</v>
      </c>
      <c r="B488" s="3">
        <v>3.7599999999999998E-7</v>
      </c>
      <c r="C488" s="2">
        <v>2.53E-2</v>
      </c>
      <c r="D488" s="3">
        <v>192000</v>
      </c>
      <c r="E488" s="3">
        <v>110000000000</v>
      </c>
      <c r="F488" s="3">
        <v>99700000000</v>
      </c>
      <c r="G488" s="3">
        <v>2980000000</v>
      </c>
      <c r="H488" s="3">
        <v>9870000000</v>
      </c>
      <c r="I488" s="2"/>
      <c r="J488" s="7">
        <f t="shared" si="151"/>
        <v>0.376</v>
      </c>
      <c r="K488" s="7">
        <f t="shared" si="152"/>
        <v>25.3</v>
      </c>
      <c r="L488" s="7">
        <f t="shared" si="153"/>
        <v>110</v>
      </c>
      <c r="M488" s="7">
        <f t="shared" si="154"/>
        <v>192</v>
      </c>
      <c r="O488">
        <f t="shared" si="155"/>
        <v>0.27717187500000001</v>
      </c>
      <c r="P488">
        <f t="shared" si="156"/>
        <v>277.171875</v>
      </c>
      <c r="V488">
        <f t="shared" si="140"/>
        <v>772.37145831025623</v>
      </c>
      <c r="W488">
        <f t="shared" si="141"/>
        <v>124.29252656490249</v>
      </c>
      <c r="AE488">
        <f t="shared" si="142"/>
        <v>0.69901416942353345</v>
      </c>
      <c r="AF488">
        <f t="shared" si="143"/>
        <v>0.68274906497341581</v>
      </c>
      <c r="AG488">
        <f t="shared" si="144"/>
        <v>0.68657187662258778</v>
      </c>
      <c r="AI488">
        <f t="shared" si="145"/>
        <v>0.22412516586876532</v>
      </c>
      <c r="AJ488">
        <f t="shared" si="146"/>
        <v>16.481588122114122</v>
      </c>
      <c r="AL488">
        <f t="shared" si="147"/>
        <v>0.229464490988013</v>
      </c>
      <c r="AM488">
        <f t="shared" si="148"/>
        <v>17.276222442192953</v>
      </c>
      <c r="AO488">
        <f t="shared" si="149"/>
        <v>0.22818683957366226</v>
      </c>
      <c r="AP488">
        <f t="shared" si="150"/>
        <v>17.084371066240536</v>
      </c>
    </row>
    <row r="489" spans="1:42" x14ac:dyDescent="0.2">
      <c r="A489" s="3">
        <v>490</v>
      </c>
      <c r="B489" s="3">
        <v>3.77E-7</v>
      </c>
      <c r="C489" s="2">
        <v>2.5350000000000001E-2</v>
      </c>
      <c r="D489" s="3">
        <v>179000</v>
      </c>
      <c r="E489" s="3">
        <v>103000000000</v>
      </c>
      <c r="F489" s="3">
        <v>93900000000</v>
      </c>
      <c r="G489" s="3">
        <v>5320000000</v>
      </c>
      <c r="H489" s="3">
        <v>10100000000</v>
      </c>
      <c r="I489" s="2"/>
      <c r="J489" s="7">
        <f t="shared" si="151"/>
        <v>0.377</v>
      </c>
      <c r="K489" s="7">
        <f t="shared" si="152"/>
        <v>25.35</v>
      </c>
      <c r="L489" s="7">
        <f t="shared" si="153"/>
        <v>103</v>
      </c>
      <c r="M489" s="7">
        <f t="shared" si="154"/>
        <v>179</v>
      </c>
      <c r="O489">
        <f t="shared" si="155"/>
        <v>0.27078491620111733</v>
      </c>
      <c r="P489">
        <f t="shared" si="156"/>
        <v>270.78491620111731</v>
      </c>
      <c r="V489">
        <f t="shared" si="140"/>
        <v>764.43537487569267</v>
      </c>
      <c r="W489">
        <f t="shared" si="141"/>
        <v>117.07987743836931</v>
      </c>
      <c r="AE489">
        <f t="shared" si="142"/>
        <v>0.65168508503548161</v>
      </c>
      <c r="AF489">
        <f t="shared" si="143"/>
        <v>0.63652126369917406</v>
      </c>
      <c r="AG489">
        <f t="shared" si="144"/>
        <v>0.64008523914293347</v>
      </c>
      <c r="AI489">
        <f t="shared" si="145"/>
        <v>0.24104178067046109</v>
      </c>
      <c r="AJ489">
        <f t="shared" si="146"/>
        <v>18.99996910569887</v>
      </c>
      <c r="AL489">
        <f t="shared" si="147"/>
        <v>0.24678410964692044</v>
      </c>
      <c r="AM489">
        <f t="shared" si="148"/>
        <v>19.916023275962235</v>
      </c>
      <c r="AO489">
        <f t="shared" si="149"/>
        <v>0.24541002311452464</v>
      </c>
      <c r="AP489">
        <f t="shared" si="150"/>
        <v>19.6948570758986</v>
      </c>
    </row>
    <row r="490" spans="1:42" x14ac:dyDescent="0.2">
      <c r="A490" s="3">
        <v>490</v>
      </c>
      <c r="B490" s="3">
        <v>3.7800000000000002E-7</v>
      </c>
      <c r="C490" s="2">
        <v>2.5399999999999999E-2</v>
      </c>
      <c r="D490" s="3">
        <v>210000</v>
      </c>
      <c r="E490" s="3">
        <v>119000000000</v>
      </c>
      <c r="F490" s="3">
        <v>107000000000</v>
      </c>
      <c r="G490" s="3">
        <v>1540000000</v>
      </c>
      <c r="H490" s="3">
        <v>9580000000</v>
      </c>
      <c r="I490" s="2"/>
      <c r="J490" s="7">
        <f t="shared" si="151"/>
        <v>0.378</v>
      </c>
      <c r="K490" s="7">
        <f t="shared" si="152"/>
        <v>25.4</v>
      </c>
      <c r="L490" s="7">
        <f t="shared" si="153"/>
        <v>119.00000000000001</v>
      </c>
      <c r="M490" s="7">
        <f t="shared" si="154"/>
        <v>210</v>
      </c>
      <c r="O490">
        <f t="shared" si="155"/>
        <v>0.28728571428571426</v>
      </c>
      <c r="P490">
        <f t="shared" si="156"/>
        <v>287.28571428571428</v>
      </c>
      <c r="V490">
        <f t="shared" si="140"/>
        <v>784.73272840856885</v>
      </c>
      <c r="W490">
        <f t="shared" si="141"/>
        <v>133.80351831755391</v>
      </c>
      <c r="AE490">
        <f t="shared" si="142"/>
        <v>0.76454674780698961</v>
      </c>
      <c r="AF490">
        <f t="shared" si="143"/>
        <v>0.74675678981467353</v>
      </c>
      <c r="AG490">
        <f t="shared" si="144"/>
        <v>0.75093799005595541</v>
      </c>
      <c r="AI490">
        <f t="shared" si="145"/>
        <v>0.20600440777724816</v>
      </c>
      <c r="AJ490">
        <f t="shared" si="146"/>
        <v>13.831717816276182</v>
      </c>
      <c r="AL490">
        <f t="shared" si="147"/>
        <v>0.21091204278047154</v>
      </c>
      <c r="AM490">
        <f t="shared" si="148"/>
        <v>14.498592731546726</v>
      </c>
      <c r="AO490">
        <f t="shared" si="149"/>
        <v>0.20973769084217467</v>
      </c>
      <c r="AP490">
        <f t="shared" si="150"/>
        <v>14.337586760812773</v>
      </c>
    </row>
    <row r="491" spans="1:42" x14ac:dyDescent="0.2">
      <c r="A491" s="3">
        <v>490</v>
      </c>
      <c r="B491" s="3">
        <v>3.7899999999999999E-7</v>
      </c>
      <c r="C491" s="2">
        <v>2.546E-2</v>
      </c>
      <c r="D491" s="3">
        <v>177000</v>
      </c>
      <c r="E491" s="3">
        <v>102000000000</v>
      </c>
      <c r="F491" s="3">
        <v>92800000000</v>
      </c>
      <c r="G491" s="3">
        <v>13900000000</v>
      </c>
      <c r="H491" s="3">
        <v>10200000000</v>
      </c>
      <c r="I491" s="2"/>
      <c r="J491" s="7">
        <f t="shared" si="151"/>
        <v>0.379</v>
      </c>
      <c r="K491" s="7">
        <f t="shared" si="152"/>
        <v>25.46</v>
      </c>
      <c r="L491" s="7">
        <f t="shared" si="153"/>
        <v>102</v>
      </c>
      <c r="M491" s="7">
        <f t="shared" si="154"/>
        <v>177</v>
      </c>
      <c r="O491">
        <f t="shared" si="155"/>
        <v>0.27111864406779662</v>
      </c>
      <c r="P491">
        <f t="shared" si="156"/>
        <v>271.11864406779659</v>
      </c>
      <c r="V491">
        <f t="shared" si="140"/>
        <v>764.85261217141169</v>
      </c>
      <c r="W491">
        <f t="shared" si="141"/>
        <v>115.70856736535039</v>
      </c>
      <c r="AE491">
        <f t="shared" si="142"/>
        <v>0.64440368743731991</v>
      </c>
      <c r="AF491">
        <f t="shared" si="143"/>
        <v>0.62940929427236769</v>
      </c>
      <c r="AG491">
        <f t="shared" si="144"/>
        <v>0.63293344876144819</v>
      </c>
      <c r="AI491">
        <f t="shared" si="145"/>
        <v>0.24505860184424685</v>
      </c>
      <c r="AJ491">
        <f t="shared" si="146"/>
        <v>19.516092131771785</v>
      </c>
      <c r="AL491">
        <f t="shared" si="147"/>
        <v>0.25089662339547614</v>
      </c>
      <c r="AM491">
        <f t="shared" si="148"/>
        <v>20.457030376728792</v>
      </c>
      <c r="AO491">
        <f t="shared" si="149"/>
        <v>0.24949963850968046</v>
      </c>
      <c r="AP491">
        <f t="shared" si="150"/>
        <v>20.229856326451991</v>
      </c>
    </row>
    <row r="492" spans="1:42" x14ac:dyDescent="0.2">
      <c r="A492" s="3">
        <v>490</v>
      </c>
      <c r="B492" s="3">
        <v>3.7899999999999999E-7</v>
      </c>
      <c r="C492" s="2">
        <v>2.5510000000000001E-2</v>
      </c>
      <c r="D492" s="3">
        <v>172000</v>
      </c>
      <c r="E492" s="3">
        <v>99300000000</v>
      </c>
      <c r="F492" s="3">
        <v>90900000000</v>
      </c>
      <c r="G492" s="2">
        <v>0</v>
      </c>
      <c r="H492" s="3">
        <v>10300000000</v>
      </c>
      <c r="I492" s="2"/>
      <c r="J492" s="7">
        <f t="shared" si="151"/>
        <v>0.379</v>
      </c>
      <c r="K492" s="7">
        <f t="shared" si="152"/>
        <v>25.51</v>
      </c>
      <c r="L492" s="7">
        <f t="shared" si="153"/>
        <v>99.300000000000011</v>
      </c>
      <c r="M492" s="7">
        <f t="shared" si="154"/>
        <v>172</v>
      </c>
      <c r="O492">
        <f t="shared" si="155"/>
        <v>0.26776453488372093</v>
      </c>
      <c r="P492">
        <f t="shared" si="156"/>
        <v>267.76453488372096</v>
      </c>
      <c r="V492">
        <f t="shared" si="140"/>
        <v>760.64609899366781</v>
      </c>
      <c r="W492">
        <f t="shared" si="141"/>
        <v>113.0617774991257</v>
      </c>
      <c r="AE492">
        <f t="shared" si="142"/>
        <v>0.62620019344191535</v>
      </c>
      <c r="AF492">
        <f t="shared" si="143"/>
        <v>0.61162937070535162</v>
      </c>
      <c r="AG492">
        <f t="shared" si="144"/>
        <v>0.61505397280773488</v>
      </c>
      <c r="AI492">
        <f t="shared" si="145"/>
        <v>0.25218239840948659</v>
      </c>
      <c r="AJ492">
        <f t="shared" si="146"/>
        <v>20.707828420036524</v>
      </c>
      <c r="AL492">
        <f t="shared" si="147"/>
        <v>0.25819012988953072</v>
      </c>
      <c r="AM492">
        <f t="shared" si="148"/>
        <v>21.706224389826971</v>
      </c>
      <c r="AO492">
        <f t="shared" si="149"/>
        <v>0.25675253497798511</v>
      </c>
      <c r="AP492">
        <f t="shared" si="150"/>
        <v>21.465178117711964</v>
      </c>
    </row>
    <row r="493" spans="1:42" x14ac:dyDescent="0.2">
      <c r="A493" s="3">
        <v>490</v>
      </c>
      <c r="B493" s="3">
        <v>3.8000000000000001E-7</v>
      </c>
      <c r="C493" s="2">
        <v>2.5559999999999999E-2</v>
      </c>
      <c r="D493" s="3">
        <v>171000</v>
      </c>
      <c r="E493" s="3">
        <v>98400000000</v>
      </c>
      <c r="F493" s="3">
        <v>90200000000</v>
      </c>
      <c r="G493" s="2">
        <v>0</v>
      </c>
      <c r="H493" s="3">
        <v>10400000000</v>
      </c>
      <c r="I493" s="2"/>
      <c r="J493" s="7">
        <f t="shared" si="151"/>
        <v>0.38</v>
      </c>
      <c r="K493" s="7">
        <f t="shared" si="152"/>
        <v>25.56</v>
      </c>
      <c r="L493" s="7">
        <f t="shared" si="153"/>
        <v>98.4</v>
      </c>
      <c r="M493" s="7">
        <f t="shared" si="154"/>
        <v>171</v>
      </c>
      <c r="O493">
        <f t="shared" si="155"/>
        <v>0.2678947368421053</v>
      </c>
      <c r="P493">
        <f t="shared" si="156"/>
        <v>267.89473684210532</v>
      </c>
      <c r="V493">
        <f t="shared" si="140"/>
        <v>760.80993586155273</v>
      </c>
      <c r="W493">
        <f t="shared" si="141"/>
        <v>112.38023581169257</v>
      </c>
      <c r="AE493">
        <f t="shared" si="142"/>
        <v>0.62255949464283444</v>
      </c>
      <c r="AF493">
        <f t="shared" si="143"/>
        <v>0.60807338599194838</v>
      </c>
      <c r="AG493">
        <f t="shared" si="144"/>
        <v>0.61147807761699224</v>
      </c>
      <c r="AI493">
        <f t="shared" si="145"/>
        <v>0.25432642935462735</v>
      </c>
      <c r="AJ493">
        <f t="shared" si="146"/>
        <v>20.99179718752583</v>
      </c>
      <c r="AL493">
        <f t="shared" si="147"/>
        <v>0.26038523800058216</v>
      </c>
      <c r="AM493">
        <f t="shared" si="148"/>
        <v>22.003884272929991</v>
      </c>
      <c r="AO493">
        <f t="shared" si="149"/>
        <v>0.25893542079280824</v>
      </c>
      <c r="AP493">
        <f t="shared" si="150"/>
        <v>21.759532506322174</v>
      </c>
    </row>
    <row r="494" spans="1:42" x14ac:dyDescent="0.2">
      <c r="A494" s="3">
        <v>490</v>
      </c>
      <c r="B494" s="3">
        <v>3.8099999999999998E-7</v>
      </c>
      <c r="C494" s="2">
        <v>2.5610000000000001E-2</v>
      </c>
      <c r="D494" s="3">
        <v>199000</v>
      </c>
      <c r="E494" s="3">
        <v>113000000000</v>
      </c>
      <c r="F494" s="3">
        <v>102000000000</v>
      </c>
      <c r="G494" s="3">
        <v>10200000000</v>
      </c>
      <c r="H494" s="3">
        <v>9740000000</v>
      </c>
      <c r="I494" s="2"/>
      <c r="J494" s="7">
        <f t="shared" si="151"/>
        <v>0.38100000000000001</v>
      </c>
      <c r="K494" s="7">
        <f t="shared" si="152"/>
        <v>25.61</v>
      </c>
      <c r="L494" s="7">
        <f t="shared" si="153"/>
        <v>113</v>
      </c>
      <c r="M494" s="7">
        <f t="shared" si="154"/>
        <v>199</v>
      </c>
      <c r="O494">
        <f t="shared" si="155"/>
        <v>0.28447989949748742</v>
      </c>
      <c r="P494">
        <f t="shared" si="156"/>
        <v>284.47989949748739</v>
      </c>
      <c r="V494">
        <f t="shared" si="140"/>
        <v>781.32805299021834</v>
      </c>
      <c r="W494">
        <f t="shared" si="141"/>
        <v>127.34727701021848</v>
      </c>
      <c r="AE494">
        <f t="shared" si="142"/>
        <v>0.72449906101709971</v>
      </c>
      <c r="AF494">
        <f t="shared" si="143"/>
        <v>0.70764095796723825</v>
      </c>
      <c r="AG494">
        <f t="shared" si="144"/>
        <v>0.71160314295778637</v>
      </c>
      <c r="AI494">
        <f t="shared" si="145"/>
        <v>0.21911691614497919</v>
      </c>
      <c r="AJ494">
        <f t="shared" si="146"/>
        <v>15.530463552499308</v>
      </c>
      <c r="AL494">
        <f t="shared" si="147"/>
        <v>0.22433692992562715</v>
      </c>
      <c r="AM494">
        <f t="shared" si="148"/>
        <v>16.279240870201519</v>
      </c>
      <c r="AO494">
        <f t="shared" si="149"/>
        <v>0.22308782861772344</v>
      </c>
      <c r="AP494">
        <f t="shared" si="150"/>
        <v>16.09846091261187</v>
      </c>
    </row>
    <row r="495" spans="1:42" x14ac:dyDescent="0.2">
      <c r="A495" s="3">
        <v>490</v>
      </c>
      <c r="B495" s="3">
        <v>3.8099999999999998E-7</v>
      </c>
      <c r="C495" s="2">
        <v>2.5669999999999998E-2</v>
      </c>
      <c r="D495" s="3">
        <v>176000</v>
      </c>
      <c r="E495" s="3">
        <v>101000000000</v>
      </c>
      <c r="F495" s="3">
        <v>92300000000</v>
      </c>
      <c r="G495" s="3">
        <v>15600000000</v>
      </c>
      <c r="H495" s="3">
        <v>10200000000</v>
      </c>
      <c r="I495" s="2"/>
      <c r="J495" s="7">
        <f t="shared" si="151"/>
        <v>0.38100000000000001</v>
      </c>
      <c r="K495" s="7">
        <f t="shared" si="152"/>
        <v>25.669999999999998</v>
      </c>
      <c r="L495" s="7">
        <f t="shared" si="153"/>
        <v>101</v>
      </c>
      <c r="M495" s="7">
        <f t="shared" si="154"/>
        <v>176</v>
      </c>
      <c r="O495">
        <f t="shared" si="155"/>
        <v>0.27161079545454547</v>
      </c>
      <c r="P495">
        <f t="shared" si="156"/>
        <v>271.6107954545455</v>
      </c>
      <c r="V495">
        <f t="shared" si="140"/>
        <v>765.46739399332967</v>
      </c>
      <c r="W495">
        <f t="shared" si="141"/>
        <v>114.9624408440405</v>
      </c>
      <c r="AE495">
        <f t="shared" si="142"/>
        <v>0.64076298863823899</v>
      </c>
      <c r="AF495">
        <f t="shared" si="143"/>
        <v>0.62585330955896445</v>
      </c>
      <c r="AG495">
        <f t="shared" si="144"/>
        <v>0.62935755357070555</v>
      </c>
      <c r="AI495">
        <f t="shared" si="145"/>
        <v>0.24775151314119806</v>
      </c>
      <c r="AJ495">
        <f t="shared" si="146"/>
        <v>19.901303649309902</v>
      </c>
      <c r="AL495">
        <f t="shared" si="147"/>
        <v>0.25365368781363529</v>
      </c>
      <c r="AM495">
        <f t="shared" si="148"/>
        <v>20.860814272732963</v>
      </c>
      <c r="AO495">
        <f t="shared" si="149"/>
        <v>0.25224135167572143</v>
      </c>
      <c r="AP495">
        <f t="shared" si="150"/>
        <v>20.629156227399079</v>
      </c>
    </row>
    <row r="496" spans="1:42" x14ac:dyDescent="0.2">
      <c r="A496" s="3">
        <v>490</v>
      </c>
      <c r="B496" s="3">
        <v>3.8200000000000001E-7</v>
      </c>
      <c r="C496" s="2">
        <v>2.572E-2</v>
      </c>
      <c r="D496" s="3">
        <v>184000</v>
      </c>
      <c r="E496" s="3">
        <v>105000000000</v>
      </c>
      <c r="F496" s="3">
        <v>95500000000</v>
      </c>
      <c r="G496" s="3">
        <v>4570000000</v>
      </c>
      <c r="H496" s="3">
        <v>10000000000</v>
      </c>
      <c r="I496" s="2"/>
      <c r="J496" s="7">
        <f t="shared" si="151"/>
        <v>0.38200000000000001</v>
      </c>
      <c r="K496" s="7">
        <f t="shared" si="152"/>
        <v>25.72</v>
      </c>
      <c r="L496" s="7">
        <f t="shared" si="153"/>
        <v>105</v>
      </c>
      <c r="M496" s="7">
        <f t="shared" si="154"/>
        <v>184</v>
      </c>
      <c r="O496">
        <f t="shared" si="155"/>
        <v>0.27716304347826087</v>
      </c>
      <c r="P496">
        <f t="shared" si="156"/>
        <v>277.16304347826087</v>
      </c>
      <c r="V496">
        <f t="shared" si="140"/>
        <v>772.36055546656451</v>
      </c>
      <c r="W496">
        <f t="shared" si="141"/>
        <v>119.11535273111534</v>
      </c>
      <c r="AE496">
        <f t="shared" si="142"/>
        <v>0.66988857903088617</v>
      </c>
      <c r="AF496">
        <f t="shared" si="143"/>
        <v>0.65430118726619013</v>
      </c>
      <c r="AG496">
        <f t="shared" si="144"/>
        <v>0.65796471509664667</v>
      </c>
      <c r="AI496">
        <f t="shared" si="145"/>
        <v>0.23760170220685023</v>
      </c>
      <c r="AJ496">
        <f t="shared" si="146"/>
        <v>18.243842374264709</v>
      </c>
      <c r="AL496">
        <f t="shared" si="147"/>
        <v>0.24326207832771776</v>
      </c>
      <c r="AM496">
        <f t="shared" si="148"/>
        <v>19.123441061799412</v>
      </c>
      <c r="AO496">
        <f t="shared" si="149"/>
        <v>0.24190760236023767</v>
      </c>
      <c r="AP496">
        <f t="shared" si="150"/>
        <v>18.911076437939805</v>
      </c>
    </row>
    <row r="497" spans="1:42" x14ac:dyDescent="0.2">
      <c r="A497" s="3">
        <v>500</v>
      </c>
      <c r="B497" s="3">
        <v>3.8299999999999998E-7</v>
      </c>
      <c r="C497" s="2">
        <v>2.5770000000000001E-2</v>
      </c>
      <c r="D497" s="3">
        <v>189000</v>
      </c>
      <c r="E497" s="3">
        <v>107000000000</v>
      </c>
      <c r="F497" s="3">
        <v>97400000000</v>
      </c>
      <c r="G497" s="3">
        <v>199000000</v>
      </c>
      <c r="H497" s="3">
        <v>9930000000</v>
      </c>
      <c r="I497" s="2"/>
      <c r="J497" s="7">
        <f t="shared" si="151"/>
        <v>0.38299999999999995</v>
      </c>
      <c r="K497" s="7">
        <f t="shared" si="152"/>
        <v>25.77</v>
      </c>
      <c r="L497" s="7">
        <f t="shared" si="153"/>
        <v>107</v>
      </c>
      <c r="M497" s="7">
        <f t="shared" si="154"/>
        <v>189</v>
      </c>
      <c r="O497">
        <f t="shared" si="155"/>
        <v>0.28073809523809518</v>
      </c>
      <c r="P497">
        <f t="shared" si="156"/>
        <v>280.73809523809518</v>
      </c>
      <c r="V497">
        <f t="shared" si="140"/>
        <v>776.75838062488197</v>
      </c>
      <c r="W497">
        <f t="shared" si="141"/>
        <v>121.65945338623472</v>
      </c>
      <c r="AE497">
        <f t="shared" si="142"/>
        <v>0.68809207302629072</v>
      </c>
      <c r="AF497">
        <f t="shared" si="143"/>
        <v>0.67208111083320621</v>
      </c>
      <c r="AG497">
        <f t="shared" si="144"/>
        <v>0.67584419105035987</v>
      </c>
      <c r="AI497">
        <f t="shared" si="145"/>
        <v>0.23192148200671966</v>
      </c>
      <c r="AJ497">
        <f t="shared" si="146"/>
        <v>17.324942554944936</v>
      </c>
      <c r="AL497">
        <f t="shared" si="147"/>
        <v>0.23744653846243557</v>
      </c>
      <c r="AM497">
        <f t="shared" si="148"/>
        <v>18.160237906676343</v>
      </c>
      <c r="AO497">
        <f t="shared" si="149"/>
        <v>0.23612444324677509</v>
      </c>
      <c r="AP497">
        <f t="shared" si="150"/>
        <v>17.958569593960586</v>
      </c>
    </row>
    <row r="498" spans="1:42" x14ac:dyDescent="0.2">
      <c r="A498" s="3">
        <v>500</v>
      </c>
      <c r="B498" s="3">
        <v>3.8500000000000002E-7</v>
      </c>
      <c r="C498" s="2">
        <v>2.5819999999999999E-2</v>
      </c>
      <c r="D498" s="3">
        <v>177000</v>
      </c>
      <c r="E498" s="3">
        <v>101000000000</v>
      </c>
      <c r="F498" s="3">
        <v>92200000000</v>
      </c>
      <c r="G498" s="2">
        <v>0</v>
      </c>
      <c r="H498" s="3">
        <v>10200000000</v>
      </c>
      <c r="I498" s="2"/>
      <c r="J498" s="7">
        <f t="shared" si="151"/>
        <v>0.38500000000000001</v>
      </c>
      <c r="K498" s="7">
        <f t="shared" si="152"/>
        <v>25.82</v>
      </c>
      <c r="L498" s="7">
        <f t="shared" si="153"/>
        <v>101</v>
      </c>
      <c r="M498" s="7">
        <f t="shared" si="154"/>
        <v>177</v>
      </c>
      <c r="O498">
        <f t="shared" si="155"/>
        <v>0.27559322033898304</v>
      </c>
      <c r="P498">
        <f t="shared" si="156"/>
        <v>275.59322033898303</v>
      </c>
      <c r="V498">
        <f t="shared" si="140"/>
        <v>770.41946699006814</v>
      </c>
      <c r="W498">
        <f t="shared" si="141"/>
        <v>114.87248673214134</v>
      </c>
      <c r="AE498">
        <f t="shared" si="142"/>
        <v>0.64440368743731991</v>
      </c>
      <c r="AF498">
        <f t="shared" si="143"/>
        <v>0.62940929427236769</v>
      </c>
      <c r="AG498">
        <f t="shared" si="144"/>
        <v>0.63293344876144819</v>
      </c>
      <c r="AI498">
        <f t="shared" si="145"/>
        <v>0.24893815754626658</v>
      </c>
      <c r="AJ498">
        <f t="shared" si="146"/>
        <v>19.792046301741848</v>
      </c>
      <c r="AL498">
        <f t="shared" si="147"/>
        <v>0.25486860160226471</v>
      </c>
      <c r="AM498">
        <f t="shared" si="148"/>
        <v>20.746289250869495</v>
      </c>
      <c r="AO498">
        <f t="shared" si="149"/>
        <v>0.25344950086075718</v>
      </c>
      <c r="AP498">
        <f t="shared" si="150"/>
        <v>20.515902998782028</v>
      </c>
    </row>
    <row r="499" spans="1:42" x14ac:dyDescent="0.2">
      <c r="A499" s="3">
        <v>500</v>
      </c>
      <c r="B499" s="3">
        <v>3.8500000000000002E-7</v>
      </c>
      <c r="C499" s="2">
        <v>2.5870000000000001E-2</v>
      </c>
      <c r="D499" s="3">
        <v>180000</v>
      </c>
      <c r="E499" s="3">
        <v>102000000000</v>
      </c>
      <c r="F499" s="3">
        <v>93500000000</v>
      </c>
      <c r="G499" s="3">
        <v>8250000000</v>
      </c>
      <c r="H499" s="3">
        <v>10100000000</v>
      </c>
      <c r="I499" s="2"/>
      <c r="J499" s="7">
        <f t="shared" si="151"/>
        <v>0.38500000000000001</v>
      </c>
      <c r="K499" s="7">
        <f t="shared" si="152"/>
        <v>25.87</v>
      </c>
      <c r="L499" s="7">
        <f t="shared" si="153"/>
        <v>102</v>
      </c>
      <c r="M499" s="7">
        <f t="shared" si="154"/>
        <v>180</v>
      </c>
      <c r="O499">
        <f t="shared" si="155"/>
        <v>0.27720833333333333</v>
      </c>
      <c r="P499">
        <f t="shared" si="156"/>
        <v>277.20833333333331</v>
      </c>
      <c r="V499">
        <f t="shared" si="140"/>
        <v>772.41646543746663</v>
      </c>
      <c r="W499">
        <f t="shared" si="141"/>
        <v>116.5174540253068</v>
      </c>
      <c r="AE499">
        <f t="shared" si="142"/>
        <v>0.65532578383456253</v>
      </c>
      <c r="AF499">
        <f t="shared" si="143"/>
        <v>0.64007724841257729</v>
      </c>
      <c r="AG499">
        <f t="shared" si="144"/>
        <v>0.64366113433367611</v>
      </c>
      <c r="AI499">
        <f t="shared" si="145"/>
        <v>0.24478918825382887</v>
      </c>
      <c r="AJ499">
        <f t="shared" si="146"/>
        <v>19.174869264486198</v>
      </c>
      <c r="AL499">
        <f t="shared" si="147"/>
        <v>0.25062079157556033</v>
      </c>
      <c r="AM499">
        <f t="shared" si="148"/>
        <v>20.099355975820838</v>
      </c>
      <c r="AO499">
        <f t="shared" si="149"/>
        <v>0.24922534251307787</v>
      </c>
      <c r="AP499">
        <f t="shared" si="150"/>
        <v>19.876153877525255</v>
      </c>
    </row>
    <row r="500" spans="1:42" x14ac:dyDescent="0.2">
      <c r="A500" s="3">
        <v>500</v>
      </c>
      <c r="B500" s="3">
        <v>3.8599999999999999E-7</v>
      </c>
      <c r="C500" s="2">
        <v>2.5930000000000002E-2</v>
      </c>
      <c r="D500" s="3">
        <v>200000</v>
      </c>
      <c r="E500" s="3">
        <v>112000000000</v>
      </c>
      <c r="F500" s="3">
        <v>101000000000</v>
      </c>
      <c r="G500" s="2">
        <v>0</v>
      </c>
      <c r="H500" s="3">
        <v>9710000000</v>
      </c>
      <c r="I500" s="2"/>
      <c r="J500" s="7">
        <f t="shared" si="151"/>
        <v>0.38600000000000001</v>
      </c>
      <c r="K500" s="7">
        <f t="shared" si="152"/>
        <v>25.930000000000003</v>
      </c>
      <c r="L500" s="7">
        <f t="shared" si="153"/>
        <v>112</v>
      </c>
      <c r="M500" s="7">
        <f t="shared" si="154"/>
        <v>200</v>
      </c>
      <c r="O500">
        <f t="shared" si="155"/>
        <v>0.28876250000000003</v>
      </c>
      <c r="P500">
        <f t="shared" si="156"/>
        <v>288.76250000000005</v>
      </c>
      <c r="V500">
        <f t="shared" si="140"/>
        <v>786.51727559997289</v>
      </c>
      <c r="W500">
        <f t="shared" si="141"/>
        <v>127.14278897906951</v>
      </c>
      <c r="AE500">
        <f t="shared" si="142"/>
        <v>0.72813975981618062</v>
      </c>
      <c r="AF500">
        <f t="shared" si="143"/>
        <v>0.71119694268064149</v>
      </c>
      <c r="AG500">
        <f t="shared" si="144"/>
        <v>0.71517903814852901</v>
      </c>
      <c r="AI500">
        <f t="shared" si="145"/>
        <v>0.22088250389449388</v>
      </c>
      <c r="AJ500">
        <f t="shared" si="146"/>
        <v>15.567666471696286</v>
      </c>
      <c r="AL500">
        <f t="shared" si="147"/>
        <v>0.22614457920350559</v>
      </c>
      <c r="AM500">
        <f t="shared" si="148"/>
        <v>16.318237470698023</v>
      </c>
      <c r="AO500">
        <f t="shared" si="149"/>
        <v>0.22488541295855394</v>
      </c>
      <c r="AP500">
        <f t="shared" si="150"/>
        <v>16.137024458284738</v>
      </c>
    </row>
    <row r="501" spans="1:42" x14ac:dyDescent="0.2">
      <c r="A501" s="3">
        <v>500</v>
      </c>
      <c r="B501" s="3">
        <v>3.8700000000000001E-7</v>
      </c>
      <c r="C501" s="2">
        <v>2.598E-2</v>
      </c>
      <c r="D501" s="3">
        <v>176000</v>
      </c>
      <c r="E501" s="3">
        <v>99700000000</v>
      </c>
      <c r="F501" s="3">
        <v>91300000000</v>
      </c>
      <c r="G501" s="2">
        <v>0</v>
      </c>
      <c r="H501" s="3">
        <v>10200000000</v>
      </c>
      <c r="I501" s="2"/>
      <c r="J501" s="7">
        <f t="shared" si="151"/>
        <v>0.38700000000000001</v>
      </c>
      <c r="K501" s="7">
        <f t="shared" si="152"/>
        <v>25.98</v>
      </c>
      <c r="L501" s="7">
        <f t="shared" si="153"/>
        <v>99.7</v>
      </c>
      <c r="M501" s="7">
        <f t="shared" si="154"/>
        <v>176</v>
      </c>
      <c r="O501">
        <f t="shared" si="155"/>
        <v>0.27628977272727273</v>
      </c>
      <c r="P501">
        <f t="shared" si="156"/>
        <v>276.28977272727275</v>
      </c>
      <c r="V501">
        <f t="shared" si="140"/>
        <v>771.28151299051626</v>
      </c>
      <c r="W501">
        <f t="shared" si="141"/>
        <v>114.09582431036702</v>
      </c>
      <c r="AE501">
        <f t="shared" si="142"/>
        <v>0.64076298863823899</v>
      </c>
      <c r="AF501">
        <f t="shared" si="143"/>
        <v>0.62585330955896445</v>
      </c>
      <c r="AG501">
        <f t="shared" si="144"/>
        <v>0.62935755357070555</v>
      </c>
      <c r="AI501">
        <f t="shared" si="145"/>
        <v>0.25165311177334293</v>
      </c>
      <c r="AJ501">
        <f t="shared" si="146"/>
        <v>20.14163883167399</v>
      </c>
      <c r="AL501">
        <f t="shared" si="147"/>
        <v>0.25764823407841697</v>
      </c>
      <c r="AM501">
        <f t="shared" si="148"/>
        <v>21.112736844783889</v>
      </c>
      <c r="AO501">
        <f t="shared" si="149"/>
        <v>0.25621365642652016</v>
      </c>
      <c r="AP501">
        <f t="shared" si="150"/>
        <v>20.878281214952402</v>
      </c>
    </row>
    <row r="502" spans="1:42" x14ac:dyDescent="0.2">
      <c r="A502" s="3">
        <v>500</v>
      </c>
      <c r="B502" s="3">
        <v>3.8799999999999998E-7</v>
      </c>
      <c r="C502" s="2">
        <v>2.6030000000000001E-2</v>
      </c>
      <c r="D502" s="3">
        <v>187000</v>
      </c>
      <c r="E502" s="3">
        <v>105000000000</v>
      </c>
      <c r="F502" s="3">
        <v>96000000000</v>
      </c>
      <c r="G502" s="3">
        <v>13600000000</v>
      </c>
      <c r="H502" s="3">
        <v>9930000000</v>
      </c>
      <c r="I502" s="2"/>
      <c r="J502" s="7">
        <f t="shared" si="151"/>
        <v>0.38799999999999996</v>
      </c>
      <c r="K502" s="7">
        <f t="shared" si="152"/>
        <v>26.03</v>
      </c>
      <c r="L502" s="7">
        <f t="shared" si="153"/>
        <v>105</v>
      </c>
      <c r="M502" s="7">
        <f t="shared" si="154"/>
        <v>187</v>
      </c>
      <c r="O502">
        <f t="shared" si="155"/>
        <v>0.28360160427807479</v>
      </c>
      <c r="P502">
        <f t="shared" si="156"/>
        <v>283.60160427807477</v>
      </c>
      <c r="V502">
        <f t="shared" si="140"/>
        <v>780.25845758337698</v>
      </c>
      <c r="W502">
        <f t="shared" si="141"/>
        <v>119.83208780535232</v>
      </c>
      <c r="AE502">
        <f t="shared" si="142"/>
        <v>0.6808106754281289</v>
      </c>
      <c r="AF502">
        <f t="shared" si="143"/>
        <v>0.66496914140639973</v>
      </c>
      <c r="AG502">
        <f t="shared" si="144"/>
        <v>0.66869240066887459</v>
      </c>
      <c r="AI502">
        <f t="shared" si="145"/>
        <v>0.23746200302309053</v>
      </c>
      <c r="AJ502">
        <f t="shared" si="146"/>
        <v>17.876065945037485</v>
      </c>
      <c r="AL502">
        <f t="shared" si="147"/>
        <v>0.24311905109573068</v>
      </c>
      <c r="AM502">
        <f t="shared" si="148"/>
        <v>18.737932859965412</v>
      </c>
      <c r="AO502">
        <f t="shared" si="149"/>
        <v>0.24176537149959523</v>
      </c>
      <c r="AP502">
        <f t="shared" si="150"/>
        <v>18.529849280715542</v>
      </c>
    </row>
    <row r="503" spans="1:42" x14ac:dyDescent="0.2">
      <c r="A503" s="3">
        <v>500</v>
      </c>
      <c r="B503" s="3">
        <v>3.89E-7</v>
      </c>
      <c r="C503" s="2">
        <v>2.6079999999999999E-2</v>
      </c>
      <c r="D503" s="3">
        <v>192000</v>
      </c>
      <c r="E503" s="3">
        <v>108000000000</v>
      </c>
      <c r="F503" s="3">
        <v>98000000000</v>
      </c>
      <c r="G503" s="3">
        <v>5300000000</v>
      </c>
      <c r="H503" s="3">
        <v>9830000000</v>
      </c>
      <c r="I503" s="2"/>
      <c r="J503" s="7">
        <f t="shared" si="151"/>
        <v>0.38900000000000001</v>
      </c>
      <c r="K503" s="7">
        <f t="shared" si="152"/>
        <v>26.08</v>
      </c>
      <c r="L503" s="7">
        <f t="shared" si="153"/>
        <v>108</v>
      </c>
      <c r="M503" s="7">
        <f t="shared" si="154"/>
        <v>192</v>
      </c>
      <c r="O503">
        <f t="shared" si="155"/>
        <v>0.28712500000000002</v>
      </c>
      <c r="P503">
        <f t="shared" si="156"/>
        <v>287.125</v>
      </c>
      <c r="V503">
        <f t="shared" si="140"/>
        <v>784.53821335137377</v>
      </c>
      <c r="W503">
        <f t="shared" si="141"/>
        <v>122.36497644889626</v>
      </c>
      <c r="AE503">
        <f t="shared" si="142"/>
        <v>0.69901416942353345</v>
      </c>
      <c r="AF503">
        <f t="shared" si="143"/>
        <v>0.68274906497341581</v>
      </c>
      <c r="AG503">
        <f t="shared" si="144"/>
        <v>0.68657187662258778</v>
      </c>
      <c r="AI503">
        <f t="shared" si="145"/>
        <v>0.23187417426316415</v>
      </c>
      <c r="AJ503">
        <f t="shared" si="146"/>
        <v>16.989716135365072</v>
      </c>
      <c r="AL503">
        <f t="shared" si="147"/>
        <v>0.23739810370834324</v>
      </c>
      <c r="AM503">
        <f t="shared" si="148"/>
        <v>17.808849062940403</v>
      </c>
      <c r="AO503">
        <f t="shared" si="149"/>
        <v>0.23607627817594315</v>
      </c>
      <c r="AP503">
        <f t="shared" si="150"/>
        <v>17.611082901484316</v>
      </c>
    </row>
    <row r="504" spans="1:42" x14ac:dyDescent="0.2">
      <c r="A504" s="3">
        <v>500</v>
      </c>
      <c r="B504" s="3">
        <v>3.9000000000000002E-7</v>
      </c>
      <c r="C504" s="2">
        <v>2.613E-2</v>
      </c>
      <c r="D504" s="3">
        <v>183000</v>
      </c>
      <c r="E504" s="3">
        <v>103000000000</v>
      </c>
      <c r="F504" s="3">
        <v>94200000000</v>
      </c>
      <c r="G504" s="3">
        <v>4830000000</v>
      </c>
      <c r="H504" s="3">
        <v>10000000000</v>
      </c>
      <c r="I504" s="2"/>
      <c r="J504" s="7">
        <f t="shared" si="151"/>
        <v>0.39</v>
      </c>
      <c r="K504" s="7">
        <f t="shared" si="152"/>
        <v>26.13</v>
      </c>
      <c r="L504" s="7">
        <f t="shared" si="153"/>
        <v>103</v>
      </c>
      <c r="M504" s="7">
        <f t="shared" si="154"/>
        <v>183</v>
      </c>
      <c r="O504">
        <f t="shared" si="155"/>
        <v>0.28290983606557379</v>
      </c>
      <c r="P504">
        <f t="shared" si="156"/>
        <v>282.90983606557381</v>
      </c>
      <c r="V504">
        <f t="shared" si="140"/>
        <v>779.41471683065174</v>
      </c>
      <c r="W504">
        <f t="shared" si="141"/>
        <v>117.39578176310054</v>
      </c>
      <c r="AE504">
        <f t="shared" si="142"/>
        <v>0.66624788023180526</v>
      </c>
      <c r="AF504">
        <f t="shared" si="143"/>
        <v>0.65074520255278689</v>
      </c>
      <c r="AG504">
        <f t="shared" si="144"/>
        <v>0.65438881990590403</v>
      </c>
      <c r="AI504">
        <f t="shared" si="145"/>
        <v>0.24390321503681478</v>
      </c>
      <c r="AJ504">
        <f t="shared" si="146"/>
        <v>18.737783785606631</v>
      </c>
      <c r="AL504">
        <f t="shared" si="147"/>
        <v>0.24971371185301733</v>
      </c>
      <c r="AM504">
        <f t="shared" si="148"/>
        <v>19.64119709553405</v>
      </c>
      <c r="AO504">
        <f t="shared" si="149"/>
        <v>0.24832331338326691</v>
      </c>
      <c r="AP504">
        <f t="shared" si="150"/>
        <v>19.423082823114868</v>
      </c>
    </row>
    <row r="505" spans="1:42" x14ac:dyDescent="0.2">
      <c r="A505" s="3">
        <v>500</v>
      </c>
      <c r="B505" s="3">
        <v>3.9000000000000002E-7</v>
      </c>
      <c r="C505" s="2">
        <v>2.6190000000000001E-2</v>
      </c>
      <c r="D505" s="3">
        <v>191000</v>
      </c>
      <c r="E505" s="3">
        <v>107000000000</v>
      </c>
      <c r="F505" s="3">
        <v>97300000000</v>
      </c>
      <c r="G505" s="2">
        <v>0</v>
      </c>
      <c r="H505" s="3">
        <v>9860000000</v>
      </c>
      <c r="I505" s="2"/>
      <c r="J505" s="7">
        <f t="shared" si="151"/>
        <v>0.39</v>
      </c>
      <c r="K505" s="7">
        <f t="shared" si="152"/>
        <v>26.19</v>
      </c>
      <c r="L505" s="7">
        <f t="shared" si="153"/>
        <v>107</v>
      </c>
      <c r="M505" s="7">
        <f t="shared" si="154"/>
        <v>191</v>
      </c>
      <c r="O505">
        <f t="shared" si="155"/>
        <v>0.28715968586387436</v>
      </c>
      <c r="P505">
        <f t="shared" si="156"/>
        <v>287.15968586387436</v>
      </c>
      <c r="V505">
        <f t="shared" si="140"/>
        <v>784.58019933497633</v>
      </c>
      <c r="W505">
        <f t="shared" si="141"/>
        <v>121.72114473567831</v>
      </c>
      <c r="AE505">
        <f t="shared" si="142"/>
        <v>0.69537347062445254</v>
      </c>
      <c r="AF505">
        <f t="shared" si="143"/>
        <v>0.67919308026001257</v>
      </c>
      <c r="AG505">
        <f t="shared" si="144"/>
        <v>0.68299598143184514</v>
      </c>
      <c r="AI505">
        <f t="shared" si="145"/>
        <v>0.23368737356930419</v>
      </c>
      <c r="AJ505">
        <f t="shared" si="146"/>
        <v>17.240496036147007</v>
      </c>
      <c r="AL505">
        <f t="shared" si="147"/>
        <v>0.2392544987911108</v>
      </c>
      <c r="AM505">
        <f t="shared" si="148"/>
        <v>18.071719929378734</v>
      </c>
      <c r="AO505">
        <f t="shared" si="149"/>
        <v>0.23792233690648087</v>
      </c>
      <c r="AP505">
        <f t="shared" si="150"/>
        <v>17.871034603296653</v>
      </c>
    </row>
    <row r="506" spans="1:42" x14ac:dyDescent="0.2">
      <c r="A506" s="3">
        <v>500</v>
      </c>
      <c r="B506" s="3">
        <v>3.9099999999999999E-7</v>
      </c>
      <c r="C506" s="2">
        <v>2.6239999999999999E-2</v>
      </c>
      <c r="D506" s="3">
        <v>181000</v>
      </c>
      <c r="E506" s="3">
        <v>102000000000</v>
      </c>
      <c r="F506" s="3">
        <v>93100000000</v>
      </c>
      <c r="G506" s="2">
        <v>0</v>
      </c>
      <c r="H506" s="3">
        <v>10100000000</v>
      </c>
      <c r="I506" s="2"/>
      <c r="J506" s="7">
        <f t="shared" si="151"/>
        <v>0.39100000000000001</v>
      </c>
      <c r="K506" s="7">
        <f t="shared" si="152"/>
        <v>26.24</v>
      </c>
      <c r="L506" s="7">
        <f t="shared" si="153"/>
        <v>102</v>
      </c>
      <c r="M506" s="7">
        <f t="shared" si="154"/>
        <v>181</v>
      </c>
      <c r="O506">
        <f t="shared" si="155"/>
        <v>0.28227071823204419</v>
      </c>
      <c r="P506">
        <f t="shared" si="156"/>
        <v>282.2707182320442</v>
      </c>
      <c r="V506">
        <f t="shared" si="140"/>
        <v>778.63417121749194</v>
      </c>
      <c r="W506">
        <f t="shared" si="141"/>
        <v>116.22916556371001</v>
      </c>
      <c r="AE506">
        <f t="shared" si="142"/>
        <v>0.65896648263364344</v>
      </c>
      <c r="AF506">
        <f t="shared" si="143"/>
        <v>0.64363323312598053</v>
      </c>
      <c r="AG506">
        <f t="shared" si="144"/>
        <v>0.64723702952441875</v>
      </c>
      <c r="AI506">
        <f t="shared" si="145"/>
        <v>0.24723058146379384</v>
      </c>
      <c r="AJ506">
        <f t="shared" si="146"/>
        <v>19.23479995960933</v>
      </c>
      <c r="AL506">
        <f t="shared" si="147"/>
        <v>0.25312034600111838</v>
      </c>
      <c r="AM506">
        <f t="shared" si="148"/>
        <v>20.162176136863046</v>
      </c>
      <c r="AO506">
        <f t="shared" si="149"/>
        <v>0.25171097949444537</v>
      </c>
      <c r="AP506">
        <f t="shared" si="150"/>
        <v>19.938276424585364</v>
      </c>
    </row>
    <row r="507" spans="1:42" x14ac:dyDescent="0.2">
      <c r="A507" s="3">
        <v>510</v>
      </c>
      <c r="B507" s="3">
        <v>3.9200000000000002E-7</v>
      </c>
      <c r="C507" s="2">
        <v>2.6290000000000001E-2</v>
      </c>
      <c r="D507" s="3">
        <v>183000</v>
      </c>
      <c r="E507" s="3">
        <v>103000000000</v>
      </c>
      <c r="F507" s="3">
        <v>93700000000</v>
      </c>
      <c r="G507" s="3">
        <v>3640000000</v>
      </c>
      <c r="H507" s="3">
        <v>10000000000</v>
      </c>
      <c r="I507" s="2"/>
      <c r="J507" s="7">
        <f t="shared" si="151"/>
        <v>0.39200000000000002</v>
      </c>
      <c r="K507" s="7">
        <f t="shared" si="152"/>
        <v>26.29</v>
      </c>
      <c r="L507" s="7">
        <f t="shared" si="153"/>
        <v>103</v>
      </c>
      <c r="M507" s="7">
        <f t="shared" si="154"/>
        <v>183</v>
      </c>
      <c r="O507">
        <f t="shared" si="155"/>
        <v>0.28425409836065574</v>
      </c>
      <c r="P507">
        <f t="shared" si="156"/>
        <v>284.25409836065575</v>
      </c>
      <c r="V507">
        <f t="shared" si="140"/>
        <v>781.05324629021868</v>
      </c>
      <c r="W507">
        <f t="shared" si="141"/>
        <v>117.149503487245</v>
      </c>
      <c r="AE507">
        <f t="shared" si="142"/>
        <v>0.66624788023180526</v>
      </c>
      <c r="AF507">
        <f t="shared" si="143"/>
        <v>0.65074520255278689</v>
      </c>
      <c r="AG507">
        <f t="shared" si="144"/>
        <v>0.65438881990590403</v>
      </c>
      <c r="AI507">
        <f t="shared" si="145"/>
        <v>0.24515400075495228</v>
      </c>
      <c r="AJ507">
        <f t="shared" si="146"/>
        <v>18.85251954548788</v>
      </c>
      <c r="AL507">
        <f t="shared" si="147"/>
        <v>0.25099429499072512</v>
      </c>
      <c r="AM507">
        <f t="shared" si="148"/>
        <v>19.761464662900504</v>
      </c>
      <c r="AO507">
        <f t="shared" si="149"/>
        <v>0.24959676627241187</v>
      </c>
      <c r="AP507">
        <f t="shared" si="150"/>
        <v>19.542014826624182</v>
      </c>
    </row>
    <row r="508" spans="1:42" x14ac:dyDescent="0.2">
      <c r="A508" s="3">
        <v>510</v>
      </c>
      <c r="B508" s="3">
        <v>3.9200000000000002E-7</v>
      </c>
      <c r="C508" s="2">
        <v>2.6339999999999999E-2</v>
      </c>
      <c r="D508" s="3">
        <v>184000</v>
      </c>
      <c r="E508" s="3">
        <v>103000000000</v>
      </c>
      <c r="F508" s="3">
        <v>94100000000</v>
      </c>
      <c r="G508" s="3">
        <v>5280000000</v>
      </c>
      <c r="H508" s="3">
        <v>10000000000</v>
      </c>
      <c r="I508" s="2"/>
      <c r="J508" s="7">
        <f t="shared" si="151"/>
        <v>0.39200000000000002</v>
      </c>
      <c r="K508" s="7">
        <f t="shared" si="152"/>
        <v>26.34</v>
      </c>
      <c r="L508" s="7">
        <f t="shared" si="153"/>
        <v>103</v>
      </c>
      <c r="M508" s="7">
        <f t="shared" si="154"/>
        <v>184</v>
      </c>
      <c r="O508">
        <f t="shared" si="155"/>
        <v>0.28463586956521741</v>
      </c>
      <c r="P508">
        <f t="shared" si="156"/>
        <v>284.63586956521743</v>
      </c>
      <c r="V508">
        <f t="shared" si="140"/>
        <v>781.5178022665915</v>
      </c>
      <c r="W508">
        <f t="shared" si="141"/>
        <v>117.71964724690551</v>
      </c>
      <c r="AE508">
        <f t="shared" si="142"/>
        <v>0.66988857903088617</v>
      </c>
      <c r="AF508">
        <f t="shared" si="143"/>
        <v>0.65430118726619013</v>
      </c>
      <c r="AG508">
        <f t="shared" si="144"/>
        <v>0.65796471509664667</v>
      </c>
      <c r="AI508">
        <f t="shared" si="145"/>
        <v>0.2438216420551971</v>
      </c>
      <c r="AJ508">
        <f t="shared" si="146"/>
        <v>18.683623955603906</v>
      </c>
      <c r="AL508">
        <f t="shared" si="147"/>
        <v>0.24963019556142765</v>
      </c>
      <c r="AM508">
        <f t="shared" si="148"/>
        <v>19.58442603296254</v>
      </c>
      <c r="AO508">
        <f t="shared" si="149"/>
        <v>0.24824026210788788</v>
      </c>
      <c r="AP508">
        <f t="shared" si="150"/>
        <v>19.366942199663082</v>
      </c>
    </row>
    <row r="509" spans="1:42" x14ac:dyDescent="0.2">
      <c r="A509" s="3">
        <v>510</v>
      </c>
      <c r="B509" s="3">
        <v>3.9299999999999999E-7</v>
      </c>
      <c r="C509" s="2">
        <v>2.639E-2</v>
      </c>
      <c r="D509" s="3">
        <v>193000</v>
      </c>
      <c r="E509" s="3">
        <v>107000000000</v>
      </c>
      <c r="F509" s="3">
        <v>97600000000</v>
      </c>
      <c r="G509" s="3">
        <v>4210000000</v>
      </c>
      <c r="H509" s="3">
        <v>9830000000</v>
      </c>
      <c r="I509" s="2"/>
      <c r="J509" s="7">
        <f t="shared" si="151"/>
        <v>0.39299999999999996</v>
      </c>
      <c r="K509" s="7">
        <f t="shared" si="152"/>
        <v>26.39</v>
      </c>
      <c r="L509" s="7">
        <f t="shared" si="153"/>
        <v>107</v>
      </c>
      <c r="M509" s="7">
        <f t="shared" si="154"/>
        <v>193</v>
      </c>
      <c r="O509">
        <f t="shared" si="155"/>
        <v>0.29044818652849735</v>
      </c>
      <c r="P509">
        <f t="shared" si="156"/>
        <v>290.44818652849733</v>
      </c>
      <c r="V509">
        <f t="shared" si="140"/>
        <v>788.54805683124891</v>
      </c>
      <c r="W509">
        <f t="shared" si="141"/>
        <v>122.37681541919164</v>
      </c>
      <c r="AE509">
        <f t="shared" si="142"/>
        <v>0.70265486822261436</v>
      </c>
      <c r="AF509">
        <f t="shared" si="143"/>
        <v>0.68630504968681894</v>
      </c>
      <c r="AG509">
        <f t="shared" si="144"/>
        <v>0.69014777181333054</v>
      </c>
      <c r="AI509">
        <f t="shared" si="145"/>
        <v>0.23304471000707688</v>
      </c>
      <c r="AJ509">
        <f t="shared" si="146"/>
        <v>17.013974018712123</v>
      </c>
      <c r="AL509">
        <f t="shared" si="147"/>
        <v>0.23859652507980803</v>
      </c>
      <c r="AM509">
        <f t="shared" si="148"/>
        <v>17.83427650267349</v>
      </c>
      <c r="AO509">
        <f t="shared" si="149"/>
        <v>0.23726802677309911</v>
      </c>
      <c r="AP509">
        <f t="shared" si="150"/>
        <v>17.636227971080277</v>
      </c>
    </row>
    <row r="510" spans="1:42" x14ac:dyDescent="0.2">
      <c r="A510" s="3">
        <v>510</v>
      </c>
      <c r="B510" s="3">
        <v>3.9400000000000001E-7</v>
      </c>
      <c r="C510" s="2">
        <v>2.6450000000000001E-2</v>
      </c>
      <c r="D510" s="3">
        <v>195000</v>
      </c>
      <c r="E510" s="3">
        <v>109000000000</v>
      </c>
      <c r="F510" s="3">
        <v>98600000000</v>
      </c>
      <c r="G510" s="3">
        <v>4910000000</v>
      </c>
      <c r="H510" s="3">
        <v>9780000000</v>
      </c>
      <c r="I510" s="2"/>
      <c r="J510" s="7">
        <f t="shared" si="151"/>
        <v>0.39400000000000002</v>
      </c>
      <c r="K510" s="7">
        <f t="shared" si="152"/>
        <v>26.450000000000003</v>
      </c>
      <c r="L510" s="7">
        <f t="shared" si="153"/>
        <v>109</v>
      </c>
      <c r="M510" s="7">
        <f t="shared" si="154"/>
        <v>195</v>
      </c>
      <c r="O510">
        <f t="shared" si="155"/>
        <v>0.29226923076923078</v>
      </c>
      <c r="P510">
        <f t="shared" si="156"/>
        <v>292.26923076923077</v>
      </c>
      <c r="V510">
        <f t="shared" si="140"/>
        <v>790.73454341630179</v>
      </c>
      <c r="W510">
        <f t="shared" si="141"/>
        <v>123.30307409963335</v>
      </c>
      <c r="AE510">
        <f t="shared" si="142"/>
        <v>0.70993626582077607</v>
      </c>
      <c r="AF510">
        <f t="shared" si="143"/>
        <v>0.69341701911362541</v>
      </c>
      <c r="AG510">
        <f t="shared" si="144"/>
        <v>0.69729956219481581</v>
      </c>
      <c r="AI510">
        <f t="shared" si="145"/>
        <v>0.23124141499782275</v>
      </c>
      <c r="AJ510">
        <f t="shared" si="146"/>
        <v>16.704652542314445</v>
      </c>
      <c r="AL510">
        <f t="shared" si="147"/>
        <v>0.23675027024360623</v>
      </c>
      <c r="AM510">
        <f t="shared" si="148"/>
        <v>17.510041568952278</v>
      </c>
      <c r="AO510">
        <f t="shared" si="149"/>
        <v>0.23543205182853791</v>
      </c>
      <c r="AP510">
        <f t="shared" si="150"/>
        <v>17.315593646136506</v>
      </c>
    </row>
    <row r="511" spans="1:42" x14ac:dyDescent="0.2">
      <c r="A511" s="3">
        <v>510</v>
      </c>
      <c r="B511" s="3">
        <v>3.9499999999999998E-7</v>
      </c>
      <c r="C511" s="2">
        <v>2.6499999999999999E-2</v>
      </c>
      <c r="D511" s="3">
        <v>191000</v>
      </c>
      <c r="E511" s="3">
        <v>106000000000</v>
      </c>
      <c r="F511" s="3">
        <v>96800000000</v>
      </c>
      <c r="G511" s="3">
        <v>5890000000</v>
      </c>
      <c r="H511" s="3">
        <v>9850000000</v>
      </c>
      <c r="I511" s="2"/>
      <c r="J511" s="7">
        <f t="shared" si="151"/>
        <v>0.39499999999999996</v>
      </c>
      <c r="K511" s="7">
        <f t="shared" si="152"/>
        <v>26.5</v>
      </c>
      <c r="L511" s="7">
        <f t="shared" si="153"/>
        <v>106</v>
      </c>
      <c r="M511" s="7">
        <f t="shared" si="154"/>
        <v>191</v>
      </c>
      <c r="O511">
        <f t="shared" si="155"/>
        <v>0.29094240837696328</v>
      </c>
      <c r="P511">
        <f t="shared" si="156"/>
        <v>290.94240837696327</v>
      </c>
      <c r="V511">
        <f t="shared" si="140"/>
        <v>789.14221093638639</v>
      </c>
      <c r="W511">
        <f t="shared" si="141"/>
        <v>121.01747780882343</v>
      </c>
      <c r="AE511">
        <f t="shared" si="142"/>
        <v>0.69537347062445254</v>
      </c>
      <c r="AF511">
        <f t="shared" si="143"/>
        <v>0.67919308026001257</v>
      </c>
      <c r="AG511">
        <f t="shared" si="144"/>
        <v>0.68299598143184514</v>
      </c>
      <c r="AI511">
        <f t="shared" si="145"/>
        <v>0.2366833655381414</v>
      </c>
      <c r="AJ511">
        <f t="shared" si="146"/>
        <v>17.444564526838324</v>
      </c>
      <c r="AL511">
        <f t="shared" si="147"/>
        <v>0.24232186416022758</v>
      </c>
      <c r="AM511">
        <f t="shared" si="148"/>
        <v>18.285627267221706</v>
      </c>
      <c r="AO511">
        <f t="shared" si="149"/>
        <v>0.24097262327707675</v>
      </c>
      <c r="AP511">
        <f t="shared" si="150"/>
        <v>18.08256651345404</v>
      </c>
    </row>
    <row r="512" spans="1:42" x14ac:dyDescent="0.2">
      <c r="A512" s="3">
        <v>510</v>
      </c>
      <c r="B512" s="3">
        <v>3.96E-7</v>
      </c>
      <c r="C512" s="2">
        <v>2.6550000000000001E-2</v>
      </c>
      <c r="D512" s="3">
        <v>193000</v>
      </c>
      <c r="E512" s="3">
        <v>107000000000</v>
      </c>
      <c r="F512" s="3">
        <v>97300000000</v>
      </c>
      <c r="G512" s="3">
        <v>6660000000</v>
      </c>
      <c r="H512" s="3">
        <v>9800000000</v>
      </c>
      <c r="I512" s="2"/>
      <c r="J512" s="7">
        <f t="shared" si="151"/>
        <v>0.39600000000000002</v>
      </c>
      <c r="K512" s="7">
        <f t="shared" si="152"/>
        <v>26.55</v>
      </c>
      <c r="L512" s="7">
        <f t="shared" si="153"/>
        <v>107</v>
      </c>
      <c r="M512" s="7">
        <f t="shared" si="154"/>
        <v>193</v>
      </c>
      <c r="O512">
        <f t="shared" si="155"/>
        <v>0.29282642487046634</v>
      </c>
      <c r="P512">
        <f t="shared" si="156"/>
        <v>292.82642487046633</v>
      </c>
      <c r="V512">
        <f t="shared" si="140"/>
        <v>791.40203692534101</v>
      </c>
      <c r="W512">
        <f t="shared" si="141"/>
        <v>121.9354961163735</v>
      </c>
      <c r="AE512">
        <f t="shared" si="142"/>
        <v>0.70265486822261436</v>
      </c>
      <c r="AF512">
        <f t="shared" si="143"/>
        <v>0.68630504968681894</v>
      </c>
      <c r="AG512">
        <f t="shared" si="144"/>
        <v>0.69014777181333054</v>
      </c>
      <c r="AI512">
        <f t="shared" si="145"/>
        <v>0.23482367725903935</v>
      </c>
      <c r="AJ512">
        <f t="shared" si="146"/>
        <v>17.117128086275365</v>
      </c>
      <c r="AL512">
        <f t="shared" si="147"/>
        <v>0.24041787259950126</v>
      </c>
      <c r="AM512">
        <f t="shared" si="148"/>
        <v>17.942403984311522</v>
      </c>
      <c r="AO512">
        <f t="shared" si="149"/>
        <v>0.23907923308434414</v>
      </c>
      <c r="AP512">
        <f t="shared" si="150"/>
        <v>17.743154703758293</v>
      </c>
    </row>
    <row r="513" spans="1:42" x14ac:dyDescent="0.2">
      <c r="A513" s="3">
        <v>510</v>
      </c>
      <c r="B513" s="3">
        <v>3.9799999999999999E-7</v>
      </c>
      <c r="C513" s="2">
        <v>2.6599999999999999E-2</v>
      </c>
      <c r="D513" s="3">
        <v>204000</v>
      </c>
      <c r="E513" s="3">
        <v>112000000000</v>
      </c>
      <c r="F513" s="3">
        <v>102000000000</v>
      </c>
      <c r="G513" s="3">
        <v>504000000</v>
      </c>
      <c r="H513" s="3">
        <v>9580000000</v>
      </c>
      <c r="I513" s="2"/>
      <c r="J513" s="7">
        <f t="shared" si="151"/>
        <v>0.39799999999999996</v>
      </c>
      <c r="K513" s="7">
        <f t="shared" si="152"/>
        <v>26.599999999999998</v>
      </c>
      <c r="L513" s="7">
        <f t="shared" si="153"/>
        <v>112</v>
      </c>
      <c r="M513" s="7">
        <f t="shared" si="154"/>
        <v>204</v>
      </c>
      <c r="O513">
        <f t="shared" si="155"/>
        <v>0.30020588235294116</v>
      </c>
      <c r="P513">
        <f t="shared" si="156"/>
        <v>300.20588235294116</v>
      </c>
      <c r="V513">
        <f t="shared" si="140"/>
        <v>800.17639750137505</v>
      </c>
      <c r="W513">
        <f t="shared" si="141"/>
        <v>127.47189284575808</v>
      </c>
      <c r="AE513">
        <f t="shared" si="142"/>
        <v>0.74270255501250426</v>
      </c>
      <c r="AF513">
        <f t="shared" si="143"/>
        <v>0.72542088153425421</v>
      </c>
      <c r="AG513">
        <f t="shared" si="144"/>
        <v>0.72948261891149957</v>
      </c>
      <c r="AI513">
        <f t="shared" si="145"/>
        <v>0.22328364459516545</v>
      </c>
      <c r="AJ513">
        <f t="shared" si="146"/>
        <v>15.349784930501571</v>
      </c>
      <c r="AL513">
        <f t="shared" si="147"/>
        <v>0.22860292218580519</v>
      </c>
      <c r="AM513">
        <f t="shared" si="148"/>
        <v>16.089851107452048</v>
      </c>
      <c r="AO513">
        <f t="shared" si="149"/>
        <v>0.22733006796074484</v>
      </c>
      <c r="AP513">
        <f t="shared" si="150"/>
        <v>15.911174311401114</v>
      </c>
    </row>
    <row r="514" spans="1:42" x14ac:dyDescent="0.2">
      <c r="A514" s="3">
        <v>510</v>
      </c>
      <c r="B514" s="3">
        <v>3.9900000000000001E-7</v>
      </c>
      <c r="C514" s="2">
        <v>2.666E-2</v>
      </c>
      <c r="D514" s="3">
        <v>181000</v>
      </c>
      <c r="E514" s="3">
        <v>101000000000</v>
      </c>
      <c r="F514" s="3">
        <v>92000000000</v>
      </c>
      <c r="G514" s="3">
        <v>5040000000</v>
      </c>
      <c r="H514" s="3">
        <v>10000000000</v>
      </c>
      <c r="I514" s="2"/>
      <c r="J514" s="7">
        <f t="shared" si="151"/>
        <v>0.39900000000000002</v>
      </c>
      <c r="K514" s="7">
        <f t="shared" si="152"/>
        <v>26.66</v>
      </c>
      <c r="L514" s="7">
        <f t="shared" si="153"/>
        <v>101</v>
      </c>
      <c r="M514" s="7">
        <f t="shared" si="154"/>
        <v>181</v>
      </c>
      <c r="O514">
        <f t="shared" si="155"/>
        <v>0.28853038674033149</v>
      </c>
      <c r="P514">
        <f t="shared" si="156"/>
        <v>288.53038674033149</v>
      </c>
      <c r="V514">
        <f t="shared" si="140"/>
        <v>786.23712729084696</v>
      </c>
      <c r="W514">
        <f t="shared" si="141"/>
        <v>115.10522316827961</v>
      </c>
      <c r="AE514">
        <f t="shared" si="142"/>
        <v>0.65896648263364344</v>
      </c>
      <c r="AF514">
        <f t="shared" si="143"/>
        <v>0.64363323312598053</v>
      </c>
      <c r="AG514">
        <f t="shared" si="144"/>
        <v>0.64723702952441875</v>
      </c>
      <c r="AI514">
        <f t="shared" si="145"/>
        <v>0.25228900768300189</v>
      </c>
      <c r="AJ514">
        <f t="shared" si="146"/>
        <v>19.542674044328688</v>
      </c>
      <c r="AL514">
        <f t="shared" si="147"/>
        <v>0.25829927891162718</v>
      </c>
      <c r="AM514">
        <f t="shared" si="148"/>
        <v>20.484893895151252</v>
      </c>
      <c r="AO514">
        <f t="shared" si="149"/>
        <v>0.25686107626159516</v>
      </c>
      <c r="AP514">
        <f t="shared" si="150"/>
        <v>20.25741042223498</v>
      </c>
    </row>
    <row r="515" spans="1:42" x14ac:dyDescent="0.2">
      <c r="A515" s="3">
        <v>510</v>
      </c>
      <c r="B515" s="3">
        <v>3.9999999999999998E-7</v>
      </c>
      <c r="C515" s="2">
        <v>2.6710000000000001E-2</v>
      </c>
      <c r="D515" s="3">
        <v>169000</v>
      </c>
      <c r="E515" s="3">
        <v>94700000000</v>
      </c>
      <c r="F515" s="3">
        <v>87000000000</v>
      </c>
      <c r="G515" s="2">
        <v>0</v>
      </c>
      <c r="H515" s="3">
        <v>10300000000</v>
      </c>
      <c r="I515" s="2"/>
      <c r="J515" s="7">
        <f t="shared" si="151"/>
        <v>0.39999999999999997</v>
      </c>
      <c r="K515" s="7">
        <f t="shared" si="152"/>
        <v>26.71</v>
      </c>
      <c r="L515" s="7">
        <f t="shared" si="153"/>
        <v>94.7</v>
      </c>
      <c r="M515" s="7">
        <f t="shared" si="154"/>
        <v>169</v>
      </c>
      <c r="O515">
        <f t="shared" si="155"/>
        <v>0.28146449704142007</v>
      </c>
      <c r="P515">
        <f t="shared" si="156"/>
        <v>281.46449704142009</v>
      </c>
      <c r="V515">
        <f t="shared" si="140"/>
        <v>777.64813924889165</v>
      </c>
      <c r="W515">
        <f t="shared" si="141"/>
        <v>108.66096854756981</v>
      </c>
      <c r="AE515">
        <f t="shared" si="142"/>
        <v>0.61527809704467262</v>
      </c>
      <c r="AF515">
        <f t="shared" si="143"/>
        <v>0.60096141656514201</v>
      </c>
      <c r="AG515">
        <f t="shared" si="144"/>
        <v>0.60432628723550696</v>
      </c>
      <c r="AI515">
        <f t="shared" si="145"/>
        <v>0.27088022061439598</v>
      </c>
      <c r="AJ515">
        <f t="shared" si="146"/>
        <v>22.458537514384453</v>
      </c>
      <c r="AL515">
        <f t="shared" si="147"/>
        <v>0.27733338958641884</v>
      </c>
      <c r="AM515">
        <f t="shared" si="148"/>
        <v>23.541341219675608</v>
      </c>
      <c r="AO515">
        <f t="shared" si="149"/>
        <v>0.27578920557813891</v>
      </c>
      <c r="AP515">
        <f t="shared" si="150"/>
        <v>23.279916089276153</v>
      </c>
    </row>
    <row r="516" spans="1:42" x14ac:dyDescent="0.2">
      <c r="A516" s="3">
        <v>510</v>
      </c>
      <c r="B516" s="3">
        <v>3.9999999999999998E-7</v>
      </c>
      <c r="C516" s="2">
        <v>2.6759999999999999E-2</v>
      </c>
      <c r="D516" s="3">
        <v>192000</v>
      </c>
      <c r="E516" s="3">
        <v>106000000000</v>
      </c>
      <c r="F516" s="3">
        <v>96300000000</v>
      </c>
      <c r="G516" s="3">
        <v>5080000000</v>
      </c>
      <c r="H516" s="3">
        <v>9800000000</v>
      </c>
      <c r="I516" s="2"/>
      <c r="J516" s="7">
        <f t="shared" si="151"/>
        <v>0.39999999999999997</v>
      </c>
      <c r="K516" s="7">
        <f t="shared" si="152"/>
        <v>26.759999999999998</v>
      </c>
      <c r="L516" s="7">
        <f t="shared" si="153"/>
        <v>106</v>
      </c>
      <c r="M516" s="7">
        <f t="shared" si="154"/>
        <v>192</v>
      </c>
      <c r="O516">
        <f t="shared" si="155"/>
        <v>0.29546874999999995</v>
      </c>
      <c r="P516">
        <f t="shared" si="156"/>
        <v>295.46874999999994</v>
      </c>
      <c r="V516">
        <f t="shared" si="140"/>
        <v>794.55783235286003</v>
      </c>
      <c r="W516">
        <f t="shared" si="141"/>
        <v>120.82191640566042</v>
      </c>
      <c r="AE516">
        <f t="shared" si="142"/>
        <v>0.69901416942353345</v>
      </c>
      <c r="AF516">
        <f t="shared" si="143"/>
        <v>0.68274906497341581</v>
      </c>
      <c r="AG516">
        <f t="shared" si="144"/>
        <v>0.68657187662258778</v>
      </c>
      <c r="AI516">
        <f t="shared" si="145"/>
        <v>0.23843102751996309</v>
      </c>
      <c r="AJ516">
        <f t="shared" si="146"/>
        <v>17.432699531532563</v>
      </c>
      <c r="AL516">
        <f t="shared" si="147"/>
        <v>0.24411116062554572</v>
      </c>
      <c r="AM516">
        <f t="shared" si="148"/>
        <v>18.273190219489461</v>
      </c>
      <c r="AO516">
        <f t="shared" si="149"/>
        <v>0.24275195699325769</v>
      </c>
      <c r="AP516">
        <f t="shared" si="150"/>
        <v>18.070267578363506</v>
      </c>
    </row>
    <row r="517" spans="1:42" x14ac:dyDescent="0.2">
      <c r="A517" s="3">
        <v>520</v>
      </c>
      <c r="B517" s="3">
        <v>4.01E-7</v>
      </c>
      <c r="C517" s="2">
        <v>2.681E-2</v>
      </c>
      <c r="D517" s="3">
        <v>196000</v>
      </c>
      <c r="E517" s="3">
        <v>108000000000</v>
      </c>
      <c r="F517" s="3">
        <v>98100000000</v>
      </c>
      <c r="G517" s="3">
        <v>7880000000</v>
      </c>
      <c r="H517" s="3">
        <v>9700000000</v>
      </c>
      <c r="I517" s="2"/>
      <c r="J517" s="7">
        <f t="shared" si="151"/>
        <v>0.40100000000000002</v>
      </c>
      <c r="K517" s="7">
        <f t="shared" si="152"/>
        <v>26.810000000000002</v>
      </c>
      <c r="L517" s="7">
        <f t="shared" si="153"/>
        <v>108</v>
      </c>
      <c r="M517" s="7">
        <f t="shared" si="154"/>
        <v>196</v>
      </c>
      <c r="O517">
        <f t="shared" si="155"/>
        <v>0.29841071428571431</v>
      </c>
      <c r="P517">
        <f t="shared" si="156"/>
        <v>298.41071428571433</v>
      </c>
      <c r="V517">
        <f t="shared" ref="V517:V580" si="157">$S$3*(P517^$S$4)</f>
        <v>798.0530558941598</v>
      </c>
      <c r="W517">
        <f t="shared" ref="W517:W580" si="158">M517/(2*(V517/1000))</f>
        <v>122.79885312912963</v>
      </c>
      <c r="AE517">
        <f t="shared" si="142"/>
        <v>0.71357696461985698</v>
      </c>
      <c r="AF517">
        <f t="shared" si="143"/>
        <v>0.69697300382702865</v>
      </c>
      <c r="AG517">
        <f t="shared" si="144"/>
        <v>0.70087545738555845</v>
      </c>
      <c r="AI517">
        <f t="shared" si="145"/>
        <v>0.23414900090327811</v>
      </c>
      <c r="AJ517">
        <f t="shared" si="146"/>
        <v>16.759677767401577</v>
      </c>
      <c r="AL517">
        <f t="shared" si="147"/>
        <v>0.23972712345512781</v>
      </c>
      <c r="AM517">
        <f t="shared" si="148"/>
        <v>17.567719750295826</v>
      </c>
      <c r="AO517">
        <f t="shared" si="149"/>
        <v>0.23839233001052162</v>
      </c>
      <c r="AP517">
        <f t="shared" si="150"/>
        <v>17.372631314862772</v>
      </c>
    </row>
    <row r="518" spans="1:42" x14ac:dyDescent="0.2">
      <c r="A518" s="3">
        <v>520</v>
      </c>
      <c r="B518" s="3">
        <v>4.0200000000000003E-7</v>
      </c>
      <c r="C518" s="2">
        <v>2.6859999999999998E-2</v>
      </c>
      <c r="D518" s="3">
        <v>194000</v>
      </c>
      <c r="E518" s="3">
        <v>107000000000</v>
      </c>
      <c r="F518" s="3">
        <v>97100000000</v>
      </c>
      <c r="G518" s="3">
        <v>6660000000</v>
      </c>
      <c r="H518" s="3">
        <v>9730000000</v>
      </c>
      <c r="I518" s="2"/>
      <c r="J518" s="7">
        <f t="shared" si="151"/>
        <v>0.40200000000000002</v>
      </c>
      <c r="K518" s="7">
        <f t="shared" si="152"/>
        <v>26.86</v>
      </c>
      <c r="L518" s="7">
        <f t="shared" si="153"/>
        <v>107</v>
      </c>
      <c r="M518" s="7">
        <f t="shared" si="154"/>
        <v>194</v>
      </c>
      <c r="O518">
        <f t="shared" si="155"/>
        <v>0.29815979381443303</v>
      </c>
      <c r="P518">
        <f t="shared" si="156"/>
        <v>298.15979381443304</v>
      </c>
      <c r="V518">
        <f t="shared" si="157"/>
        <v>797.75569865813702</v>
      </c>
      <c r="W518">
        <f t="shared" si="158"/>
        <v>121.5911088609691</v>
      </c>
      <c r="AE518">
        <f t="shared" si="142"/>
        <v>0.70629556702169527</v>
      </c>
      <c r="AF518">
        <f t="shared" si="143"/>
        <v>0.68986103440022217</v>
      </c>
      <c r="AG518">
        <f t="shared" si="144"/>
        <v>0.69372366700407317</v>
      </c>
      <c r="AI518">
        <f t="shared" si="145"/>
        <v>0.23715284056830971</v>
      </c>
      <c r="AJ518">
        <f t="shared" si="146"/>
        <v>17.138923549117361</v>
      </c>
      <c r="AL518">
        <f t="shared" si="147"/>
        <v>0.24280252347580059</v>
      </c>
      <c r="AM518">
        <f t="shared" si="148"/>
        <v>17.965250281737411</v>
      </c>
      <c r="AO518">
        <f t="shared" si="149"/>
        <v>0.24145060629597426</v>
      </c>
      <c r="AP518">
        <f t="shared" si="150"/>
        <v>17.765747294471897</v>
      </c>
    </row>
    <row r="519" spans="1:42" x14ac:dyDescent="0.2">
      <c r="A519" s="3">
        <v>520</v>
      </c>
      <c r="B519" s="3">
        <v>4.03E-7</v>
      </c>
      <c r="C519" s="2">
        <v>2.6919999999999999E-2</v>
      </c>
      <c r="D519" s="3">
        <v>176000</v>
      </c>
      <c r="E519" s="3">
        <v>97900000000</v>
      </c>
      <c r="F519" s="3">
        <v>89700000000</v>
      </c>
      <c r="G519" s="3">
        <v>2010000000</v>
      </c>
      <c r="H519" s="3">
        <v>10100000000</v>
      </c>
      <c r="I519" s="2"/>
      <c r="J519" s="7">
        <f t="shared" si="151"/>
        <v>0.40299999999999997</v>
      </c>
      <c r="K519" s="7">
        <f t="shared" si="152"/>
        <v>26.919999999999998</v>
      </c>
      <c r="L519" s="7">
        <f t="shared" si="153"/>
        <v>97.9</v>
      </c>
      <c r="M519" s="7">
        <f t="shared" si="154"/>
        <v>176</v>
      </c>
      <c r="O519">
        <f t="shared" si="155"/>
        <v>0.28828409090909091</v>
      </c>
      <c r="P519">
        <f t="shared" si="156"/>
        <v>288.28409090909088</v>
      </c>
      <c r="V519">
        <f t="shared" si="157"/>
        <v>785.93972407505316</v>
      </c>
      <c r="W519">
        <f t="shared" si="158"/>
        <v>111.96787400403298</v>
      </c>
      <c r="AE519">
        <f t="shared" si="142"/>
        <v>0.64076298863823899</v>
      </c>
      <c r="AF519">
        <f t="shared" si="143"/>
        <v>0.62585330955896445</v>
      </c>
      <c r="AG519">
        <f t="shared" si="144"/>
        <v>0.62935755357070555</v>
      </c>
      <c r="AI519">
        <f t="shared" si="145"/>
        <v>0.26205737479239583</v>
      </c>
      <c r="AJ519">
        <f t="shared" si="146"/>
        <v>20.870397126584443</v>
      </c>
      <c r="AL519">
        <f t="shared" si="147"/>
        <v>0.26830035745116804</v>
      </c>
      <c r="AM519">
        <f t="shared" si="148"/>
        <v>21.876631095518945</v>
      </c>
      <c r="AO519">
        <f t="shared" si="149"/>
        <v>0.26680646909531686</v>
      </c>
      <c r="AP519">
        <f t="shared" si="150"/>
        <v>21.633692467533432</v>
      </c>
    </row>
    <row r="520" spans="1:42" x14ac:dyDescent="0.2">
      <c r="A520" s="3">
        <v>520</v>
      </c>
      <c r="B520" s="3">
        <v>4.0400000000000002E-7</v>
      </c>
      <c r="C520" s="2">
        <v>2.6970000000000001E-2</v>
      </c>
      <c r="D520" s="3">
        <v>179000</v>
      </c>
      <c r="E520" s="3">
        <v>99000000000</v>
      </c>
      <c r="F520" s="3">
        <v>90600000000</v>
      </c>
      <c r="G520" s="3">
        <v>8650000000</v>
      </c>
      <c r="H520" s="3">
        <v>10100000000</v>
      </c>
      <c r="I520" s="2"/>
      <c r="J520" s="7">
        <f t="shared" si="151"/>
        <v>0.40400000000000003</v>
      </c>
      <c r="K520" s="7">
        <f t="shared" si="152"/>
        <v>26.970000000000002</v>
      </c>
      <c r="L520" s="7">
        <f t="shared" si="153"/>
        <v>99</v>
      </c>
      <c r="M520" s="7">
        <f t="shared" si="154"/>
        <v>179</v>
      </c>
      <c r="O520">
        <f t="shared" si="155"/>
        <v>0.2909972067039106</v>
      </c>
      <c r="P520">
        <f t="shared" si="156"/>
        <v>290.99720670391059</v>
      </c>
      <c r="V520">
        <f t="shared" si="157"/>
        <v>789.20805492001864</v>
      </c>
      <c r="W520">
        <f t="shared" si="158"/>
        <v>113.40482328081443</v>
      </c>
      <c r="AE520">
        <f t="shared" si="142"/>
        <v>0.65168508503548161</v>
      </c>
      <c r="AF520">
        <f t="shared" si="143"/>
        <v>0.63652126369917406</v>
      </c>
      <c r="AG520">
        <f t="shared" si="144"/>
        <v>0.64008523914293347</v>
      </c>
      <c r="AI520">
        <f t="shared" si="145"/>
        <v>0.25830471986967185</v>
      </c>
      <c r="AJ520">
        <f t="shared" si="146"/>
        <v>20.214168314820455</v>
      </c>
      <c r="AL520">
        <f t="shared" si="147"/>
        <v>0.26445830317601027</v>
      </c>
      <c r="AM520">
        <f t="shared" si="148"/>
        <v>21.188763224958638</v>
      </c>
      <c r="AO520">
        <f t="shared" si="149"/>
        <v>0.26298580726331022</v>
      </c>
      <c r="AP520">
        <f t="shared" si="150"/>
        <v>20.953463326902774</v>
      </c>
    </row>
    <row r="521" spans="1:42" x14ac:dyDescent="0.2">
      <c r="A521" s="3">
        <v>520</v>
      </c>
      <c r="B521" s="3">
        <v>4.0499999999999999E-7</v>
      </c>
      <c r="C521" s="2">
        <v>2.7019999999999999E-2</v>
      </c>
      <c r="D521" s="3">
        <v>218000</v>
      </c>
      <c r="E521" s="3">
        <v>119000000000</v>
      </c>
      <c r="F521" s="3">
        <v>107000000000</v>
      </c>
      <c r="G521" s="3">
        <v>1620000000</v>
      </c>
      <c r="H521" s="3">
        <v>9360000000</v>
      </c>
      <c r="I521" s="2"/>
      <c r="J521" s="7">
        <f t="shared" si="151"/>
        <v>0.40499999999999997</v>
      </c>
      <c r="K521" s="7">
        <f t="shared" si="152"/>
        <v>27.02</v>
      </c>
      <c r="L521" s="7">
        <f t="shared" si="153"/>
        <v>119.00000000000001</v>
      </c>
      <c r="M521" s="7">
        <f t="shared" si="154"/>
        <v>218</v>
      </c>
      <c r="O521">
        <f t="shared" si="155"/>
        <v>0.31204128440366968</v>
      </c>
      <c r="P521">
        <f t="shared" si="156"/>
        <v>312.04128440366969</v>
      </c>
      <c r="V521">
        <f t="shared" si="157"/>
        <v>814.00169544184382</v>
      </c>
      <c r="W521">
        <f t="shared" si="158"/>
        <v>133.90635499946262</v>
      </c>
      <c r="AE521">
        <f t="shared" si="142"/>
        <v>0.7936723381996369</v>
      </c>
      <c r="AF521">
        <f t="shared" si="143"/>
        <v>0.7752046675218992</v>
      </c>
      <c r="AG521">
        <f t="shared" si="144"/>
        <v>0.77954515158189663</v>
      </c>
      <c r="AI521">
        <f t="shared" si="145"/>
        <v>0.21261922821046253</v>
      </c>
      <c r="AJ521">
        <f t="shared" si="146"/>
        <v>13.653794136799181</v>
      </c>
      <c r="AL521">
        <f t="shared" si="147"/>
        <v>0.21768444782388116</v>
      </c>
      <c r="AM521">
        <f t="shared" si="148"/>
        <v>14.31209073661738</v>
      </c>
      <c r="AO521">
        <f t="shared" si="149"/>
        <v>0.21647238733710686</v>
      </c>
      <c r="AP521">
        <f t="shared" si="150"/>
        <v>14.153155858940067</v>
      </c>
    </row>
    <row r="522" spans="1:42" x14ac:dyDescent="0.2">
      <c r="A522" s="3">
        <v>520</v>
      </c>
      <c r="B522" s="3">
        <v>4.0499999999999999E-7</v>
      </c>
      <c r="C522" s="2">
        <v>2.707E-2</v>
      </c>
      <c r="D522" s="3">
        <v>200000</v>
      </c>
      <c r="E522" s="3">
        <v>109000000000</v>
      </c>
      <c r="F522" s="3">
        <v>99100000000</v>
      </c>
      <c r="G522" s="3">
        <v>3270000000</v>
      </c>
      <c r="H522" s="3">
        <v>9630000000</v>
      </c>
      <c r="I522" s="2"/>
      <c r="J522" s="7">
        <f t="shared" si="151"/>
        <v>0.40499999999999997</v>
      </c>
      <c r="K522" s="7">
        <f t="shared" si="152"/>
        <v>27.07</v>
      </c>
      <c r="L522" s="7">
        <f t="shared" si="153"/>
        <v>109</v>
      </c>
      <c r="M522" s="7">
        <f t="shared" si="154"/>
        <v>200</v>
      </c>
      <c r="O522">
        <f t="shared" si="155"/>
        <v>0.30348749999999997</v>
      </c>
      <c r="P522">
        <f t="shared" si="156"/>
        <v>303.48749999999995</v>
      </c>
      <c r="V522">
        <f t="shared" si="157"/>
        <v>804.03972219621187</v>
      </c>
      <c r="W522">
        <f t="shared" si="158"/>
        <v>124.37196476668194</v>
      </c>
      <c r="AE522">
        <f t="shared" si="142"/>
        <v>0.72813975981618062</v>
      </c>
      <c r="AF522">
        <f t="shared" si="143"/>
        <v>0.71119694268064149</v>
      </c>
      <c r="AG522">
        <f t="shared" si="144"/>
        <v>0.71517903814852901</v>
      </c>
      <c r="AI522">
        <f t="shared" si="145"/>
        <v>0.23175495874940416</v>
      </c>
      <c r="AJ522">
        <f t="shared" si="146"/>
        <v>16.252091453483164</v>
      </c>
      <c r="AL522">
        <f t="shared" si="147"/>
        <v>0.23727604812803044</v>
      </c>
      <c r="AM522">
        <f t="shared" si="148"/>
        <v>17.035660946077726</v>
      </c>
      <c r="AO522">
        <f t="shared" si="149"/>
        <v>0.23595490219744644</v>
      </c>
      <c r="AP522">
        <f t="shared" si="150"/>
        <v>16.846480990581096</v>
      </c>
    </row>
    <row r="523" spans="1:42" x14ac:dyDescent="0.2">
      <c r="A523" s="3">
        <v>520</v>
      </c>
      <c r="B523" s="3">
        <v>4.0600000000000001E-7</v>
      </c>
      <c r="C523" s="2">
        <v>2.7119999999999998E-2</v>
      </c>
      <c r="D523" s="3">
        <v>211000</v>
      </c>
      <c r="E523" s="3">
        <v>115000000000</v>
      </c>
      <c r="F523" s="3">
        <v>104000000000</v>
      </c>
      <c r="G523" s="3">
        <v>11500000000</v>
      </c>
      <c r="H523" s="3">
        <v>9460000000</v>
      </c>
      <c r="I523" s="2"/>
      <c r="J523" s="7">
        <f t="shared" si="151"/>
        <v>0.40600000000000003</v>
      </c>
      <c r="K523" s="7">
        <f t="shared" si="152"/>
        <v>27.119999999999997</v>
      </c>
      <c r="L523" s="7">
        <f t="shared" si="153"/>
        <v>115.00000000000001</v>
      </c>
      <c r="M523" s="7">
        <f t="shared" si="154"/>
        <v>211</v>
      </c>
      <c r="O523">
        <f t="shared" si="155"/>
        <v>0.30960189573459718</v>
      </c>
      <c r="P523">
        <f t="shared" si="156"/>
        <v>309.60189573459718</v>
      </c>
      <c r="V523">
        <f t="shared" si="157"/>
        <v>811.17638672277587</v>
      </c>
      <c r="W523">
        <f t="shared" si="158"/>
        <v>130.05802649930342</v>
      </c>
      <c r="AE523">
        <f t="shared" si="142"/>
        <v>0.76818744660607052</v>
      </c>
      <c r="AF523">
        <f t="shared" si="143"/>
        <v>0.75031277452807676</v>
      </c>
      <c r="AG523">
        <f t="shared" si="144"/>
        <v>0.75451388524669805</v>
      </c>
      <c r="AI523">
        <f t="shared" si="145"/>
        <v>0.22021534901938591</v>
      </c>
      <c r="AJ523">
        <f t="shared" si="146"/>
        <v>14.6287011460077</v>
      </c>
      <c r="AL523">
        <f t="shared" si="147"/>
        <v>0.22546153072372682</v>
      </c>
      <c r="AM523">
        <f t="shared" si="148"/>
        <v>15.334001381802153</v>
      </c>
      <c r="AO523">
        <f t="shared" si="149"/>
        <v>0.22420616767225626</v>
      </c>
      <c r="AP523">
        <f t="shared" si="150"/>
        <v>15.163718249954403</v>
      </c>
    </row>
    <row r="524" spans="1:42" x14ac:dyDescent="0.2">
      <c r="A524" s="3">
        <v>520</v>
      </c>
      <c r="B524" s="3">
        <v>4.0699999999999998E-7</v>
      </c>
      <c r="C524" s="2">
        <v>2.7179999999999999E-2</v>
      </c>
      <c r="D524" s="3">
        <v>181000</v>
      </c>
      <c r="E524" s="3">
        <v>99700000000</v>
      </c>
      <c r="F524" s="3">
        <v>91200000000</v>
      </c>
      <c r="G524" s="3">
        <v>2200000000</v>
      </c>
      <c r="H524" s="3">
        <v>9980000000</v>
      </c>
      <c r="I524" s="2"/>
      <c r="J524" s="7">
        <f t="shared" si="151"/>
        <v>0.40699999999999997</v>
      </c>
      <c r="K524" s="7">
        <f t="shared" si="152"/>
        <v>27.18</v>
      </c>
      <c r="L524" s="7">
        <f t="shared" si="153"/>
        <v>99.7</v>
      </c>
      <c r="M524" s="7">
        <f t="shared" si="154"/>
        <v>181</v>
      </c>
      <c r="O524">
        <f t="shared" si="155"/>
        <v>0.29437569060773477</v>
      </c>
      <c r="P524">
        <f t="shared" si="156"/>
        <v>294.37569060773478</v>
      </c>
      <c r="V524">
        <f t="shared" si="157"/>
        <v>793.25427809589883</v>
      </c>
      <c r="W524">
        <f t="shared" si="158"/>
        <v>114.08699895982053</v>
      </c>
      <c r="AE524">
        <f t="shared" si="142"/>
        <v>0.65896648263364344</v>
      </c>
      <c r="AF524">
        <f t="shared" si="143"/>
        <v>0.64363323312598053</v>
      </c>
      <c r="AG524">
        <f t="shared" si="144"/>
        <v>0.64723702952441875</v>
      </c>
      <c r="AI524">
        <f t="shared" si="145"/>
        <v>0.25734743390220993</v>
      </c>
      <c r="AJ524">
        <f t="shared" si="146"/>
        <v>19.923851482552653</v>
      </c>
      <c r="AL524">
        <f t="shared" si="147"/>
        <v>0.26347821182213599</v>
      </c>
      <c r="AM524">
        <f t="shared" si="148"/>
        <v>20.884449214936648</v>
      </c>
      <c r="AO524">
        <f t="shared" si="149"/>
        <v>0.26201117302874488</v>
      </c>
      <c r="AP524">
        <f t="shared" si="150"/>
        <v>20.652528705039263</v>
      </c>
    </row>
    <row r="525" spans="1:42" x14ac:dyDescent="0.2">
      <c r="A525" s="3">
        <v>520</v>
      </c>
      <c r="B525" s="3">
        <v>4.08E-7</v>
      </c>
      <c r="C525" s="2">
        <v>2.7230000000000001E-2</v>
      </c>
      <c r="D525" s="3">
        <v>193000</v>
      </c>
      <c r="E525" s="3">
        <v>105000000000</v>
      </c>
      <c r="F525" s="3">
        <v>96000000000</v>
      </c>
      <c r="G525" s="3">
        <v>7830000000</v>
      </c>
      <c r="H525" s="3">
        <v>9740000000</v>
      </c>
      <c r="I525" s="2"/>
      <c r="J525" s="7">
        <f t="shared" si="151"/>
        <v>0.40799999999999997</v>
      </c>
      <c r="K525" s="7">
        <f t="shared" si="152"/>
        <v>27.23</v>
      </c>
      <c r="L525" s="7">
        <f t="shared" si="153"/>
        <v>105</v>
      </c>
      <c r="M525" s="7">
        <f t="shared" si="154"/>
        <v>193</v>
      </c>
      <c r="O525">
        <f t="shared" si="155"/>
        <v>0.30218393782383413</v>
      </c>
      <c r="P525">
        <f t="shared" si="156"/>
        <v>302.18393782383413</v>
      </c>
      <c r="V525">
        <f t="shared" si="157"/>
        <v>802.5078867009106</v>
      </c>
      <c r="W525">
        <f t="shared" si="158"/>
        <v>120.24803942638998</v>
      </c>
      <c r="AE525">
        <f t="shared" ref="AE525:AE588" si="159">M525/(2*$Y$5)</f>
        <v>0.70265486822261436</v>
      </c>
      <c r="AF525">
        <f t="shared" ref="AF525:AF588" si="160">M525/(2*$Y$8)</f>
        <v>0.68630504968681894</v>
      </c>
      <c r="AG525">
        <f t="shared" ref="AG525:AG588" si="161">M525/(2*$Y$11)</f>
        <v>0.69014777181333054</v>
      </c>
      <c r="AI525">
        <f t="shared" ref="AI525:AI588" si="162">J525/(2.4*AE525)</f>
        <v>0.24193954626688899</v>
      </c>
      <c r="AJ525">
        <f t="shared" ref="AJ525:AJ588" si="163">K525/(3.14159*(AE525^2))</f>
        <v>17.555532873419139</v>
      </c>
      <c r="AL525">
        <f t="shared" ref="AL525:AL588" si="164">J525/(2.4*AF525)</f>
        <v>0.24770326267827397</v>
      </c>
      <c r="AM525">
        <f t="shared" ref="AM525:AM588" si="165">K525/(3.14159*(AF525^2))</f>
        <v>18.401945781273174</v>
      </c>
      <c r="AO525">
        <f t="shared" ref="AO525:AO588" si="166">J525/(2.4*AG525)</f>
        <v>0.24632405832932425</v>
      </c>
      <c r="AP525">
        <f t="shared" ref="AP525:AP588" si="167">K525/(3.14159*(AG525^2))</f>
        <v>18.197593317639864</v>
      </c>
    </row>
    <row r="526" spans="1:42" x14ac:dyDescent="0.2">
      <c r="A526" s="3">
        <v>520</v>
      </c>
      <c r="B526" s="3">
        <v>4.0900000000000002E-7</v>
      </c>
      <c r="C526" s="2">
        <v>2.7279999999999999E-2</v>
      </c>
      <c r="D526" s="3">
        <v>197000</v>
      </c>
      <c r="E526" s="3">
        <v>107000000000</v>
      </c>
      <c r="F526" s="3">
        <v>97400000000</v>
      </c>
      <c r="G526" s="3">
        <v>12500000000</v>
      </c>
      <c r="H526" s="3">
        <v>9670000000</v>
      </c>
      <c r="I526" s="2"/>
      <c r="J526" s="7">
        <f t="shared" ref="J526:J589" si="168">B526*(10^6)</f>
        <v>0.40900000000000003</v>
      </c>
      <c r="K526" s="7">
        <f t="shared" ref="K526:K589" si="169">C526*1000</f>
        <v>27.279999999999998</v>
      </c>
      <c r="L526" s="7">
        <f t="shared" ref="L526:L589" si="170">E526*(10^-9)</f>
        <v>107</v>
      </c>
      <c r="M526" s="7">
        <f t="shared" ref="M526:M589" si="171">D526*(10^-3)</f>
        <v>197</v>
      </c>
      <c r="O526">
        <f t="shared" ref="O526:O589" si="172">J526-(0.75*(K526/M526))</f>
        <v>0.30514213197969547</v>
      </c>
      <c r="P526">
        <f t="shared" ref="P526:P589" si="173">O526*1000</f>
        <v>305.14213197969548</v>
      </c>
      <c r="V526">
        <f t="shared" si="157"/>
        <v>805.97883643756529</v>
      </c>
      <c r="W526">
        <f t="shared" si="158"/>
        <v>122.21164569949629</v>
      </c>
      <c r="AE526">
        <f t="shared" si="159"/>
        <v>0.71721766341893789</v>
      </c>
      <c r="AF526">
        <f t="shared" si="160"/>
        <v>0.70052898854043177</v>
      </c>
      <c r="AG526">
        <f t="shared" si="161"/>
        <v>0.70445135257630109</v>
      </c>
      <c r="AI526">
        <f t="shared" si="162"/>
        <v>0.23760801686659477</v>
      </c>
      <c r="AJ526">
        <f t="shared" si="163"/>
        <v>16.880795423331495</v>
      </c>
      <c r="AL526">
        <f t="shared" si="164"/>
        <v>0.24326854342135609</v>
      </c>
      <c r="AM526">
        <f t="shared" si="165"/>
        <v>17.694676906973875</v>
      </c>
      <c r="AO526">
        <f t="shared" si="166"/>
        <v>0.2419140314564282</v>
      </c>
      <c r="AP526">
        <f t="shared" si="167"/>
        <v>17.498178620210346</v>
      </c>
    </row>
    <row r="527" spans="1:42" x14ac:dyDescent="0.2">
      <c r="A527" s="3">
        <v>530</v>
      </c>
      <c r="B527" s="3">
        <v>4.0999999999999999E-7</v>
      </c>
      <c r="C527" s="2">
        <v>2.733E-2</v>
      </c>
      <c r="D527" s="3">
        <v>183000</v>
      </c>
      <c r="E527" s="3">
        <v>100000000000</v>
      </c>
      <c r="F527" s="3">
        <v>91700000000</v>
      </c>
      <c r="G527" s="2">
        <v>0</v>
      </c>
      <c r="H527" s="3">
        <v>9920000000</v>
      </c>
      <c r="I527" s="2"/>
      <c r="J527" s="7">
        <f t="shared" si="168"/>
        <v>0.41</v>
      </c>
      <c r="K527" s="7">
        <f t="shared" si="169"/>
        <v>27.330000000000002</v>
      </c>
      <c r="L527" s="7">
        <f t="shared" si="170"/>
        <v>100</v>
      </c>
      <c r="M527" s="7">
        <f t="shared" si="171"/>
        <v>183</v>
      </c>
      <c r="O527">
        <f t="shared" si="172"/>
        <v>0.29799180327868852</v>
      </c>
      <c r="P527">
        <f t="shared" si="173"/>
        <v>297.99180327868851</v>
      </c>
      <c r="V527">
        <f t="shared" si="157"/>
        <v>797.5565409395939</v>
      </c>
      <c r="W527">
        <f t="shared" si="158"/>
        <v>114.72540854872145</v>
      </c>
      <c r="AE527">
        <f t="shared" si="159"/>
        <v>0.66624788023180526</v>
      </c>
      <c r="AF527">
        <f t="shared" si="160"/>
        <v>0.65074520255278689</v>
      </c>
      <c r="AG527">
        <f t="shared" si="161"/>
        <v>0.65438881990590403</v>
      </c>
      <c r="AI527">
        <f t="shared" si="162"/>
        <v>0.25641107221818987</v>
      </c>
      <c r="AJ527">
        <f t="shared" si="163"/>
        <v>19.598301984716006</v>
      </c>
      <c r="AL527">
        <f t="shared" si="164"/>
        <v>0.26251954323009513</v>
      </c>
      <c r="AM527">
        <f t="shared" si="165"/>
        <v>20.543203850782461</v>
      </c>
      <c r="AO527">
        <f t="shared" si="166"/>
        <v>0.26105784227471646</v>
      </c>
      <c r="AP527">
        <f t="shared" si="167"/>
        <v>20.315072849434728</v>
      </c>
    </row>
    <row r="528" spans="1:42" x14ac:dyDescent="0.2">
      <c r="A528" s="3">
        <v>530</v>
      </c>
      <c r="B528" s="3">
        <v>4.0999999999999999E-7</v>
      </c>
      <c r="C528" s="2">
        <v>2.7380000000000002E-2</v>
      </c>
      <c r="D528" s="3">
        <v>193000</v>
      </c>
      <c r="E528" s="3">
        <v>105000000000</v>
      </c>
      <c r="F528" s="3">
        <v>95500000000</v>
      </c>
      <c r="G528" s="3">
        <v>953000000</v>
      </c>
      <c r="H528" s="3">
        <v>9750000000</v>
      </c>
      <c r="I528" s="2"/>
      <c r="J528" s="7">
        <f t="shared" si="168"/>
        <v>0.41</v>
      </c>
      <c r="K528" s="7">
        <f t="shared" si="169"/>
        <v>27.380000000000003</v>
      </c>
      <c r="L528" s="7">
        <f t="shared" si="170"/>
        <v>105</v>
      </c>
      <c r="M528" s="7">
        <f t="shared" si="171"/>
        <v>193</v>
      </c>
      <c r="O528">
        <f t="shared" si="172"/>
        <v>0.30360103626943002</v>
      </c>
      <c r="P528">
        <f t="shared" si="173"/>
        <v>303.60103626943004</v>
      </c>
      <c r="V528">
        <f t="shared" si="157"/>
        <v>804.17296673233557</v>
      </c>
      <c r="W528">
        <f t="shared" si="158"/>
        <v>119.99905989393882</v>
      </c>
      <c r="AE528">
        <f t="shared" si="159"/>
        <v>0.70265486822261436</v>
      </c>
      <c r="AF528">
        <f t="shared" si="160"/>
        <v>0.68630504968681894</v>
      </c>
      <c r="AG528">
        <f t="shared" si="161"/>
        <v>0.69014777181333054</v>
      </c>
      <c r="AI528">
        <f t="shared" si="162"/>
        <v>0.24312552443486393</v>
      </c>
      <c r="AJ528">
        <f t="shared" si="163"/>
        <v>17.652239811759681</v>
      </c>
      <c r="AL528">
        <f t="shared" si="164"/>
        <v>0.24891749435806945</v>
      </c>
      <c r="AM528">
        <f t="shared" si="165"/>
        <v>18.503315295308834</v>
      </c>
      <c r="AO528">
        <f t="shared" si="166"/>
        <v>0.24753152920348762</v>
      </c>
      <c r="AP528">
        <f t="shared" si="167"/>
        <v>18.297837129525504</v>
      </c>
    </row>
    <row r="529" spans="1:42" x14ac:dyDescent="0.2">
      <c r="A529" s="3">
        <v>530</v>
      </c>
      <c r="B529" s="3">
        <v>4.1100000000000001E-7</v>
      </c>
      <c r="C529" s="2">
        <v>2.7439999999999999E-2</v>
      </c>
      <c r="D529" s="3">
        <v>204000</v>
      </c>
      <c r="E529" s="3">
        <v>110000000000</v>
      </c>
      <c r="F529" s="3">
        <v>99900000000</v>
      </c>
      <c r="G529" s="3">
        <v>6890000000</v>
      </c>
      <c r="H529" s="3">
        <v>9560000000</v>
      </c>
      <c r="I529" s="2"/>
      <c r="J529" s="7">
        <f t="shared" si="168"/>
        <v>0.41100000000000003</v>
      </c>
      <c r="K529" s="7">
        <f t="shared" si="169"/>
        <v>27.439999999999998</v>
      </c>
      <c r="L529" s="7">
        <f t="shared" si="170"/>
        <v>110</v>
      </c>
      <c r="M529" s="7">
        <f t="shared" si="171"/>
        <v>204</v>
      </c>
      <c r="O529">
        <f t="shared" si="172"/>
        <v>0.31011764705882361</v>
      </c>
      <c r="P529">
        <f t="shared" si="173"/>
        <v>310.11764705882359</v>
      </c>
      <c r="V529">
        <f t="shared" si="157"/>
        <v>811.77476252267718</v>
      </c>
      <c r="W529">
        <f t="shared" si="158"/>
        <v>125.65061727593508</v>
      </c>
      <c r="AE529">
        <f t="shared" si="159"/>
        <v>0.74270255501250426</v>
      </c>
      <c r="AF529">
        <f t="shared" si="160"/>
        <v>0.72542088153425421</v>
      </c>
      <c r="AG529">
        <f t="shared" si="161"/>
        <v>0.72948261891149957</v>
      </c>
      <c r="AI529">
        <f t="shared" si="162"/>
        <v>0.23057682896636436</v>
      </c>
      <c r="AJ529">
        <f t="shared" si="163"/>
        <v>15.834514980938463</v>
      </c>
      <c r="AL529">
        <f t="shared" si="164"/>
        <v>0.23606985180493958</v>
      </c>
      <c r="AM529">
        <f t="shared" si="165"/>
        <v>16.597951668740009</v>
      </c>
      <c r="AO529">
        <f t="shared" si="166"/>
        <v>0.23475542193936216</v>
      </c>
      <c r="AP529">
        <f t="shared" si="167"/>
        <v>16.413632447550622</v>
      </c>
    </row>
    <row r="530" spans="1:42" x14ac:dyDescent="0.2">
      <c r="A530" s="3">
        <v>530</v>
      </c>
      <c r="B530" s="3">
        <v>4.1199999999999998E-7</v>
      </c>
      <c r="C530" s="2">
        <v>2.7490000000000001E-2</v>
      </c>
      <c r="D530" s="3">
        <v>199000</v>
      </c>
      <c r="E530" s="3">
        <v>107000000000</v>
      </c>
      <c r="F530" s="3">
        <v>97600000000</v>
      </c>
      <c r="G530" s="3">
        <v>8830000000</v>
      </c>
      <c r="H530" s="3">
        <v>9640000000</v>
      </c>
      <c r="I530" s="2"/>
      <c r="J530" s="7">
        <f t="shared" si="168"/>
        <v>0.41199999999999998</v>
      </c>
      <c r="K530" s="7">
        <f t="shared" si="169"/>
        <v>27.490000000000002</v>
      </c>
      <c r="L530" s="7">
        <f t="shared" si="170"/>
        <v>107</v>
      </c>
      <c r="M530" s="7">
        <f t="shared" si="171"/>
        <v>199</v>
      </c>
      <c r="O530">
        <f t="shared" si="172"/>
        <v>0.308394472361809</v>
      </c>
      <c r="P530">
        <f t="shared" si="173"/>
        <v>308.39447236180899</v>
      </c>
      <c r="V530">
        <f t="shared" si="157"/>
        <v>809.77335664118709</v>
      </c>
      <c r="W530">
        <f t="shared" si="158"/>
        <v>122.87388709936123</v>
      </c>
      <c r="AE530">
        <f t="shared" si="159"/>
        <v>0.72449906101709971</v>
      </c>
      <c r="AF530">
        <f t="shared" si="160"/>
        <v>0.70764095796723825</v>
      </c>
      <c r="AG530">
        <f t="shared" si="161"/>
        <v>0.71160314295778637</v>
      </c>
      <c r="AI530">
        <f t="shared" si="162"/>
        <v>0.23694532664496434</v>
      </c>
      <c r="AJ530">
        <f t="shared" si="163"/>
        <v>16.670536628590629</v>
      </c>
      <c r="AL530">
        <f t="shared" si="164"/>
        <v>0.24259006595632121</v>
      </c>
      <c r="AM530">
        <f t="shared" si="165"/>
        <v>17.474280809130804</v>
      </c>
      <c r="AO530">
        <f t="shared" si="166"/>
        <v>0.24123933173360121</v>
      </c>
      <c r="AP530">
        <f t="shared" si="167"/>
        <v>17.28023000732918</v>
      </c>
    </row>
    <row r="531" spans="1:42" x14ac:dyDescent="0.2">
      <c r="A531" s="3">
        <v>530</v>
      </c>
      <c r="B531" s="3">
        <v>4.1300000000000001E-7</v>
      </c>
      <c r="C531" s="2">
        <v>2.7539999999999999E-2</v>
      </c>
      <c r="D531" s="3">
        <v>192000</v>
      </c>
      <c r="E531" s="3">
        <v>104000000000</v>
      </c>
      <c r="F531" s="3">
        <v>94800000000</v>
      </c>
      <c r="G531" s="3">
        <v>6890000000</v>
      </c>
      <c r="H531" s="3">
        <v>9750000000</v>
      </c>
      <c r="I531" s="2"/>
      <c r="J531" s="7">
        <f t="shared" si="168"/>
        <v>0.41299999999999998</v>
      </c>
      <c r="K531" s="7">
        <f t="shared" si="169"/>
        <v>27.54</v>
      </c>
      <c r="L531" s="7">
        <f t="shared" si="170"/>
        <v>104</v>
      </c>
      <c r="M531" s="7">
        <f t="shared" si="171"/>
        <v>192</v>
      </c>
      <c r="O531">
        <f t="shared" si="172"/>
        <v>0.30542187499999995</v>
      </c>
      <c r="P531">
        <f t="shared" si="173"/>
        <v>305.42187499999994</v>
      </c>
      <c r="V531">
        <f t="shared" si="157"/>
        <v>806.30609665404336</v>
      </c>
      <c r="W531">
        <f t="shared" si="158"/>
        <v>119.06148347181617</v>
      </c>
      <c r="AE531">
        <f t="shared" si="159"/>
        <v>0.69901416942353345</v>
      </c>
      <c r="AF531">
        <f t="shared" si="160"/>
        <v>0.68274906497341581</v>
      </c>
      <c r="AG531">
        <f t="shared" si="161"/>
        <v>0.68657187662258778</v>
      </c>
      <c r="AI531">
        <f t="shared" si="162"/>
        <v>0.24618003591436191</v>
      </c>
      <c r="AJ531">
        <f t="shared" si="163"/>
        <v>17.940827544783513</v>
      </c>
      <c r="AL531">
        <f t="shared" si="164"/>
        <v>0.25204477334587594</v>
      </c>
      <c r="AM531">
        <f t="shared" si="165"/>
        <v>18.805816840236915</v>
      </c>
      <c r="AO531">
        <f t="shared" si="166"/>
        <v>0.25064139559553861</v>
      </c>
      <c r="AP531">
        <f t="shared" si="167"/>
        <v>18.596979413607286</v>
      </c>
    </row>
    <row r="532" spans="1:42" x14ac:dyDescent="0.2">
      <c r="A532" s="3">
        <v>530</v>
      </c>
      <c r="B532" s="3">
        <v>4.1399999999999997E-7</v>
      </c>
      <c r="C532" s="2">
        <v>2.759E-2</v>
      </c>
      <c r="D532" s="3">
        <v>201000</v>
      </c>
      <c r="E532" s="3">
        <v>109000000000</v>
      </c>
      <c r="F532" s="3">
        <v>98600000000</v>
      </c>
      <c r="G532" s="3">
        <v>6910000000</v>
      </c>
      <c r="H532" s="3">
        <v>9590000000</v>
      </c>
      <c r="I532" s="2"/>
      <c r="J532" s="7">
        <f t="shared" si="168"/>
        <v>0.41399999999999998</v>
      </c>
      <c r="K532" s="7">
        <f t="shared" si="169"/>
        <v>27.59</v>
      </c>
      <c r="L532" s="7">
        <f t="shared" si="170"/>
        <v>109</v>
      </c>
      <c r="M532" s="7">
        <f t="shared" si="171"/>
        <v>201</v>
      </c>
      <c r="O532">
        <f t="shared" si="172"/>
        <v>0.3110522388059701</v>
      </c>
      <c r="P532">
        <f t="shared" si="173"/>
        <v>311.05223880597009</v>
      </c>
      <c r="V532">
        <f t="shared" si="157"/>
        <v>812.85766728298108</v>
      </c>
      <c r="W532">
        <f t="shared" si="158"/>
        <v>123.63788156901622</v>
      </c>
      <c r="AE532">
        <f t="shared" si="159"/>
        <v>0.73178045861526153</v>
      </c>
      <c r="AF532">
        <f t="shared" si="160"/>
        <v>0.71475292739404461</v>
      </c>
      <c r="AG532">
        <f t="shared" si="161"/>
        <v>0.71875493333927165</v>
      </c>
      <c r="AI532">
        <f t="shared" si="162"/>
        <v>0.23572643676003519</v>
      </c>
      <c r="AJ532">
        <f t="shared" si="163"/>
        <v>16.399876542486123</v>
      </c>
      <c r="AL532">
        <f t="shared" si="164"/>
        <v>0.24134213850501718</v>
      </c>
      <c r="AM532">
        <f t="shared" si="165"/>
        <v>17.190571264934</v>
      </c>
      <c r="AO532">
        <f t="shared" si="166"/>
        <v>0.23999835270497594</v>
      </c>
      <c r="AP532">
        <f t="shared" si="167"/>
        <v>16.999671039979084</v>
      </c>
    </row>
    <row r="533" spans="1:42" x14ac:dyDescent="0.2">
      <c r="A533" s="3">
        <v>530</v>
      </c>
      <c r="B533" s="3">
        <v>4.1399999999999997E-7</v>
      </c>
      <c r="C533" s="2">
        <v>2.7650000000000001E-2</v>
      </c>
      <c r="D533" s="3">
        <v>199000</v>
      </c>
      <c r="E533" s="3">
        <v>107000000000</v>
      </c>
      <c r="F533" s="3">
        <v>97600000000</v>
      </c>
      <c r="G533" s="2">
        <v>0</v>
      </c>
      <c r="H533" s="3">
        <v>9630000000</v>
      </c>
      <c r="I533" s="2"/>
      <c r="J533" s="7">
        <f t="shared" si="168"/>
        <v>0.41399999999999998</v>
      </c>
      <c r="K533" s="7">
        <f t="shared" si="169"/>
        <v>27.650000000000002</v>
      </c>
      <c r="L533" s="7">
        <f t="shared" si="170"/>
        <v>107</v>
      </c>
      <c r="M533" s="7">
        <f t="shared" si="171"/>
        <v>199</v>
      </c>
      <c r="O533">
        <f t="shared" si="172"/>
        <v>0.30979145728643215</v>
      </c>
      <c r="P533">
        <f t="shared" si="173"/>
        <v>309.79145728643215</v>
      </c>
      <c r="V533">
        <f t="shared" si="157"/>
        <v>811.39638092796224</v>
      </c>
      <c r="W533">
        <f t="shared" si="158"/>
        <v>122.62810426416463</v>
      </c>
      <c r="AE533">
        <f t="shared" si="159"/>
        <v>0.72449906101709971</v>
      </c>
      <c r="AF533">
        <f t="shared" si="160"/>
        <v>0.70764095796723825</v>
      </c>
      <c r="AG533">
        <f t="shared" si="161"/>
        <v>0.71160314295778637</v>
      </c>
      <c r="AI533">
        <f t="shared" si="162"/>
        <v>0.23809554667722146</v>
      </c>
      <c r="AJ533">
        <f t="shared" si="163"/>
        <v>16.767564124428191</v>
      </c>
      <c r="AL533">
        <f t="shared" si="164"/>
        <v>0.24376768763572085</v>
      </c>
      <c r="AM533">
        <f t="shared" si="165"/>
        <v>17.575986335848189</v>
      </c>
      <c r="AO533">
        <f t="shared" si="166"/>
        <v>0.2424103964507546</v>
      </c>
      <c r="AP533">
        <f t="shared" si="167"/>
        <v>17.380806100496613</v>
      </c>
    </row>
    <row r="534" spans="1:42" x14ac:dyDescent="0.2">
      <c r="A534" s="3">
        <v>530</v>
      </c>
      <c r="B534" s="3">
        <v>4.15E-7</v>
      </c>
      <c r="C534" s="2">
        <v>2.7699999999999999E-2</v>
      </c>
      <c r="D534" s="3">
        <v>184000</v>
      </c>
      <c r="E534" s="3">
        <v>99900000000</v>
      </c>
      <c r="F534" s="3">
        <v>91400000000</v>
      </c>
      <c r="G534" s="2">
        <v>0</v>
      </c>
      <c r="H534" s="3">
        <v>9900000000</v>
      </c>
      <c r="I534" s="2"/>
      <c r="J534" s="7">
        <f t="shared" si="168"/>
        <v>0.41499999999999998</v>
      </c>
      <c r="K534" s="7">
        <f t="shared" si="169"/>
        <v>27.7</v>
      </c>
      <c r="L534" s="7">
        <f t="shared" si="170"/>
        <v>99.9</v>
      </c>
      <c r="M534" s="7">
        <f t="shared" si="171"/>
        <v>184</v>
      </c>
      <c r="O534">
        <f t="shared" si="172"/>
        <v>0.30209239130434784</v>
      </c>
      <c r="P534">
        <f t="shared" si="173"/>
        <v>302.09239130434781</v>
      </c>
      <c r="V534">
        <f t="shared" si="157"/>
        <v>802.40017081737744</v>
      </c>
      <c r="W534">
        <f t="shared" si="158"/>
        <v>114.65600749596396</v>
      </c>
      <c r="AE534">
        <f t="shared" si="159"/>
        <v>0.66988857903088617</v>
      </c>
      <c r="AF534">
        <f t="shared" si="160"/>
        <v>0.65430118726619013</v>
      </c>
      <c r="AG534">
        <f t="shared" si="161"/>
        <v>0.65796471509664667</v>
      </c>
      <c r="AI534">
        <f t="shared" si="162"/>
        <v>0.25812750370639487</v>
      </c>
      <c r="AJ534">
        <f t="shared" si="163"/>
        <v>19.648306134025365</v>
      </c>
      <c r="AL534">
        <f t="shared" si="164"/>
        <v>0.26427686519896038</v>
      </c>
      <c r="AM534">
        <f t="shared" si="165"/>
        <v>20.595618872933269</v>
      </c>
      <c r="AO534">
        <f t="shared" si="166"/>
        <v>0.26280537952748334</v>
      </c>
      <c r="AP534">
        <f t="shared" si="167"/>
        <v>20.366905806023819</v>
      </c>
    </row>
    <row r="535" spans="1:42" x14ac:dyDescent="0.2">
      <c r="A535" s="3">
        <v>530</v>
      </c>
      <c r="B535" s="3">
        <v>4.1600000000000002E-7</v>
      </c>
      <c r="C535" s="2">
        <v>2.775E-2</v>
      </c>
      <c r="D535" s="3">
        <v>193000</v>
      </c>
      <c r="E535" s="3">
        <v>104000000000</v>
      </c>
      <c r="F535" s="3">
        <v>95100000000</v>
      </c>
      <c r="G535" s="3">
        <v>1950000000</v>
      </c>
      <c r="H535" s="3">
        <v>9710000000</v>
      </c>
      <c r="I535" s="2"/>
      <c r="J535" s="7">
        <f t="shared" si="168"/>
        <v>0.41600000000000004</v>
      </c>
      <c r="K535" s="7">
        <f t="shared" si="169"/>
        <v>27.75</v>
      </c>
      <c r="L535" s="7">
        <f t="shared" si="170"/>
        <v>104</v>
      </c>
      <c r="M535" s="7">
        <f t="shared" si="171"/>
        <v>193</v>
      </c>
      <c r="O535">
        <f t="shared" si="172"/>
        <v>0.3081632124352332</v>
      </c>
      <c r="P535">
        <f t="shared" si="173"/>
        <v>308.16321243523322</v>
      </c>
      <c r="V535">
        <f t="shared" si="157"/>
        <v>809.50428288825447</v>
      </c>
      <c r="W535">
        <f t="shared" si="158"/>
        <v>119.20875780384357</v>
      </c>
      <c r="AE535">
        <f t="shared" si="159"/>
        <v>0.70265486822261436</v>
      </c>
      <c r="AF535">
        <f t="shared" si="160"/>
        <v>0.68630504968681894</v>
      </c>
      <c r="AG535">
        <f t="shared" si="161"/>
        <v>0.69014777181333054</v>
      </c>
      <c r="AI535">
        <f t="shared" si="162"/>
        <v>0.24668345893878882</v>
      </c>
      <c r="AJ535">
        <f t="shared" si="163"/>
        <v>17.890783592999675</v>
      </c>
      <c r="AL535">
        <f t="shared" si="164"/>
        <v>0.25256018939745589</v>
      </c>
      <c r="AM535">
        <f t="shared" si="165"/>
        <v>18.75336009659679</v>
      </c>
      <c r="AO535">
        <f t="shared" si="166"/>
        <v>0.25115394182597772</v>
      </c>
      <c r="AP535">
        <f t="shared" si="167"/>
        <v>18.545105198843416</v>
      </c>
    </row>
    <row r="536" spans="1:42" x14ac:dyDescent="0.2">
      <c r="A536" s="3">
        <v>530</v>
      </c>
      <c r="B536" s="3">
        <v>4.1699999999999999E-7</v>
      </c>
      <c r="C536" s="2">
        <v>2.7799999999999998E-2</v>
      </c>
      <c r="D536" s="3">
        <v>197000</v>
      </c>
      <c r="E536" s="3">
        <v>106000000000</v>
      </c>
      <c r="F536" s="3">
        <v>96300000000</v>
      </c>
      <c r="G536" s="3">
        <v>4860000000</v>
      </c>
      <c r="H536" s="3">
        <v>9660000000</v>
      </c>
      <c r="I536" s="2"/>
      <c r="J536" s="7">
        <f t="shared" si="168"/>
        <v>0.41699999999999998</v>
      </c>
      <c r="K536" s="7">
        <f t="shared" si="169"/>
        <v>27.799999999999997</v>
      </c>
      <c r="L536" s="7">
        <f t="shared" si="170"/>
        <v>106</v>
      </c>
      <c r="M536" s="7">
        <f t="shared" si="171"/>
        <v>197</v>
      </c>
      <c r="O536">
        <f t="shared" si="172"/>
        <v>0.31116243654822334</v>
      </c>
      <c r="P536">
        <f t="shared" si="173"/>
        <v>311.16243654822335</v>
      </c>
      <c r="V536">
        <f t="shared" si="157"/>
        <v>812.98523311383383</v>
      </c>
      <c r="W536">
        <f t="shared" si="158"/>
        <v>121.15841221707414</v>
      </c>
      <c r="AE536">
        <f t="shared" si="159"/>
        <v>0.71721766341893789</v>
      </c>
      <c r="AF536">
        <f t="shared" si="160"/>
        <v>0.70052898854043177</v>
      </c>
      <c r="AG536">
        <f t="shared" si="161"/>
        <v>0.70445135257630109</v>
      </c>
      <c r="AI536">
        <f t="shared" si="162"/>
        <v>0.24225560643855748</v>
      </c>
      <c r="AJ536">
        <f t="shared" si="163"/>
        <v>17.202570116151595</v>
      </c>
      <c r="AL536">
        <f t="shared" si="164"/>
        <v>0.24802685233913321</v>
      </c>
      <c r="AM536">
        <f t="shared" si="165"/>
        <v>18.031965469716777</v>
      </c>
      <c r="AO536">
        <f t="shared" si="166"/>
        <v>0.24664584625264191</v>
      </c>
      <c r="AP536">
        <f t="shared" si="167"/>
        <v>17.831721614437228</v>
      </c>
    </row>
    <row r="537" spans="1:42" x14ac:dyDescent="0.2">
      <c r="A537" s="3">
        <v>540</v>
      </c>
      <c r="B537" s="3">
        <v>4.1800000000000001E-7</v>
      </c>
      <c r="C537" s="2">
        <v>2.785E-2</v>
      </c>
      <c r="D537" s="3">
        <v>180000</v>
      </c>
      <c r="E537" s="3">
        <v>97500000000</v>
      </c>
      <c r="F537" s="3">
        <v>89400000000</v>
      </c>
      <c r="G537" s="3">
        <v>701000000</v>
      </c>
      <c r="H537" s="3">
        <v>9980000000</v>
      </c>
      <c r="I537" s="2"/>
      <c r="J537" s="7">
        <f t="shared" si="168"/>
        <v>0.41800000000000004</v>
      </c>
      <c r="K537" s="7">
        <f t="shared" si="169"/>
        <v>27.85</v>
      </c>
      <c r="L537" s="7">
        <f t="shared" si="170"/>
        <v>97.5</v>
      </c>
      <c r="M537" s="7">
        <f t="shared" si="171"/>
        <v>180</v>
      </c>
      <c r="O537">
        <f t="shared" si="172"/>
        <v>0.30195833333333333</v>
      </c>
      <c r="P537">
        <f t="shared" si="173"/>
        <v>301.95833333333331</v>
      </c>
      <c r="V537">
        <f t="shared" si="157"/>
        <v>802.24240210496839</v>
      </c>
      <c r="W537">
        <f t="shared" si="158"/>
        <v>112.18554362603244</v>
      </c>
      <c r="AE537">
        <f t="shared" si="159"/>
        <v>0.65532578383456253</v>
      </c>
      <c r="AF537">
        <f t="shared" si="160"/>
        <v>0.64007724841257729</v>
      </c>
      <c r="AG537">
        <f t="shared" si="161"/>
        <v>0.64366113433367611</v>
      </c>
      <c r="AI537">
        <f t="shared" si="162"/>
        <v>0.26577111867558562</v>
      </c>
      <c r="AJ537">
        <f t="shared" si="163"/>
        <v>20.642447198142271</v>
      </c>
      <c r="AL537">
        <f t="shared" si="164"/>
        <v>0.27210257371060836</v>
      </c>
      <c r="AM537">
        <f t="shared" si="165"/>
        <v>21.637690913282196</v>
      </c>
      <c r="AO537">
        <f t="shared" si="166"/>
        <v>0.27058751472848458</v>
      </c>
      <c r="AP537">
        <f t="shared" si="167"/>
        <v>21.397405701162675</v>
      </c>
    </row>
    <row r="538" spans="1:42" x14ac:dyDescent="0.2">
      <c r="A538" s="3">
        <v>540</v>
      </c>
      <c r="B538" s="3">
        <v>4.1800000000000001E-7</v>
      </c>
      <c r="C538" s="2">
        <v>2.7900000000000001E-2</v>
      </c>
      <c r="D538" s="3">
        <v>204000</v>
      </c>
      <c r="E538" s="3">
        <v>109000000000</v>
      </c>
      <c r="F538" s="3">
        <v>99100000000</v>
      </c>
      <c r="G538" s="2">
        <v>0</v>
      </c>
      <c r="H538" s="3">
        <v>9540000000</v>
      </c>
      <c r="I538" s="2"/>
      <c r="J538" s="7">
        <f t="shared" si="168"/>
        <v>0.41800000000000004</v>
      </c>
      <c r="K538" s="7">
        <f t="shared" si="169"/>
        <v>27.900000000000002</v>
      </c>
      <c r="L538" s="7">
        <f t="shared" si="170"/>
        <v>109</v>
      </c>
      <c r="M538" s="7">
        <f t="shared" si="171"/>
        <v>204</v>
      </c>
      <c r="O538">
        <f t="shared" si="172"/>
        <v>0.31542647058823531</v>
      </c>
      <c r="P538">
        <f t="shared" si="173"/>
        <v>315.4264705882353</v>
      </c>
      <c r="V538">
        <f t="shared" si="157"/>
        <v>817.90212487950521</v>
      </c>
      <c r="W538">
        <f t="shared" si="158"/>
        <v>124.70929821221191</v>
      </c>
      <c r="AE538">
        <f t="shared" si="159"/>
        <v>0.74270255501250426</v>
      </c>
      <c r="AF538">
        <f t="shared" si="160"/>
        <v>0.72542088153425421</v>
      </c>
      <c r="AG538">
        <f t="shared" si="161"/>
        <v>0.72948261891149957</v>
      </c>
      <c r="AI538">
        <f t="shared" si="162"/>
        <v>0.23450392824316374</v>
      </c>
      <c r="AJ538">
        <f t="shared" si="163"/>
        <v>16.099962389511049</v>
      </c>
      <c r="AL538">
        <f t="shared" si="164"/>
        <v>0.24009050621524269</v>
      </c>
      <c r="AM538">
        <f t="shared" si="165"/>
        <v>16.876197214207227</v>
      </c>
      <c r="AO538">
        <f t="shared" si="166"/>
        <v>0.23875368946630995</v>
      </c>
      <c r="AP538">
        <f t="shared" si="167"/>
        <v>16.688788093537262</v>
      </c>
    </row>
    <row r="539" spans="1:42" x14ac:dyDescent="0.2">
      <c r="A539" s="3">
        <v>540</v>
      </c>
      <c r="B539" s="3">
        <v>4.1899999999999998E-7</v>
      </c>
      <c r="C539" s="2">
        <v>2.7959999999999999E-2</v>
      </c>
      <c r="D539" s="3">
        <v>212000</v>
      </c>
      <c r="E539" s="3">
        <v>113000000000</v>
      </c>
      <c r="F539" s="3">
        <v>102000000000</v>
      </c>
      <c r="G539" s="3">
        <v>2160000000</v>
      </c>
      <c r="H539" s="3">
        <v>9420000000</v>
      </c>
      <c r="I539" s="2"/>
      <c r="J539" s="7">
        <f t="shared" si="168"/>
        <v>0.41899999999999998</v>
      </c>
      <c r="K539" s="7">
        <f t="shared" si="169"/>
        <v>27.959999999999997</v>
      </c>
      <c r="L539" s="7">
        <f t="shared" si="170"/>
        <v>113</v>
      </c>
      <c r="M539" s="7">
        <f t="shared" si="171"/>
        <v>212</v>
      </c>
      <c r="O539">
        <f t="shared" si="172"/>
        <v>0.32008490566037739</v>
      </c>
      <c r="P539">
        <f t="shared" si="173"/>
        <v>320.08490566037739</v>
      </c>
      <c r="V539">
        <f t="shared" si="157"/>
        <v>823.23167181833401</v>
      </c>
      <c r="W539">
        <f t="shared" si="158"/>
        <v>128.76083808324549</v>
      </c>
      <c r="AE539">
        <f t="shared" si="159"/>
        <v>0.77182814540515143</v>
      </c>
      <c r="AF539">
        <f t="shared" si="160"/>
        <v>0.75386875924147989</v>
      </c>
      <c r="AG539">
        <f t="shared" si="161"/>
        <v>0.75808978043744069</v>
      </c>
      <c r="AI539">
        <f t="shared" si="162"/>
        <v>0.22619456723969333</v>
      </c>
      <c r="AJ539">
        <f t="shared" si="163"/>
        <v>14.939856921956</v>
      </c>
      <c r="AL539">
        <f t="shared" si="164"/>
        <v>0.23158319162740454</v>
      </c>
      <c r="AM539">
        <f t="shared" si="165"/>
        <v>15.660159052994251</v>
      </c>
      <c r="AO539">
        <f t="shared" si="166"/>
        <v>0.23029374335133959</v>
      </c>
      <c r="AP539">
        <f t="shared" si="167"/>
        <v>15.486253960489009</v>
      </c>
    </row>
    <row r="540" spans="1:42" x14ac:dyDescent="0.2">
      <c r="A540" s="3">
        <v>540</v>
      </c>
      <c r="B540" s="3">
        <v>4.2E-7</v>
      </c>
      <c r="C540" s="2">
        <v>2.801E-2</v>
      </c>
      <c r="D540" s="3">
        <v>197000</v>
      </c>
      <c r="E540" s="3">
        <v>105000000000</v>
      </c>
      <c r="F540" s="3">
        <v>96000000000</v>
      </c>
      <c r="G540" s="3">
        <v>6800000000</v>
      </c>
      <c r="H540" s="3">
        <v>9650000000</v>
      </c>
      <c r="I540" s="2"/>
      <c r="J540" s="7">
        <f t="shared" si="168"/>
        <v>0.42</v>
      </c>
      <c r="K540" s="7">
        <f t="shared" si="169"/>
        <v>28.01</v>
      </c>
      <c r="L540" s="7">
        <f t="shared" si="170"/>
        <v>105</v>
      </c>
      <c r="M540" s="7">
        <f t="shared" si="171"/>
        <v>197</v>
      </c>
      <c r="O540">
        <f t="shared" si="172"/>
        <v>0.31336294416243654</v>
      </c>
      <c r="P540">
        <f t="shared" si="173"/>
        <v>313.36294416243652</v>
      </c>
      <c r="V540">
        <f t="shared" si="157"/>
        <v>815.52730991925193</v>
      </c>
      <c r="W540">
        <f t="shared" si="158"/>
        <v>120.78074983136102</v>
      </c>
      <c r="AE540">
        <f t="shared" si="159"/>
        <v>0.71721766341893789</v>
      </c>
      <c r="AF540">
        <f t="shared" si="160"/>
        <v>0.70052898854043177</v>
      </c>
      <c r="AG540">
        <f t="shared" si="161"/>
        <v>0.70445135257630109</v>
      </c>
      <c r="AI540">
        <f t="shared" si="162"/>
        <v>0.2439984525280435</v>
      </c>
      <c r="AJ540">
        <f t="shared" si="163"/>
        <v>17.332517588252024</v>
      </c>
      <c r="AL540">
        <f t="shared" si="164"/>
        <v>0.24981121818329963</v>
      </c>
      <c r="AM540">
        <f t="shared" si="165"/>
        <v>18.168178158516799</v>
      </c>
      <c r="AO540">
        <f t="shared" si="166"/>
        <v>0.24842027680122208</v>
      </c>
      <c r="AP540">
        <f t="shared" si="167"/>
        <v>17.966421669798088</v>
      </c>
    </row>
    <row r="541" spans="1:42" x14ac:dyDescent="0.2">
      <c r="A541" s="3">
        <v>540</v>
      </c>
      <c r="B541" s="3">
        <v>4.2100000000000002E-7</v>
      </c>
      <c r="C541" s="2">
        <v>2.8060000000000002E-2</v>
      </c>
      <c r="D541" s="3">
        <v>203000</v>
      </c>
      <c r="E541" s="3">
        <v>109000000000</v>
      </c>
      <c r="F541" s="3">
        <v>98500000000</v>
      </c>
      <c r="G541" s="3">
        <v>2910000000</v>
      </c>
      <c r="H541" s="3">
        <v>9550000000</v>
      </c>
      <c r="I541" s="2"/>
      <c r="J541" s="7">
        <f t="shared" si="168"/>
        <v>0.42100000000000004</v>
      </c>
      <c r="K541" s="7">
        <f t="shared" si="169"/>
        <v>28.060000000000002</v>
      </c>
      <c r="L541" s="7">
        <f t="shared" si="170"/>
        <v>109</v>
      </c>
      <c r="M541" s="7">
        <f t="shared" si="171"/>
        <v>203</v>
      </c>
      <c r="O541">
        <f t="shared" si="172"/>
        <v>0.31733004926108377</v>
      </c>
      <c r="P541">
        <f t="shared" si="173"/>
        <v>317.33004926108379</v>
      </c>
      <c r="V541">
        <f t="shared" si="157"/>
        <v>820.08520223493053</v>
      </c>
      <c r="W541">
        <f t="shared" si="158"/>
        <v>123.76762770915504</v>
      </c>
      <c r="AE541">
        <f t="shared" si="159"/>
        <v>0.73906185621342335</v>
      </c>
      <c r="AF541">
        <f t="shared" si="160"/>
        <v>0.72186489682085109</v>
      </c>
      <c r="AG541">
        <f t="shared" si="161"/>
        <v>0.72590672372075693</v>
      </c>
      <c r="AI541">
        <f t="shared" si="162"/>
        <v>0.23735045340509436</v>
      </c>
      <c r="AJ541">
        <f t="shared" si="163"/>
        <v>16.35221482357143</v>
      </c>
      <c r="AL541">
        <f t="shared" si="164"/>
        <v>0.24300484403551867</v>
      </c>
      <c r="AM541">
        <f t="shared" si="165"/>
        <v>17.1406116098421</v>
      </c>
      <c r="AO541">
        <f t="shared" si="166"/>
        <v>0.2416518003408745</v>
      </c>
      <c r="AP541">
        <f t="shared" si="167"/>
        <v>16.950266183750397</v>
      </c>
    </row>
    <row r="542" spans="1:42" x14ac:dyDescent="0.2">
      <c r="A542" s="3">
        <v>540</v>
      </c>
      <c r="B542" s="3">
        <v>4.2199999999999999E-7</v>
      </c>
      <c r="C542" s="2">
        <v>2.811E-2</v>
      </c>
      <c r="D542" s="3">
        <v>209000</v>
      </c>
      <c r="E542" s="3">
        <v>111000000000</v>
      </c>
      <c r="F542" s="3">
        <v>101000000000</v>
      </c>
      <c r="G542" s="2">
        <v>0</v>
      </c>
      <c r="H542" s="3">
        <v>9460000000</v>
      </c>
      <c r="I542" s="2"/>
      <c r="J542" s="7">
        <f t="shared" si="168"/>
        <v>0.42199999999999999</v>
      </c>
      <c r="K542" s="7">
        <f t="shared" si="169"/>
        <v>28.11</v>
      </c>
      <c r="L542" s="7">
        <f t="shared" si="170"/>
        <v>111</v>
      </c>
      <c r="M542" s="7">
        <f t="shared" si="171"/>
        <v>209</v>
      </c>
      <c r="O542">
        <f t="shared" si="172"/>
        <v>0.3211267942583732</v>
      </c>
      <c r="P542">
        <f t="shared" si="173"/>
        <v>321.1267942583732</v>
      </c>
      <c r="V542">
        <f t="shared" si="157"/>
        <v>824.41773628155568</v>
      </c>
      <c r="W542">
        <f t="shared" si="158"/>
        <v>126.75612787193978</v>
      </c>
      <c r="AE542">
        <f t="shared" si="159"/>
        <v>0.76090604900790881</v>
      </c>
      <c r="AF542">
        <f t="shared" si="160"/>
        <v>0.74320080510127029</v>
      </c>
      <c r="AG542">
        <f t="shared" si="161"/>
        <v>0.74736209486521277</v>
      </c>
      <c r="AI542">
        <f t="shared" si="162"/>
        <v>0.23108415758107048</v>
      </c>
      <c r="AJ542">
        <f t="shared" si="163"/>
        <v>15.454297434734485</v>
      </c>
      <c r="AL542">
        <f t="shared" si="164"/>
        <v>0.23658926648952416</v>
      </c>
      <c r="AM542">
        <f t="shared" si="165"/>
        <v>16.199402520686061</v>
      </c>
      <c r="AO542">
        <f t="shared" si="166"/>
        <v>0.23527194453853723</v>
      </c>
      <c r="AP542">
        <f t="shared" si="167"/>
        <v>16.019509163003278</v>
      </c>
    </row>
    <row r="543" spans="1:42" x14ac:dyDescent="0.2">
      <c r="A543" s="3">
        <v>540</v>
      </c>
      <c r="B543" s="3">
        <v>4.2199999999999999E-7</v>
      </c>
      <c r="C543" s="2">
        <v>2.8170000000000001E-2</v>
      </c>
      <c r="D543" s="3">
        <v>216000</v>
      </c>
      <c r="E543" s="3">
        <v>114000000000</v>
      </c>
      <c r="F543" s="3">
        <v>103000000000</v>
      </c>
      <c r="G543" s="3">
        <v>3180000000</v>
      </c>
      <c r="H543" s="3">
        <v>9370000000</v>
      </c>
      <c r="I543" s="2"/>
      <c r="J543" s="7">
        <f t="shared" si="168"/>
        <v>0.42199999999999999</v>
      </c>
      <c r="K543" s="7">
        <f t="shared" si="169"/>
        <v>28.17</v>
      </c>
      <c r="L543" s="7">
        <f t="shared" si="170"/>
        <v>114</v>
      </c>
      <c r="M543" s="7">
        <f t="shared" si="171"/>
        <v>216</v>
      </c>
      <c r="O543">
        <f t="shared" si="172"/>
        <v>0.32418749999999996</v>
      </c>
      <c r="P543">
        <f t="shared" si="173"/>
        <v>324.18749999999994</v>
      </c>
      <c r="V543">
        <f t="shared" si="157"/>
        <v>827.88963528876104</v>
      </c>
      <c r="W543">
        <f t="shared" si="158"/>
        <v>130.45217067167474</v>
      </c>
      <c r="AE543">
        <f t="shared" si="159"/>
        <v>0.78639094060147507</v>
      </c>
      <c r="AF543">
        <f t="shared" si="160"/>
        <v>0.76809269809509273</v>
      </c>
      <c r="AG543">
        <f t="shared" si="161"/>
        <v>0.77239336120041135</v>
      </c>
      <c r="AI543">
        <f t="shared" si="162"/>
        <v>0.22359531914094322</v>
      </c>
      <c r="AJ543">
        <f t="shared" si="163"/>
        <v>14.499744104619683</v>
      </c>
      <c r="AL543">
        <f t="shared" si="164"/>
        <v>0.22892202174217846</v>
      </c>
      <c r="AM543">
        <f t="shared" si="165"/>
        <v>15.198826875801904</v>
      </c>
      <c r="AO543">
        <f t="shared" si="166"/>
        <v>0.22764739078034385</v>
      </c>
      <c r="AP543">
        <f t="shared" si="167"/>
        <v>15.030044848437873</v>
      </c>
    </row>
    <row r="544" spans="1:42" x14ac:dyDescent="0.2">
      <c r="A544" s="3">
        <v>540</v>
      </c>
      <c r="B544" s="3">
        <v>4.2300000000000002E-7</v>
      </c>
      <c r="C544" s="2">
        <v>2.8219999999999999E-2</v>
      </c>
      <c r="D544" s="3">
        <v>201000</v>
      </c>
      <c r="E544" s="3">
        <v>107000000000</v>
      </c>
      <c r="F544" s="3">
        <v>97200000000</v>
      </c>
      <c r="G544" s="3">
        <v>901000000</v>
      </c>
      <c r="H544" s="3">
        <v>9590000000</v>
      </c>
      <c r="I544" s="2"/>
      <c r="J544" s="7">
        <f t="shared" si="168"/>
        <v>0.42300000000000004</v>
      </c>
      <c r="K544" s="7">
        <f t="shared" si="169"/>
        <v>28.22</v>
      </c>
      <c r="L544" s="7">
        <f t="shared" si="170"/>
        <v>107</v>
      </c>
      <c r="M544" s="7">
        <f t="shared" si="171"/>
        <v>201</v>
      </c>
      <c r="O544">
        <f t="shared" si="172"/>
        <v>0.3177014925373135</v>
      </c>
      <c r="P544">
        <f t="shared" si="173"/>
        <v>317.70149253731353</v>
      </c>
      <c r="V544">
        <f t="shared" si="157"/>
        <v>820.51033257675647</v>
      </c>
      <c r="W544">
        <f t="shared" si="158"/>
        <v>122.48474639482801</v>
      </c>
      <c r="AE544">
        <f t="shared" si="159"/>
        <v>0.73178045861526153</v>
      </c>
      <c r="AF544">
        <f t="shared" si="160"/>
        <v>0.71475292739404461</v>
      </c>
      <c r="AG544">
        <f t="shared" si="161"/>
        <v>0.71875493333927165</v>
      </c>
      <c r="AI544">
        <f t="shared" si="162"/>
        <v>0.24085092451568815</v>
      </c>
      <c r="AJ544">
        <f t="shared" si="163"/>
        <v>16.774357231930349</v>
      </c>
      <c r="AL544">
        <f t="shared" si="164"/>
        <v>0.24658870673338715</v>
      </c>
      <c r="AM544">
        <f t="shared" si="165"/>
        <v>17.583106962538508</v>
      </c>
      <c r="AO544">
        <f t="shared" si="166"/>
        <v>0.24521570819856242</v>
      </c>
      <c r="AP544">
        <f t="shared" si="167"/>
        <v>17.387847653070306</v>
      </c>
    </row>
    <row r="545" spans="1:42" x14ac:dyDescent="0.2">
      <c r="A545" s="3">
        <v>540</v>
      </c>
      <c r="B545" s="3">
        <v>4.2399999999999999E-7</v>
      </c>
      <c r="C545" s="2">
        <v>2.827E-2</v>
      </c>
      <c r="D545" s="3">
        <v>219000</v>
      </c>
      <c r="E545" s="3">
        <v>116000000000</v>
      </c>
      <c r="F545" s="3">
        <v>105000000000</v>
      </c>
      <c r="G545" s="3">
        <v>2950000000</v>
      </c>
      <c r="H545" s="3">
        <v>9330000000</v>
      </c>
      <c r="I545" s="2"/>
      <c r="J545" s="7">
        <f t="shared" si="168"/>
        <v>0.42399999999999999</v>
      </c>
      <c r="K545" s="7">
        <f t="shared" si="169"/>
        <v>28.27</v>
      </c>
      <c r="L545" s="7">
        <f t="shared" si="170"/>
        <v>116.00000000000001</v>
      </c>
      <c r="M545" s="7">
        <f t="shared" si="171"/>
        <v>219</v>
      </c>
      <c r="O545">
        <f t="shared" si="172"/>
        <v>0.3271849315068493</v>
      </c>
      <c r="P545">
        <f t="shared" si="173"/>
        <v>327.1849315068493</v>
      </c>
      <c r="V545">
        <f t="shared" si="157"/>
        <v>831.27210889502226</v>
      </c>
      <c r="W545">
        <f t="shared" si="158"/>
        <v>131.72581977465128</v>
      </c>
      <c r="AE545">
        <f t="shared" si="159"/>
        <v>0.79731303699871781</v>
      </c>
      <c r="AF545">
        <f t="shared" si="160"/>
        <v>0.77876065223530233</v>
      </c>
      <c r="AG545">
        <f t="shared" si="161"/>
        <v>0.78312104677263927</v>
      </c>
      <c r="AI545">
        <f t="shared" si="162"/>
        <v>0.22157754667060683</v>
      </c>
      <c r="AJ545">
        <f t="shared" si="163"/>
        <v>14.155283503456982</v>
      </c>
      <c r="AL545">
        <f t="shared" si="164"/>
        <v>0.22685617995667157</v>
      </c>
      <c r="AM545">
        <f t="shared" si="165"/>
        <v>14.837758638677739</v>
      </c>
      <c r="AO545">
        <f t="shared" si="166"/>
        <v>0.22559305154003564</v>
      </c>
      <c r="AP545">
        <f t="shared" si="167"/>
        <v>14.672986251635068</v>
      </c>
    </row>
    <row r="546" spans="1:42" x14ac:dyDescent="0.2">
      <c r="A546" s="3">
        <v>540</v>
      </c>
      <c r="B546" s="3">
        <v>4.2399999999999999E-7</v>
      </c>
      <c r="C546" s="2">
        <v>2.8320000000000001E-2</v>
      </c>
      <c r="D546" s="3">
        <v>211000</v>
      </c>
      <c r="E546" s="3">
        <v>112000000000</v>
      </c>
      <c r="F546" s="3">
        <v>101000000000</v>
      </c>
      <c r="G546" s="3">
        <v>10400000000</v>
      </c>
      <c r="H546" s="3">
        <v>9440000000</v>
      </c>
      <c r="I546" s="2"/>
      <c r="J546" s="7">
        <f t="shared" si="168"/>
        <v>0.42399999999999999</v>
      </c>
      <c r="K546" s="7">
        <f t="shared" si="169"/>
        <v>28.32</v>
      </c>
      <c r="L546" s="7">
        <f t="shared" si="170"/>
        <v>112</v>
      </c>
      <c r="M546" s="7">
        <f t="shared" si="171"/>
        <v>211</v>
      </c>
      <c r="O546">
        <f t="shared" si="172"/>
        <v>0.32333649289099525</v>
      </c>
      <c r="P546">
        <f t="shared" si="173"/>
        <v>323.33649289099526</v>
      </c>
      <c r="V546">
        <f t="shared" si="157"/>
        <v>826.9261379742901</v>
      </c>
      <c r="W546">
        <f t="shared" si="158"/>
        <v>127.58092307789657</v>
      </c>
      <c r="AE546">
        <f t="shared" si="159"/>
        <v>0.76818744660607052</v>
      </c>
      <c r="AF546">
        <f t="shared" si="160"/>
        <v>0.75031277452807676</v>
      </c>
      <c r="AG546">
        <f t="shared" si="161"/>
        <v>0.75451388524669805</v>
      </c>
      <c r="AI546">
        <f t="shared" si="162"/>
        <v>0.22997859109413699</v>
      </c>
      <c r="AJ546">
        <f t="shared" si="163"/>
        <v>15.275988807335475</v>
      </c>
      <c r="AL546">
        <f t="shared" si="164"/>
        <v>0.23545736213512355</v>
      </c>
      <c r="AM546">
        <f t="shared" si="165"/>
        <v>16.012497018165082</v>
      </c>
      <c r="AO546">
        <f t="shared" si="166"/>
        <v>0.2341463425936863</v>
      </c>
      <c r="AP546">
        <f t="shared" si="167"/>
        <v>15.834679234465661</v>
      </c>
    </row>
    <row r="547" spans="1:42" x14ac:dyDescent="0.2">
      <c r="A547" s="3">
        <v>550</v>
      </c>
      <c r="B547" s="3">
        <v>4.2500000000000001E-7</v>
      </c>
      <c r="C547" s="2">
        <v>2.8369999999999999E-2</v>
      </c>
      <c r="D547" s="3">
        <v>221000</v>
      </c>
      <c r="E547" s="3">
        <v>117000000000</v>
      </c>
      <c r="F547" s="3">
        <v>105000000000</v>
      </c>
      <c r="G547" s="3">
        <v>3920000000</v>
      </c>
      <c r="H547" s="3">
        <v>9320000000</v>
      </c>
      <c r="I547" s="2"/>
      <c r="J547" s="7">
        <f t="shared" si="168"/>
        <v>0.42499999999999999</v>
      </c>
      <c r="K547" s="7">
        <f t="shared" si="169"/>
        <v>28.37</v>
      </c>
      <c r="L547" s="7">
        <f t="shared" si="170"/>
        <v>117.00000000000001</v>
      </c>
      <c r="M547" s="7">
        <f t="shared" si="171"/>
        <v>221</v>
      </c>
      <c r="O547">
        <f t="shared" si="172"/>
        <v>0.32872171945701356</v>
      </c>
      <c r="P547">
        <f t="shared" si="173"/>
        <v>328.72171945701353</v>
      </c>
      <c r="V547">
        <f t="shared" si="157"/>
        <v>832.99961709875288</v>
      </c>
      <c r="W547">
        <f t="shared" si="158"/>
        <v>132.65312220053531</v>
      </c>
      <c r="AE547">
        <f t="shared" si="159"/>
        <v>0.80459443459687963</v>
      </c>
      <c r="AF547">
        <f t="shared" si="160"/>
        <v>0.78587262166210881</v>
      </c>
      <c r="AG547">
        <f t="shared" si="161"/>
        <v>0.79027283715412455</v>
      </c>
      <c r="AI547">
        <f t="shared" si="162"/>
        <v>0.22009017924919674</v>
      </c>
      <c r="AJ547">
        <f t="shared" si="163"/>
        <v>13.949408146300541</v>
      </c>
      <c r="AL547">
        <f t="shared" si="164"/>
        <v>0.2253333790389653</v>
      </c>
      <c r="AM547">
        <f t="shared" si="165"/>
        <v>14.621957319093228</v>
      </c>
      <c r="AO547">
        <f t="shared" si="166"/>
        <v>0.22407872953223787</v>
      </c>
      <c r="AP547">
        <f t="shared" si="167"/>
        <v>14.459581392285614</v>
      </c>
    </row>
    <row r="548" spans="1:42" x14ac:dyDescent="0.2">
      <c r="A548" s="3">
        <v>550</v>
      </c>
      <c r="B548" s="3">
        <v>4.2500000000000001E-7</v>
      </c>
      <c r="C548" s="2">
        <v>2.8420000000000001E-2</v>
      </c>
      <c r="D548" s="3">
        <v>180000</v>
      </c>
      <c r="E548" s="3">
        <v>96700000000</v>
      </c>
      <c r="F548" s="3">
        <v>88700000000</v>
      </c>
      <c r="G548" s="3">
        <v>4230000000</v>
      </c>
      <c r="H548" s="3">
        <v>10000000000</v>
      </c>
      <c r="I548" s="2"/>
      <c r="J548" s="7">
        <f t="shared" si="168"/>
        <v>0.42499999999999999</v>
      </c>
      <c r="K548" s="7">
        <f t="shared" si="169"/>
        <v>28.42</v>
      </c>
      <c r="L548" s="7">
        <f t="shared" si="170"/>
        <v>96.7</v>
      </c>
      <c r="M548" s="7">
        <f t="shared" si="171"/>
        <v>180</v>
      </c>
      <c r="O548">
        <f t="shared" si="172"/>
        <v>0.30658333333333332</v>
      </c>
      <c r="P548">
        <f t="shared" si="173"/>
        <v>306.58333333333331</v>
      </c>
      <c r="V548">
        <f t="shared" si="157"/>
        <v>807.66305806831008</v>
      </c>
      <c r="W548">
        <f t="shared" si="158"/>
        <v>111.43260682895816</v>
      </c>
      <c r="AE548">
        <f t="shared" si="159"/>
        <v>0.65532578383456253</v>
      </c>
      <c r="AF548">
        <f t="shared" si="160"/>
        <v>0.64007724841257729</v>
      </c>
      <c r="AG548">
        <f t="shared" si="161"/>
        <v>0.64366113433367611</v>
      </c>
      <c r="AI548">
        <f t="shared" si="162"/>
        <v>0.27022183118929161</v>
      </c>
      <c r="AJ548">
        <f t="shared" si="163"/>
        <v>21.064931754800838</v>
      </c>
      <c r="AL548">
        <f t="shared" si="164"/>
        <v>0.2766593153756185</v>
      </c>
      <c r="AM548">
        <f t="shared" si="165"/>
        <v>22.080544910430159</v>
      </c>
      <c r="AO548">
        <f t="shared" si="166"/>
        <v>0.27511888459235867</v>
      </c>
      <c r="AP548">
        <f t="shared" si="167"/>
        <v>21.83534183220981</v>
      </c>
    </row>
    <row r="549" spans="1:42" x14ac:dyDescent="0.2">
      <c r="A549" s="3">
        <v>550</v>
      </c>
      <c r="B549" s="3">
        <v>4.2599999999999998E-7</v>
      </c>
      <c r="C549" s="2">
        <v>2.8479999999999998E-2</v>
      </c>
      <c r="D549" s="3">
        <v>193000</v>
      </c>
      <c r="E549" s="3">
        <v>103000000000</v>
      </c>
      <c r="F549" s="3">
        <v>93600000000</v>
      </c>
      <c r="G549" s="3">
        <v>5830000000</v>
      </c>
      <c r="H549" s="3">
        <v>9750000000</v>
      </c>
      <c r="I549" s="2"/>
      <c r="J549" s="7">
        <f t="shared" si="168"/>
        <v>0.42599999999999999</v>
      </c>
      <c r="K549" s="7">
        <f t="shared" si="169"/>
        <v>28.479999999999997</v>
      </c>
      <c r="L549" s="7">
        <f t="shared" si="170"/>
        <v>103</v>
      </c>
      <c r="M549" s="7">
        <f t="shared" si="171"/>
        <v>193</v>
      </c>
      <c r="O549">
        <f t="shared" si="172"/>
        <v>0.31532642487046636</v>
      </c>
      <c r="P549">
        <f t="shared" si="173"/>
        <v>315.32642487046638</v>
      </c>
      <c r="V549">
        <f t="shared" si="157"/>
        <v>817.78718694110239</v>
      </c>
      <c r="W549">
        <f t="shared" si="158"/>
        <v>118.00135969475637</v>
      </c>
      <c r="AE549">
        <f t="shared" si="159"/>
        <v>0.70265486822261436</v>
      </c>
      <c r="AF549">
        <f t="shared" si="160"/>
        <v>0.68630504968681894</v>
      </c>
      <c r="AG549">
        <f t="shared" si="161"/>
        <v>0.69014777181333054</v>
      </c>
      <c r="AI549">
        <f t="shared" si="162"/>
        <v>0.25261334977866351</v>
      </c>
      <c r="AJ549">
        <f t="shared" si="163"/>
        <v>18.361424026256962</v>
      </c>
      <c r="AL549">
        <f t="shared" si="164"/>
        <v>0.25863134779643315</v>
      </c>
      <c r="AM549">
        <f t="shared" si="165"/>
        <v>19.246691731570326</v>
      </c>
      <c r="AO549">
        <f t="shared" si="166"/>
        <v>0.25719129619679443</v>
      </c>
      <c r="AP549">
        <f t="shared" si="167"/>
        <v>19.03295841668686</v>
      </c>
    </row>
    <row r="550" spans="1:42" x14ac:dyDescent="0.2">
      <c r="A550" s="3">
        <v>550</v>
      </c>
      <c r="B550" s="3">
        <v>4.27E-7</v>
      </c>
      <c r="C550" s="2">
        <v>2.853E-2</v>
      </c>
      <c r="D550" s="3">
        <v>191000</v>
      </c>
      <c r="E550" s="3">
        <v>102000000000</v>
      </c>
      <c r="F550" s="3">
        <v>93100000000</v>
      </c>
      <c r="G550" s="3">
        <v>4240000000</v>
      </c>
      <c r="H550" s="3">
        <v>9790000000</v>
      </c>
      <c r="I550" s="2"/>
      <c r="J550" s="7">
        <f t="shared" si="168"/>
        <v>0.42699999999999999</v>
      </c>
      <c r="K550" s="7">
        <f t="shared" si="169"/>
        <v>28.53</v>
      </c>
      <c r="L550" s="7">
        <f t="shared" si="170"/>
        <v>102</v>
      </c>
      <c r="M550" s="7">
        <f t="shared" si="171"/>
        <v>191</v>
      </c>
      <c r="O550">
        <f t="shared" si="172"/>
        <v>0.31497120418848168</v>
      </c>
      <c r="P550">
        <f t="shared" si="173"/>
        <v>314.97120418848169</v>
      </c>
      <c r="V550">
        <f t="shared" si="157"/>
        <v>817.37892601326814</v>
      </c>
      <c r="W550">
        <f t="shared" si="158"/>
        <v>116.83687572641162</v>
      </c>
      <c r="AE550">
        <f t="shared" si="159"/>
        <v>0.69537347062445254</v>
      </c>
      <c r="AF550">
        <f t="shared" si="160"/>
        <v>0.67919308026001257</v>
      </c>
      <c r="AG550">
        <f t="shared" si="161"/>
        <v>0.68299598143184514</v>
      </c>
      <c r="AI550">
        <f t="shared" si="162"/>
        <v>0.25585771413869968</v>
      </c>
      <c r="AJ550">
        <f t="shared" si="163"/>
        <v>18.780883998139522</v>
      </c>
      <c r="AL550">
        <f t="shared" si="164"/>
        <v>0.26195300252257514</v>
      </c>
      <c r="AM550">
        <f t="shared" si="165"/>
        <v>19.686375318257934</v>
      </c>
      <c r="AO550">
        <f t="shared" si="166"/>
        <v>0.2604944560488906</v>
      </c>
      <c r="AP550">
        <f t="shared" si="167"/>
        <v>19.467759344484673</v>
      </c>
    </row>
    <row r="551" spans="1:42" x14ac:dyDescent="0.2">
      <c r="A551" s="3">
        <v>550</v>
      </c>
      <c r="B551" s="3">
        <v>4.2800000000000002E-7</v>
      </c>
      <c r="C551" s="2">
        <v>2.8580000000000001E-2</v>
      </c>
      <c r="D551" s="3">
        <v>198000</v>
      </c>
      <c r="E551" s="3">
        <v>105000000000</v>
      </c>
      <c r="F551" s="3">
        <v>95500000000</v>
      </c>
      <c r="G551" s="2">
        <v>0</v>
      </c>
      <c r="H551" s="3">
        <v>9660000000</v>
      </c>
      <c r="I551" s="2"/>
      <c r="J551" s="7">
        <f t="shared" si="168"/>
        <v>0.42800000000000005</v>
      </c>
      <c r="K551" s="7">
        <f t="shared" si="169"/>
        <v>28.580000000000002</v>
      </c>
      <c r="L551" s="7">
        <f t="shared" si="170"/>
        <v>105</v>
      </c>
      <c r="M551" s="7">
        <f t="shared" si="171"/>
        <v>198</v>
      </c>
      <c r="O551">
        <f t="shared" si="172"/>
        <v>0.31974242424242427</v>
      </c>
      <c r="P551">
        <f t="shared" si="173"/>
        <v>319.74242424242425</v>
      </c>
      <c r="V551">
        <f t="shared" si="157"/>
        <v>822.84132855940913</v>
      </c>
      <c r="W551">
        <f t="shared" si="158"/>
        <v>120.31481230205635</v>
      </c>
      <c r="AE551">
        <f t="shared" si="159"/>
        <v>0.7208583622180188</v>
      </c>
      <c r="AF551">
        <f t="shared" si="160"/>
        <v>0.70408497325383501</v>
      </c>
      <c r="AG551">
        <f t="shared" si="161"/>
        <v>0.70802724776704373</v>
      </c>
      <c r="AI551">
        <f t="shared" si="162"/>
        <v>0.2473902540085921</v>
      </c>
      <c r="AJ551">
        <f t="shared" si="163"/>
        <v>17.507044554591634</v>
      </c>
      <c r="AL551">
        <f t="shared" si="164"/>
        <v>0.25328382241874808</v>
      </c>
      <c r="AM551">
        <f t="shared" si="165"/>
        <v>18.351119673030112</v>
      </c>
      <c r="AO551">
        <f t="shared" si="166"/>
        <v>0.25187354568027709</v>
      </c>
      <c r="AP551">
        <f t="shared" si="167"/>
        <v>18.147331630168377</v>
      </c>
    </row>
    <row r="552" spans="1:42" x14ac:dyDescent="0.2">
      <c r="A552" s="3">
        <v>550</v>
      </c>
      <c r="B552" s="3">
        <v>4.2899999999999999E-7</v>
      </c>
      <c r="C552" s="2">
        <v>2.8629999999999999E-2</v>
      </c>
      <c r="D552" s="3">
        <v>185000</v>
      </c>
      <c r="E552" s="3">
        <v>98400000000</v>
      </c>
      <c r="F552" s="3">
        <v>90100000000</v>
      </c>
      <c r="G552" s="3">
        <v>3550000000</v>
      </c>
      <c r="H552" s="3">
        <v>9890000000</v>
      </c>
      <c r="I552" s="2"/>
      <c r="J552" s="7">
        <f t="shared" si="168"/>
        <v>0.42899999999999999</v>
      </c>
      <c r="K552" s="7">
        <f t="shared" si="169"/>
        <v>28.63</v>
      </c>
      <c r="L552" s="7">
        <f t="shared" si="170"/>
        <v>98.4</v>
      </c>
      <c r="M552" s="7">
        <f t="shared" si="171"/>
        <v>185</v>
      </c>
      <c r="O552">
        <f t="shared" si="172"/>
        <v>0.31293243243243241</v>
      </c>
      <c r="P552">
        <f t="shared" si="173"/>
        <v>312.93243243243239</v>
      </c>
      <c r="V552">
        <f t="shared" si="157"/>
        <v>815.03075711318456</v>
      </c>
      <c r="W552">
        <f t="shared" si="158"/>
        <v>113.49264944016633</v>
      </c>
      <c r="AE552">
        <f t="shared" si="159"/>
        <v>0.67352927782996708</v>
      </c>
      <c r="AF552">
        <f t="shared" si="160"/>
        <v>0.65785717197959337</v>
      </c>
      <c r="AG552">
        <f t="shared" si="161"/>
        <v>0.66154061028738931</v>
      </c>
      <c r="AI552">
        <f t="shared" si="162"/>
        <v>0.26539306587519357</v>
      </c>
      <c r="AJ552">
        <f t="shared" si="163"/>
        <v>20.089026159248867</v>
      </c>
      <c r="AL552">
        <f t="shared" si="164"/>
        <v>0.27171551457303988</v>
      </c>
      <c r="AM552">
        <f t="shared" si="165"/>
        <v>21.057587533603421</v>
      </c>
      <c r="AO552">
        <f t="shared" si="166"/>
        <v>0.27020261072460339</v>
      </c>
      <c r="AP552">
        <f t="shared" si="167"/>
        <v>20.823744333443308</v>
      </c>
    </row>
    <row r="553" spans="1:42" x14ac:dyDescent="0.2">
      <c r="A553" s="3">
        <v>550</v>
      </c>
      <c r="B553" s="3">
        <v>4.3000000000000001E-7</v>
      </c>
      <c r="C553" s="2">
        <v>2.869E-2</v>
      </c>
      <c r="D553" s="3">
        <v>193000</v>
      </c>
      <c r="E553" s="3">
        <v>102000000000</v>
      </c>
      <c r="F553" s="3">
        <v>93400000000</v>
      </c>
      <c r="G553" s="2">
        <v>0</v>
      </c>
      <c r="H553" s="3">
        <v>9740000000</v>
      </c>
      <c r="I553" s="2"/>
      <c r="J553" s="7">
        <f t="shared" si="168"/>
        <v>0.43</v>
      </c>
      <c r="K553" s="7">
        <f t="shared" si="169"/>
        <v>28.69</v>
      </c>
      <c r="L553" s="7">
        <f t="shared" si="170"/>
        <v>102</v>
      </c>
      <c r="M553" s="7">
        <f t="shared" si="171"/>
        <v>193</v>
      </c>
      <c r="O553">
        <f t="shared" si="172"/>
        <v>0.3185103626943005</v>
      </c>
      <c r="P553">
        <f t="shared" si="173"/>
        <v>318.51036269430051</v>
      </c>
      <c r="V553">
        <f t="shared" si="157"/>
        <v>821.43515704382173</v>
      </c>
      <c r="W553">
        <f t="shared" si="158"/>
        <v>117.47731902209286</v>
      </c>
      <c r="AE553">
        <f t="shared" si="159"/>
        <v>0.70265486822261436</v>
      </c>
      <c r="AF553">
        <f t="shared" si="160"/>
        <v>0.68630504968681894</v>
      </c>
      <c r="AG553">
        <f t="shared" si="161"/>
        <v>0.69014777181333054</v>
      </c>
      <c r="AI553">
        <f t="shared" si="162"/>
        <v>0.2549853061146134</v>
      </c>
      <c r="AJ553">
        <f t="shared" si="163"/>
        <v>18.496813739933717</v>
      </c>
      <c r="AL553">
        <f t="shared" si="164"/>
        <v>0.26105981115602406</v>
      </c>
      <c r="AM553">
        <f t="shared" si="165"/>
        <v>19.38860905122025</v>
      </c>
      <c r="AO553">
        <f t="shared" si="166"/>
        <v>0.25960623794512117</v>
      </c>
      <c r="AP553">
        <f t="shared" si="167"/>
        <v>19.173299753326759</v>
      </c>
    </row>
    <row r="554" spans="1:42" x14ac:dyDescent="0.2">
      <c r="A554" s="3">
        <v>550</v>
      </c>
      <c r="B554" s="3">
        <v>4.3000000000000001E-7</v>
      </c>
      <c r="C554" s="2">
        <v>2.8740000000000002E-2</v>
      </c>
      <c r="D554" s="3">
        <v>202000</v>
      </c>
      <c r="E554" s="3">
        <v>106000000000</v>
      </c>
      <c r="F554" s="3">
        <v>96900000000</v>
      </c>
      <c r="G554" s="3">
        <v>6960000000</v>
      </c>
      <c r="H554" s="3">
        <v>9600000000</v>
      </c>
      <c r="I554" s="2"/>
      <c r="J554" s="7">
        <f t="shared" si="168"/>
        <v>0.43</v>
      </c>
      <c r="K554" s="7">
        <f t="shared" si="169"/>
        <v>28.740000000000002</v>
      </c>
      <c r="L554" s="7">
        <f t="shared" si="170"/>
        <v>106</v>
      </c>
      <c r="M554" s="7">
        <f t="shared" si="171"/>
        <v>202</v>
      </c>
      <c r="O554">
        <f t="shared" si="172"/>
        <v>0.3232920792079208</v>
      </c>
      <c r="P554">
        <f t="shared" si="173"/>
        <v>323.29207920792078</v>
      </c>
      <c r="V554">
        <f t="shared" si="157"/>
        <v>826.87581471835756</v>
      </c>
      <c r="W554">
        <f t="shared" si="158"/>
        <v>122.14651608162181</v>
      </c>
      <c r="AE554">
        <f t="shared" si="159"/>
        <v>0.73542115741434244</v>
      </c>
      <c r="AF554">
        <f t="shared" si="160"/>
        <v>0.71830891210744785</v>
      </c>
      <c r="AG554">
        <f t="shared" si="161"/>
        <v>0.72233082853001429</v>
      </c>
      <c r="AI554">
        <f t="shared" si="162"/>
        <v>0.24362457465406134</v>
      </c>
      <c r="AJ554">
        <f t="shared" si="163"/>
        <v>16.914727982081988</v>
      </c>
      <c r="AL554">
        <f t="shared" si="164"/>
        <v>0.24942843343125071</v>
      </c>
      <c r="AM554">
        <f t="shared" si="165"/>
        <v>17.730245471645127</v>
      </c>
      <c r="AO554">
        <f t="shared" si="166"/>
        <v>0.24803962338320984</v>
      </c>
      <c r="AP554">
        <f t="shared" si="167"/>
        <v>17.533352198182648</v>
      </c>
    </row>
    <row r="555" spans="1:42" x14ac:dyDescent="0.2">
      <c r="A555" s="3">
        <v>550</v>
      </c>
      <c r="B555" s="3">
        <v>4.3099999999999998E-7</v>
      </c>
      <c r="C555" s="2">
        <v>2.879E-2</v>
      </c>
      <c r="D555" s="3">
        <v>205000</v>
      </c>
      <c r="E555" s="3">
        <v>108000000000</v>
      </c>
      <c r="F555" s="3">
        <v>97800000000</v>
      </c>
      <c r="G555" s="2">
        <v>0</v>
      </c>
      <c r="H555" s="3">
        <v>9550000000</v>
      </c>
      <c r="I555" s="2"/>
      <c r="J555" s="7">
        <f t="shared" si="168"/>
        <v>0.43099999999999999</v>
      </c>
      <c r="K555" s="7">
        <f t="shared" si="169"/>
        <v>28.79</v>
      </c>
      <c r="L555" s="7">
        <f t="shared" si="170"/>
        <v>108</v>
      </c>
      <c r="M555" s="7">
        <f t="shared" si="171"/>
        <v>205</v>
      </c>
      <c r="O555">
        <f t="shared" si="172"/>
        <v>0.32567073170731708</v>
      </c>
      <c r="P555">
        <f t="shared" si="173"/>
        <v>325.67073170731709</v>
      </c>
      <c r="V555">
        <f t="shared" si="157"/>
        <v>829.5655662113237</v>
      </c>
      <c r="W555">
        <f t="shared" si="158"/>
        <v>123.55864825504236</v>
      </c>
      <c r="AE555">
        <f t="shared" si="159"/>
        <v>0.74634325381158517</v>
      </c>
      <c r="AF555">
        <f t="shared" si="160"/>
        <v>0.72897686624765745</v>
      </c>
      <c r="AG555">
        <f t="shared" si="161"/>
        <v>0.73305851410224221</v>
      </c>
      <c r="AI555">
        <f t="shared" si="162"/>
        <v>0.24061761450404864</v>
      </c>
      <c r="AJ555">
        <f t="shared" si="163"/>
        <v>16.451857374490316</v>
      </c>
      <c r="AL555">
        <f t="shared" si="164"/>
        <v>0.24634983858640441</v>
      </c>
      <c r="AM555">
        <f t="shared" si="165"/>
        <v>17.245058272483341</v>
      </c>
      <c r="AO555">
        <f t="shared" si="166"/>
        <v>0.24497817006226902</v>
      </c>
      <c r="AP555">
        <f t="shared" si="167"/>
        <v>17.053552972697698</v>
      </c>
    </row>
    <row r="556" spans="1:42" x14ac:dyDescent="0.2">
      <c r="A556" s="3">
        <v>550</v>
      </c>
      <c r="B556" s="3">
        <v>4.3099999999999998E-7</v>
      </c>
      <c r="C556" s="2">
        <v>2.8840000000000001E-2</v>
      </c>
      <c r="D556" s="3">
        <v>202000</v>
      </c>
      <c r="E556" s="3">
        <v>106000000000</v>
      </c>
      <c r="F556" s="3">
        <v>96800000000</v>
      </c>
      <c r="G556" s="3">
        <v>7270000000</v>
      </c>
      <c r="H556" s="3">
        <v>9600000000</v>
      </c>
      <c r="I556" s="2"/>
      <c r="J556" s="7">
        <f t="shared" si="168"/>
        <v>0.43099999999999999</v>
      </c>
      <c r="K556" s="7">
        <f t="shared" si="169"/>
        <v>28.84</v>
      </c>
      <c r="L556" s="7">
        <f t="shared" si="170"/>
        <v>106</v>
      </c>
      <c r="M556" s="7">
        <f t="shared" si="171"/>
        <v>202</v>
      </c>
      <c r="O556">
        <f t="shared" si="172"/>
        <v>0.32392079207920793</v>
      </c>
      <c r="P556">
        <f t="shared" si="173"/>
        <v>323.92079207920796</v>
      </c>
      <c r="V556">
        <f t="shared" si="157"/>
        <v>827.58782436114689</v>
      </c>
      <c r="W556">
        <f t="shared" si="158"/>
        <v>122.04142814445893</v>
      </c>
      <c r="AE556">
        <f t="shared" si="159"/>
        <v>0.73542115741434244</v>
      </c>
      <c r="AF556">
        <f t="shared" si="160"/>
        <v>0.71830891210744785</v>
      </c>
      <c r="AG556">
        <f t="shared" si="161"/>
        <v>0.72233082853001429</v>
      </c>
      <c r="AI556">
        <f t="shared" si="162"/>
        <v>0.24419114343232662</v>
      </c>
      <c r="AJ556">
        <f t="shared" si="163"/>
        <v>16.973582289604888</v>
      </c>
      <c r="AL556">
        <f t="shared" si="164"/>
        <v>0.25000849955550941</v>
      </c>
      <c r="AM556">
        <f t="shared" si="165"/>
        <v>17.791937348721135</v>
      </c>
      <c r="AO556">
        <f t="shared" si="166"/>
        <v>0.24861645971665919</v>
      </c>
      <c r="AP556">
        <f t="shared" si="167"/>
        <v>17.594358990799844</v>
      </c>
    </row>
    <row r="557" spans="1:42" x14ac:dyDescent="0.2">
      <c r="A557" s="3">
        <v>560</v>
      </c>
      <c r="B557" s="3">
        <v>4.32E-7</v>
      </c>
      <c r="C557" s="2">
        <v>2.8889999999999999E-2</v>
      </c>
      <c r="D557" s="3">
        <v>204000</v>
      </c>
      <c r="E557" s="3">
        <v>107000000000</v>
      </c>
      <c r="F557" s="3">
        <v>97400000000</v>
      </c>
      <c r="G557" s="2">
        <v>0</v>
      </c>
      <c r="H557" s="3">
        <v>9590000000</v>
      </c>
      <c r="I557" s="2"/>
      <c r="J557" s="7">
        <f t="shared" si="168"/>
        <v>0.432</v>
      </c>
      <c r="K557" s="7">
        <f t="shared" si="169"/>
        <v>28.89</v>
      </c>
      <c r="L557" s="7">
        <f t="shared" si="170"/>
        <v>107</v>
      </c>
      <c r="M557" s="7">
        <f t="shared" si="171"/>
        <v>204</v>
      </c>
      <c r="O557">
        <f t="shared" si="172"/>
        <v>0.3257867647058823</v>
      </c>
      <c r="P557">
        <f t="shared" si="173"/>
        <v>325.78676470588232</v>
      </c>
      <c r="V557">
        <f t="shared" si="157"/>
        <v>829.69649457772516</v>
      </c>
      <c r="W557">
        <f t="shared" si="158"/>
        <v>122.93652036207889</v>
      </c>
      <c r="AE557">
        <f t="shared" si="159"/>
        <v>0.74270255501250426</v>
      </c>
      <c r="AF557">
        <f t="shared" si="160"/>
        <v>0.72542088153425421</v>
      </c>
      <c r="AG557">
        <f t="shared" si="161"/>
        <v>0.72948261891149957</v>
      </c>
      <c r="AI557">
        <f t="shared" si="162"/>
        <v>0.24235812679676252</v>
      </c>
      <c r="AJ557">
        <f t="shared" si="163"/>
        <v>16.671251377525955</v>
      </c>
      <c r="AL557">
        <f t="shared" si="164"/>
        <v>0.24813181503584888</v>
      </c>
      <c r="AM557">
        <f t="shared" si="165"/>
        <v>17.475030018582324</v>
      </c>
      <c r="AO557">
        <f t="shared" si="166"/>
        <v>0.24675022452020548</v>
      </c>
      <c r="AP557">
        <f t="shared" si="167"/>
        <v>17.280970896856324</v>
      </c>
    </row>
    <row r="558" spans="1:42" x14ac:dyDescent="0.2">
      <c r="A558" s="3">
        <v>560</v>
      </c>
      <c r="B558" s="3">
        <v>4.3300000000000003E-7</v>
      </c>
      <c r="C558" s="2">
        <v>2.895E-2</v>
      </c>
      <c r="D558" s="3">
        <v>198000</v>
      </c>
      <c r="E558" s="3">
        <v>104000000000</v>
      </c>
      <c r="F558" s="3">
        <v>95100000000</v>
      </c>
      <c r="G558" s="3">
        <v>7750000000</v>
      </c>
      <c r="H558" s="3">
        <v>9660000000</v>
      </c>
      <c r="I558" s="2"/>
      <c r="J558" s="7">
        <f t="shared" si="168"/>
        <v>0.43300000000000005</v>
      </c>
      <c r="K558" s="7">
        <f t="shared" si="169"/>
        <v>28.95</v>
      </c>
      <c r="L558" s="7">
        <f t="shared" si="170"/>
        <v>104</v>
      </c>
      <c r="M558" s="7">
        <f t="shared" si="171"/>
        <v>198</v>
      </c>
      <c r="O558">
        <f t="shared" si="172"/>
        <v>0.32334090909090918</v>
      </c>
      <c r="P558">
        <f t="shared" si="173"/>
        <v>323.34090909090918</v>
      </c>
      <c r="V558">
        <f t="shared" si="157"/>
        <v>826.93114157219463</v>
      </c>
      <c r="W558">
        <f t="shared" si="158"/>
        <v>119.71976265372862</v>
      </c>
      <c r="AE558">
        <f t="shared" si="159"/>
        <v>0.7208583622180188</v>
      </c>
      <c r="AF558">
        <f t="shared" si="160"/>
        <v>0.70408497325383501</v>
      </c>
      <c r="AG558">
        <f t="shared" si="161"/>
        <v>0.70802724776704373</v>
      </c>
      <c r="AI558">
        <f t="shared" si="162"/>
        <v>0.25028032706944014</v>
      </c>
      <c r="AJ558">
        <f t="shared" si="163"/>
        <v>17.733692787103838</v>
      </c>
      <c r="AL558">
        <f t="shared" si="164"/>
        <v>0.2562427455778456</v>
      </c>
      <c r="AM558">
        <f t="shared" si="165"/>
        <v>18.588695400077736</v>
      </c>
      <c r="AO558">
        <f t="shared" si="166"/>
        <v>0.25481599364383173</v>
      </c>
      <c r="AP558">
        <f t="shared" si="167"/>
        <v>18.382269093540046</v>
      </c>
    </row>
    <row r="559" spans="1:42" x14ac:dyDescent="0.2">
      <c r="A559" s="3">
        <v>560</v>
      </c>
      <c r="B559" s="3">
        <v>4.34E-7</v>
      </c>
      <c r="C559" s="2">
        <v>2.9000000000000001E-2</v>
      </c>
      <c r="D559" s="3">
        <v>201000</v>
      </c>
      <c r="E559" s="3">
        <v>106000000000</v>
      </c>
      <c r="F559" s="3">
        <v>96300000000</v>
      </c>
      <c r="G559" s="3">
        <v>11000000000</v>
      </c>
      <c r="H559" s="3">
        <v>9620000000</v>
      </c>
      <c r="I559" s="2"/>
      <c r="J559" s="7">
        <f t="shared" si="168"/>
        <v>0.434</v>
      </c>
      <c r="K559" s="7">
        <f t="shared" si="169"/>
        <v>29</v>
      </c>
      <c r="L559" s="7">
        <f t="shared" si="170"/>
        <v>106</v>
      </c>
      <c r="M559" s="7">
        <f t="shared" si="171"/>
        <v>201</v>
      </c>
      <c r="O559">
        <f t="shared" si="172"/>
        <v>0.32579104477611942</v>
      </c>
      <c r="P559">
        <f t="shared" si="173"/>
        <v>325.79104477611941</v>
      </c>
      <c r="V559">
        <f t="shared" si="157"/>
        <v>829.7013235916545</v>
      </c>
      <c r="W559">
        <f t="shared" si="158"/>
        <v>121.12792536590196</v>
      </c>
      <c r="AE559">
        <f t="shared" si="159"/>
        <v>0.73178045861526153</v>
      </c>
      <c r="AF559">
        <f t="shared" si="160"/>
        <v>0.71475292739404461</v>
      </c>
      <c r="AG559">
        <f t="shared" si="161"/>
        <v>0.71875493333927165</v>
      </c>
      <c r="AI559">
        <f t="shared" si="162"/>
        <v>0.24711418732815282</v>
      </c>
      <c r="AJ559">
        <f t="shared" si="163"/>
        <v>17.237999990289872</v>
      </c>
      <c r="AL559">
        <f t="shared" si="164"/>
        <v>0.25300117901250591</v>
      </c>
      <c r="AM559">
        <f t="shared" si="165"/>
        <v>18.069103540525045</v>
      </c>
      <c r="AO559">
        <f t="shared" si="166"/>
        <v>0.25159247602405693</v>
      </c>
      <c r="AP559">
        <f t="shared" si="167"/>
        <v>17.868447269278487</v>
      </c>
    </row>
    <row r="560" spans="1:42" x14ac:dyDescent="0.2">
      <c r="A560" s="3">
        <v>560</v>
      </c>
      <c r="B560" s="3">
        <v>4.34E-7</v>
      </c>
      <c r="C560" s="2">
        <v>2.9049999999999999E-2</v>
      </c>
      <c r="D560" s="3">
        <v>185000</v>
      </c>
      <c r="E560" s="3">
        <v>98100000000</v>
      </c>
      <c r="F560" s="3">
        <v>89900000000</v>
      </c>
      <c r="G560" s="3">
        <v>9350000000</v>
      </c>
      <c r="H560" s="3">
        <v>9910000000</v>
      </c>
      <c r="I560" s="2"/>
      <c r="J560" s="7">
        <f t="shared" si="168"/>
        <v>0.434</v>
      </c>
      <c r="K560" s="7">
        <f t="shared" si="169"/>
        <v>29.05</v>
      </c>
      <c r="L560" s="7">
        <f t="shared" si="170"/>
        <v>98.100000000000009</v>
      </c>
      <c r="M560" s="7">
        <f t="shared" si="171"/>
        <v>185</v>
      </c>
      <c r="O560">
        <f t="shared" si="172"/>
        <v>0.31622972972972974</v>
      </c>
      <c r="P560">
        <f t="shared" si="173"/>
        <v>316.22972972972974</v>
      </c>
      <c r="V560">
        <f t="shared" si="157"/>
        <v>818.82421741503686</v>
      </c>
      <c r="W560">
        <f t="shared" si="158"/>
        <v>112.96685910440603</v>
      </c>
      <c r="AE560">
        <f t="shared" si="159"/>
        <v>0.67352927782996708</v>
      </c>
      <c r="AF560">
        <f t="shared" si="160"/>
        <v>0.65785717197959337</v>
      </c>
      <c r="AG560">
        <f t="shared" si="161"/>
        <v>0.66154061028738931</v>
      </c>
      <c r="AI560">
        <f t="shared" si="162"/>
        <v>0.26848622515112824</v>
      </c>
      <c r="AJ560">
        <f t="shared" si="163"/>
        <v>20.383730699482349</v>
      </c>
      <c r="AL560">
        <f t="shared" si="164"/>
        <v>0.27488236206223615</v>
      </c>
      <c r="AM560">
        <f t="shared" si="165"/>
        <v>21.366500798155062</v>
      </c>
      <c r="AO560">
        <f t="shared" si="166"/>
        <v>0.27335182530181318</v>
      </c>
      <c r="AP560">
        <f t="shared" si="167"/>
        <v>21.129227135400914</v>
      </c>
    </row>
    <row r="561" spans="1:42" x14ac:dyDescent="0.2">
      <c r="A561" s="3">
        <v>560</v>
      </c>
      <c r="B561" s="3">
        <v>4.3500000000000002E-7</v>
      </c>
      <c r="C561" s="2">
        <v>2.9100000000000001E-2</v>
      </c>
      <c r="D561" s="3">
        <v>199000</v>
      </c>
      <c r="E561" s="3">
        <v>104000000000</v>
      </c>
      <c r="F561" s="3">
        <v>95100000000</v>
      </c>
      <c r="G561" s="3">
        <v>4310000000</v>
      </c>
      <c r="H561" s="3">
        <v>9660000000</v>
      </c>
      <c r="I561" s="2"/>
      <c r="J561" s="7">
        <f t="shared" si="168"/>
        <v>0.435</v>
      </c>
      <c r="K561" s="7">
        <f t="shared" si="169"/>
        <v>29.1</v>
      </c>
      <c r="L561" s="7">
        <f t="shared" si="170"/>
        <v>104</v>
      </c>
      <c r="M561" s="7">
        <f t="shared" si="171"/>
        <v>199</v>
      </c>
      <c r="O561">
        <f t="shared" si="172"/>
        <v>0.3253266331658291</v>
      </c>
      <c r="P561">
        <f t="shared" si="173"/>
        <v>325.32663316582909</v>
      </c>
      <c r="V561">
        <f t="shared" si="157"/>
        <v>829.17714226773421</v>
      </c>
      <c r="W561">
        <f t="shared" si="158"/>
        <v>119.99848395226542</v>
      </c>
      <c r="AE561">
        <f t="shared" si="159"/>
        <v>0.72449906101709971</v>
      </c>
      <c r="AF561">
        <f t="shared" si="160"/>
        <v>0.70764095796723825</v>
      </c>
      <c r="AG561">
        <f t="shared" si="161"/>
        <v>0.71160314295778637</v>
      </c>
      <c r="AI561">
        <f t="shared" si="162"/>
        <v>0.25017285701592112</v>
      </c>
      <c r="AJ561">
        <f t="shared" si="163"/>
        <v>17.646875805456069</v>
      </c>
      <c r="AL561">
        <f t="shared" si="164"/>
        <v>0.25613271526941683</v>
      </c>
      <c r="AM561">
        <f t="shared" si="165"/>
        <v>18.497692671724494</v>
      </c>
      <c r="AO561">
        <f t="shared" si="166"/>
        <v>0.25470657598086538</v>
      </c>
      <c r="AP561">
        <f t="shared" si="167"/>
        <v>18.292276944826451</v>
      </c>
    </row>
    <row r="562" spans="1:42" x14ac:dyDescent="0.2">
      <c r="A562" s="3">
        <v>560</v>
      </c>
      <c r="B562" s="3">
        <v>4.3599999999999999E-7</v>
      </c>
      <c r="C562" s="2">
        <v>2.9149999999999999E-2</v>
      </c>
      <c r="D562" s="3">
        <v>187000</v>
      </c>
      <c r="E562" s="3">
        <v>98600000000</v>
      </c>
      <c r="F562" s="3">
        <v>90300000000</v>
      </c>
      <c r="G562" s="2">
        <v>0</v>
      </c>
      <c r="H562" s="3">
        <v>9870000000</v>
      </c>
      <c r="I562" s="2"/>
      <c r="J562" s="7">
        <f t="shared" si="168"/>
        <v>0.436</v>
      </c>
      <c r="K562" s="7">
        <f t="shared" si="169"/>
        <v>29.15</v>
      </c>
      <c r="L562" s="7">
        <f t="shared" si="170"/>
        <v>98.600000000000009</v>
      </c>
      <c r="M562" s="7">
        <f t="shared" si="171"/>
        <v>187</v>
      </c>
      <c r="O562">
        <f t="shared" si="172"/>
        <v>0.31908823529411767</v>
      </c>
      <c r="P562">
        <f t="shared" si="173"/>
        <v>319.08823529411768</v>
      </c>
      <c r="V562">
        <f t="shared" si="157"/>
        <v>822.09506881178345</v>
      </c>
      <c r="W562">
        <f t="shared" si="158"/>
        <v>113.73380469869548</v>
      </c>
      <c r="AE562">
        <f t="shared" si="159"/>
        <v>0.6808106754281289</v>
      </c>
      <c r="AF562">
        <f t="shared" si="160"/>
        <v>0.66496914140639973</v>
      </c>
      <c r="AG562">
        <f t="shared" si="161"/>
        <v>0.66869240066887459</v>
      </c>
      <c r="AI562">
        <f t="shared" si="162"/>
        <v>0.26683874566512239</v>
      </c>
      <c r="AJ562">
        <f t="shared" si="163"/>
        <v>20.018721563497607</v>
      </c>
      <c r="AL562">
        <f t="shared" si="164"/>
        <v>0.27319563473643965</v>
      </c>
      <c r="AM562">
        <f t="shared" si="165"/>
        <v>20.983893310333912</v>
      </c>
      <c r="AO562">
        <f t="shared" si="166"/>
        <v>0.27167448962325652</v>
      </c>
      <c r="AP562">
        <f t="shared" si="167"/>
        <v>20.75086847994076</v>
      </c>
    </row>
    <row r="563" spans="1:42" x14ac:dyDescent="0.2">
      <c r="A563" s="3">
        <v>560</v>
      </c>
      <c r="B563" s="3">
        <v>4.3599999999999999E-7</v>
      </c>
      <c r="C563" s="2">
        <v>2.921E-2</v>
      </c>
      <c r="D563" s="3">
        <v>187000</v>
      </c>
      <c r="E563" s="3">
        <v>98600000000</v>
      </c>
      <c r="F563" s="3">
        <v>90300000000</v>
      </c>
      <c r="G563" s="3">
        <v>6780000000</v>
      </c>
      <c r="H563" s="3">
        <v>9870000000</v>
      </c>
      <c r="I563" s="2"/>
      <c r="J563" s="7">
        <f t="shared" si="168"/>
        <v>0.436</v>
      </c>
      <c r="K563" s="7">
        <f t="shared" si="169"/>
        <v>29.21</v>
      </c>
      <c r="L563" s="7">
        <f t="shared" si="170"/>
        <v>98.600000000000009</v>
      </c>
      <c r="M563" s="7">
        <f t="shared" si="171"/>
        <v>187</v>
      </c>
      <c r="O563">
        <f t="shared" si="172"/>
        <v>0.31884759358288772</v>
      </c>
      <c r="P563">
        <f t="shared" si="173"/>
        <v>318.84759358288773</v>
      </c>
      <c r="V563">
        <f t="shared" si="157"/>
        <v>821.82034473058752</v>
      </c>
      <c r="W563">
        <f t="shared" si="158"/>
        <v>113.77182446201371</v>
      </c>
      <c r="AE563">
        <f t="shared" si="159"/>
        <v>0.6808106754281289</v>
      </c>
      <c r="AF563">
        <f t="shared" si="160"/>
        <v>0.66496914140639973</v>
      </c>
      <c r="AG563">
        <f t="shared" si="161"/>
        <v>0.66869240066887459</v>
      </c>
      <c r="AI563">
        <f t="shared" si="162"/>
        <v>0.26683874566512239</v>
      </c>
      <c r="AJ563">
        <f t="shared" si="163"/>
        <v>20.059926479237223</v>
      </c>
      <c r="AL563">
        <f t="shared" si="164"/>
        <v>0.27319563473643965</v>
      </c>
      <c r="AM563">
        <f t="shared" si="165"/>
        <v>21.027084857456384</v>
      </c>
      <c r="AO563">
        <f t="shared" si="166"/>
        <v>0.27167448962325652</v>
      </c>
      <c r="AP563">
        <f t="shared" si="167"/>
        <v>20.793580387618171</v>
      </c>
    </row>
    <row r="564" spans="1:42" x14ac:dyDescent="0.2">
      <c r="A564" s="3">
        <v>560</v>
      </c>
      <c r="B564" s="3">
        <v>4.3700000000000001E-7</v>
      </c>
      <c r="C564" s="2">
        <v>2.9260000000000001E-2</v>
      </c>
      <c r="D564" s="3">
        <v>221000</v>
      </c>
      <c r="E564" s="3">
        <v>115000000000</v>
      </c>
      <c r="F564" s="3">
        <v>104000000000</v>
      </c>
      <c r="G564" s="3">
        <v>3360000000</v>
      </c>
      <c r="H564" s="3">
        <v>9340000000</v>
      </c>
      <c r="I564" s="2"/>
      <c r="J564" s="7">
        <f t="shared" si="168"/>
        <v>0.437</v>
      </c>
      <c r="K564" s="7">
        <f t="shared" si="169"/>
        <v>29.26</v>
      </c>
      <c r="L564" s="7">
        <f t="shared" si="170"/>
        <v>115.00000000000001</v>
      </c>
      <c r="M564" s="7">
        <f t="shared" si="171"/>
        <v>221</v>
      </c>
      <c r="O564">
        <f t="shared" si="172"/>
        <v>0.33770135746606333</v>
      </c>
      <c r="P564">
        <f t="shared" si="173"/>
        <v>337.70135746606331</v>
      </c>
      <c r="V564">
        <f t="shared" si="157"/>
        <v>843.00487851691867</v>
      </c>
      <c r="W564">
        <f t="shared" si="158"/>
        <v>131.07871949021268</v>
      </c>
      <c r="AE564">
        <f t="shared" si="159"/>
        <v>0.80459443459687963</v>
      </c>
      <c r="AF564">
        <f t="shared" si="160"/>
        <v>0.78587262166210881</v>
      </c>
      <c r="AG564">
        <f t="shared" si="161"/>
        <v>0.79027283715412455</v>
      </c>
      <c r="AI564">
        <f t="shared" si="162"/>
        <v>0.22630449019270349</v>
      </c>
      <c r="AJ564">
        <f t="shared" si="163"/>
        <v>14.387017354978987</v>
      </c>
      <c r="AL564">
        <f t="shared" si="164"/>
        <v>0.23169573327065374</v>
      </c>
      <c r="AM564">
        <f t="shared" si="165"/>
        <v>15.080665180002393</v>
      </c>
      <c r="AO564">
        <f t="shared" si="166"/>
        <v>0.23040565836608928</v>
      </c>
      <c r="AP564">
        <f t="shared" si="167"/>
        <v>14.913195330922701</v>
      </c>
    </row>
    <row r="565" spans="1:42" x14ac:dyDescent="0.2">
      <c r="A565" s="3">
        <v>560</v>
      </c>
      <c r="B565" s="3">
        <v>4.3799999999999998E-7</v>
      </c>
      <c r="C565" s="2">
        <v>2.9309999999999999E-2</v>
      </c>
      <c r="D565" s="3">
        <v>204000</v>
      </c>
      <c r="E565" s="3">
        <v>106000000000</v>
      </c>
      <c r="F565" s="3">
        <v>96800000000</v>
      </c>
      <c r="G565" s="2">
        <v>0</v>
      </c>
      <c r="H565" s="3">
        <v>9570000000</v>
      </c>
      <c r="I565" s="2"/>
      <c r="J565" s="7">
        <f t="shared" si="168"/>
        <v>0.438</v>
      </c>
      <c r="K565" s="7">
        <f t="shared" si="169"/>
        <v>29.31</v>
      </c>
      <c r="L565" s="7">
        <f t="shared" si="170"/>
        <v>106</v>
      </c>
      <c r="M565" s="7">
        <f t="shared" si="171"/>
        <v>204</v>
      </c>
      <c r="O565">
        <f t="shared" si="172"/>
        <v>0.33024264705882356</v>
      </c>
      <c r="P565">
        <f t="shared" si="173"/>
        <v>330.24264705882354</v>
      </c>
      <c r="V565">
        <f t="shared" si="157"/>
        <v>834.70487339412762</v>
      </c>
      <c r="W565">
        <f t="shared" si="158"/>
        <v>122.19887921013498</v>
      </c>
      <c r="AE565">
        <f t="shared" si="159"/>
        <v>0.74270255501250426</v>
      </c>
      <c r="AF565">
        <f t="shared" si="160"/>
        <v>0.72542088153425421</v>
      </c>
      <c r="AG565">
        <f t="shared" si="161"/>
        <v>0.72948261891149957</v>
      </c>
      <c r="AI565">
        <f t="shared" si="162"/>
        <v>0.245724211891162</v>
      </c>
      <c r="AJ565">
        <f t="shared" si="163"/>
        <v>16.913616402744402</v>
      </c>
      <c r="AL565">
        <f t="shared" si="164"/>
        <v>0.25157809024468014</v>
      </c>
      <c r="AM565">
        <f t="shared" si="165"/>
        <v>17.7290802992263</v>
      </c>
      <c r="AO565">
        <f t="shared" si="166"/>
        <v>0.25017731097187501</v>
      </c>
      <c r="AP565">
        <f t="shared" si="167"/>
        <v>17.532199964931078</v>
      </c>
    </row>
    <row r="566" spans="1:42" x14ac:dyDescent="0.2">
      <c r="A566" s="3">
        <v>560</v>
      </c>
      <c r="B566" s="3">
        <v>4.39E-7</v>
      </c>
      <c r="C566" s="2">
        <v>2.9360000000000001E-2</v>
      </c>
      <c r="D566" s="3">
        <v>195000</v>
      </c>
      <c r="E566" s="3">
        <v>102000000000</v>
      </c>
      <c r="F566" s="3">
        <v>93300000000</v>
      </c>
      <c r="G566" s="3">
        <v>4900000000</v>
      </c>
      <c r="H566" s="3">
        <v>9710000000</v>
      </c>
      <c r="I566" s="2"/>
      <c r="J566" s="7">
        <f t="shared" si="168"/>
        <v>0.439</v>
      </c>
      <c r="K566" s="7">
        <f t="shared" si="169"/>
        <v>29.36</v>
      </c>
      <c r="L566" s="7">
        <f t="shared" si="170"/>
        <v>102</v>
      </c>
      <c r="M566" s="7">
        <f t="shared" si="171"/>
        <v>195</v>
      </c>
      <c r="O566">
        <f t="shared" si="172"/>
        <v>0.3260769230769231</v>
      </c>
      <c r="P566">
        <f t="shared" si="173"/>
        <v>326.07692307692309</v>
      </c>
      <c r="V566">
        <f t="shared" si="157"/>
        <v>830.02378746865361</v>
      </c>
      <c r="W566">
        <f t="shared" si="158"/>
        <v>117.46651297470454</v>
      </c>
      <c r="AE566">
        <f t="shared" si="159"/>
        <v>0.70993626582077607</v>
      </c>
      <c r="AF566">
        <f t="shared" si="160"/>
        <v>0.69341701911362541</v>
      </c>
      <c r="AG566">
        <f t="shared" si="161"/>
        <v>0.69729956219481581</v>
      </c>
      <c r="AI566">
        <f t="shared" si="162"/>
        <v>0.25765223650772634</v>
      </c>
      <c r="AJ566">
        <f t="shared" si="163"/>
        <v>18.54248009989989</v>
      </c>
      <c r="AL566">
        <f t="shared" si="164"/>
        <v>0.26379027572828206</v>
      </c>
      <c r="AM566">
        <f t="shared" si="165"/>
        <v>19.436477144213189</v>
      </c>
      <c r="AO566">
        <f t="shared" si="166"/>
        <v>0.26232149937240645</v>
      </c>
      <c r="AP566">
        <f t="shared" si="167"/>
        <v>19.220636274123542</v>
      </c>
    </row>
    <row r="567" spans="1:42" x14ac:dyDescent="0.2">
      <c r="A567" s="3">
        <v>570</v>
      </c>
      <c r="B567" s="3">
        <v>4.4000000000000002E-7</v>
      </c>
      <c r="C567" s="2">
        <v>2.9409999999999999E-2</v>
      </c>
      <c r="D567" s="3">
        <v>199000</v>
      </c>
      <c r="E567" s="3">
        <v>104000000000</v>
      </c>
      <c r="F567" s="3">
        <v>94600000000</v>
      </c>
      <c r="G567" s="2">
        <v>0</v>
      </c>
      <c r="H567" s="3">
        <v>9640000000</v>
      </c>
      <c r="I567" s="2"/>
      <c r="J567" s="7">
        <f t="shared" si="168"/>
        <v>0.44</v>
      </c>
      <c r="K567" s="7">
        <f t="shared" si="169"/>
        <v>29.41</v>
      </c>
      <c r="L567" s="7">
        <f t="shared" si="170"/>
        <v>104</v>
      </c>
      <c r="M567" s="7">
        <f t="shared" si="171"/>
        <v>199</v>
      </c>
      <c r="O567">
        <f t="shared" si="172"/>
        <v>0.32915829145728642</v>
      </c>
      <c r="P567">
        <f t="shared" si="173"/>
        <v>329.1582914572864</v>
      </c>
      <c r="V567">
        <f t="shared" si="157"/>
        <v>833.48954826360239</v>
      </c>
      <c r="W567">
        <f t="shared" si="158"/>
        <v>119.37762171977683</v>
      </c>
      <c r="AE567">
        <f t="shared" si="159"/>
        <v>0.72449906101709971</v>
      </c>
      <c r="AF567">
        <f t="shared" si="160"/>
        <v>0.70764095796723825</v>
      </c>
      <c r="AG567">
        <f t="shared" si="161"/>
        <v>0.71160314295778637</v>
      </c>
      <c r="AI567">
        <f t="shared" si="162"/>
        <v>0.2530484070965639</v>
      </c>
      <c r="AJ567">
        <f t="shared" si="163"/>
        <v>17.834866578641339</v>
      </c>
      <c r="AL567">
        <f t="shared" si="164"/>
        <v>0.25907676946791586</v>
      </c>
      <c r="AM567">
        <f t="shared" si="165"/>
        <v>18.694747129739429</v>
      </c>
      <c r="AO567">
        <f t="shared" si="166"/>
        <v>0.25763423777374889</v>
      </c>
      <c r="AP567">
        <f t="shared" si="167"/>
        <v>18.487143125338349</v>
      </c>
    </row>
    <row r="568" spans="1:42" x14ac:dyDescent="0.2">
      <c r="A568" s="3">
        <v>570</v>
      </c>
      <c r="B568" s="3">
        <v>4.4000000000000002E-7</v>
      </c>
      <c r="C568" s="2">
        <v>2.947E-2</v>
      </c>
      <c r="D568" s="3">
        <v>194000</v>
      </c>
      <c r="E568" s="3">
        <v>102000000000</v>
      </c>
      <c r="F568" s="3">
        <v>92800000000</v>
      </c>
      <c r="G568" s="3">
        <v>5400000000</v>
      </c>
      <c r="H568" s="3">
        <v>9740000000</v>
      </c>
      <c r="I568" s="2"/>
      <c r="J568" s="7">
        <f t="shared" si="168"/>
        <v>0.44</v>
      </c>
      <c r="K568" s="7">
        <f t="shared" si="169"/>
        <v>29.47</v>
      </c>
      <c r="L568" s="7">
        <f t="shared" si="170"/>
        <v>102</v>
      </c>
      <c r="M568" s="7">
        <f t="shared" si="171"/>
        <v>194</v>
      </c>
      <c r="O568">
        <f t="shared" si="172"/>
        <v>0.32606958762886601</v>
      </c>
      <c r="P568">
        <f t="shared" si="173"/>
        <v>326.06958762886603</v>
      </c>
      <c r="V568">
        <f t="shared" si="157"/>
        <v>830.01551522773093</v>
      </c>
      <c r="W568">
        <f t="shared" si="158"/>
        <v>116.86528531142717</v>
      </c>
      <c r="AE568">
        <f t="shared" si="159"/>
        <v>0.70629556702169527</v>
      </c>
      <c r="AF568">
        <f t="shared" si="160"/>
        <v>0.68986103440022217</v>
      </c>
      <c r="AG568">
        <f t="shared" si="161"/>
        <v>0.69372366700407317</v>
      </c>
      <c r="AI568">
        <f t="shared" si="162"/>
        <v>0.25957027325884646</v>
      </c>
      <c r="AJ568">
        <f t="shared" si="163"/>
        <v>18.804321555937772</v>
      </c>
      <c r="AL568">
        <f t="shared" si="164"/>
        <v>0.26575400579440855</v>
      </c>
      <c r="AM568">
        <f t="shared" si="165"/>
        <v>19.71094288171264</v>
      </c>
      <c r="AO568">
        <f t="shared" si="166"/>
        <v>0.26427429544833003</v>
      </c>
      <c r="AP568">
        <f t="shared" si="167"/>
        <v>19.492054086674862</v>
      </c>
    </row>
    <row r="569" spans="1:42" x14ac:dyDescent="0.2">
      <c r="A569" s="3">
        <v>570</v>
      </c>
      <c r="B569" s="3">
        <v>4.4099999999999999E-7</v>
      </c>
      <c r="C569" s="2">
        <v>2.9520000000000001E-2</v>
      </c>
      <c r="D569" s="3">
        <v>194000</v>
      </c>
      <c r="E569" s="3">
        <v>101000000000</v>
      </c>
      <c r="F569" s="3">
        <v>92500000000</v>
      </c>
      <c r="G569" s="2">
        <v>0</v>
      </c>
      <c r="H569" s="3">
        <v>9740000000</v>
      </c>
      <c r="I569" s="2"/>
      <c r="J569" s="7">
        <f t="shared" si="168"/>
        <v>0.441</v>
      </c>
      <c r="K569" s="7">
        <f t="shared" si="169"/>
        <v>29.52</v>
      </c>
      <c r="L569" s="7">
        <f t="shared" si="170"/>
        <v>101</v>
      </c>
      <c r="M569" s="7">
        <f t="shared" si="171"/>
        <v>194</v>
      </c>
      <c r="O569">
        <f t="shared" si="172"/>
        <v>0.32687628865979379</v>
      </c>
      <c r="P569">
        <f t="shared" si="173"/>
        <v>326.87628865979377</v>
      </c>
      <c r="V569">
        <f t="shared" si="157"/>
        <v>830.92461786559829</v>
      </c>
      <c r="W569">
        <f t="shared" si="158"/>
        <v>116.73742468861322</v>
      </c>
      <c r="AE569">
        <f t="shared" si="159"/>
        <v>0.70629556702169527</v>
      </c>
      <c r="AF569">
        <f t="shared" si="160"/>
        <v>0.68986103440022217</v>
      </c>
      <c r="AG569">
        <f t="shared" si="161"/>
        <v>0.69372366700407317</v>
      </c>
      <c r="AI569">
        <f t="shared" si="162"/>
        <v>0.26016020569807108</v>
      </c>
      <c r="AJ569">
        <f t="shared" si="163"/>
        <v>18.836225732313643</v>
      </c>
      <c r="AL569">
        <f t="shared" si="164"/>
        <v>0.26635799217121403</v>
      </c>
      <c r="AM569">
        <f t="shared" si="165"/>
        <v>19.744385268685345</v>
      </c>
      <c r="AO569">
        <f t="shared" si="166"/>
        <v>0.2648749188470762</v>
      </c>
      <c r="AP569">
        <f t="shared" si="167"/>
        <v>19.525125098019746</v>
      </c>
    </row>
    <row r="570" spans="1:42" x14ac:dyDescent="0.2">
      <c r="A570" s="3">
        <v>570</v>
      </c>
      <c r="B570" s="3">
        <v>4.4200000000000001E-7</v>
      </c>
      <c r="C570" s="2">
        <v>2.9569999999999999E-2</v>
      </c>
      <c r="D570" s="3">
        <v>191000</v>
      </c>
      <c r="E570" s="3">
        <v>99700000000</v>
      </c>
      <c r="F570" s="3">
        <v>91300000000</v>
      </c>
      <c r="G570" s="2">
        <v>0</v>
      </c>
      <c r="H570" s="3">
        <v>9790000000</v>
      </c>
      <c r="I570" s="2"/>
      <c r="J570" s="7">
        <f t="shared" si="168"/>
        <v>0.442</v>
      </c>
      <c r="K570" s="7">
        <f t="shared" si="169"/>
        <v>29.57</v>
      </c>
      <c r="L570" s="7">
        <f t="shared" si="170"/>
        <v>99.7</v>
      </c>
      <c r="M570" s="7">
        <f t="shared" si="171"/>
        <v>191</v>
      </c>
      <c r="O570">
        <f t="shared" si="172"/>
        <v>0.32588743455497382</v>
      </c>
      <c r="P570">
        <f t="shared" si="173"/>
        <v>325.88743455497382</v>
      </c>
      <c r="V570">
        <f t="shared" si="157"/>
        <v>829.81006655841918</v>
      </c>
      <c r="W570">
        <f t="shared" si="158"/>
        <v>115.08657685496605</v>
      </c>
      <c r="AE570">
        <f t="shared" si="159"/>
        <v>0.69537347062445254</v>
      </c>
      <c r="AF570">
        <f t="shared" si="160"/>
        <v>0.67919308026001257</v>
      </c>
      <c r="AG570">
        <f t="shared" si="161"/>
        <v>0.68299598143184514</v>
      </c>
      <c r="AI570">
        <f t="shared" si="162"/>
        <v>0.26484569004521141</v>
      </c>
      <c r="AJ570">
        <f t="shared" si="163"/>
        <v>19.465500870136196</v>
      </c>
      <c r="AL570">
        <f t="shared" si="164"/>
        <v>0.27115509862992559</v>
      </c>
      <c r="AM570">
        <f t="shared" si="165"/>
        <v>20.403999935537577</v>
      </c>
      <c r="AO570">
        <f t="shared" si="166"/>
        <v>0.2696453151606783</v>
      </c>
      <c r="AP570">
        <f t="shared" si="167"/>
        <v>20.177414785012679</v>
      </c>
    </row>
    <row r="571" spans="1:42" x14ac:dyDescent="0.2">
      <c r="A571" s="3">
        <v>570</v>
      </c>
      <c r="B571" s="3">
        <v>4.4299999999999998E-7</v>
      </c>
      <c r="C571" s="2">
        <v>2.962E-2</v>
      </c>
      <c r="D571" s="3">
        <v>194000</v>
      </c>
      <c r="E571" s="3">
        <v>101000000000</v>
      </c>
      <c r="F571" s="3">
        <v>92400000000</v>
      </c>
      <c r="G571" s="3">
        <v>12000000000</v>
      </c>
      <c r="H571" s="3">
        <v>9720000000</v>
      </c>
      <c r="I571" s="2"/>
      <c r="J571" s="7">
        <f t="shared" si="168"/>
        <v>0.443</v>
      </c>
      <c r="K571" s="7">
        <f t="shared" si="169"/>
        <v>29.62</v>
      </c>
      <c r="L571" s="7">
        <f t="shared" si="170"/>
        <v>101</v>
      </c>
      <c r="M571" s="7">
        <f t="shared" si="171"/>
        <v>194</v>
      </c>
      <c r="O571">
        <f t="shared" si="172"/>
        <v>0.32848969072164946</v>
      </c>
      <c r="P571">
        <f t="shared" si="173"/>
        <v>328.48969072164948</v>
      </c>
      <c r="V571">
        <f t="shared" si="157"/>
        <v>832.73908160284839</v>
      </c>
      <c r="W571">
        <f t="shared" si="158"/>
        <v>116.48306431504969</v>
      </c>
      <c r="AE571">
        <f t="shared" si="159"/>
        <v>0.70629556702169527</v>
      </c>
      <c r="AF571">
        <f t="shared" si="160"/>
        <v>0.68986103440022217</v>
      </c>
      <c r="AG571">
        <f t="shared" si="161"/>
        <v>0.69372366700407317</v>
      </c>
      <c r="AI571">
        <f t="shared" si="162"/>
        <v>0.26134007057652042</v>
      </c>
      <c r="AJ571">
        <f t="shared" si="163"/>
        <v>18.900034085065386</v>
      </c>
      <c r="AL571">
        <f t="shared" si="164"/>
        <v>0.26756596492482498</v>
      </c>
      <c r="AM571">
        <f t="shared" si="165"/>
        <v>19.81127004263076</v>
      </c>
      <c r="AO571">
        <f t="shared" si="166"/>
        <v>0.26607616564456865</v>
      </c>
      <c r="AP571">
        <f t="shared" si="167"/>
        <v>19.591267120709517</v>
      </c>
    </row>
    <row r="572" spans="1:42" x14ac:dyDescent="0.2">
      <c r="A572" s="3">
        <v>570</v>
      </c>
      <c r="B572" s="3">
        <v>4.4400000000000001E-7</v>
      </c>
      <c r="C572" s="2">
        <v>2.9669999999999998E-2</v>
      </c>
      <c r="D572" s="3">
        <v>181000</v>
      </c>
      <c r="E572" s="3">
        <v>94700000000</v>
      </c>
      <c r="F572" s="3">
        <v>87100000000</v>
      </c>
      <c r="G572" s="2">
        <v>0</v>
      </c>
      <c r="H572" s="3">
        <v>9980000000</v>
      </c>
      <c r="I572" s="2"/>
      <c r="J572" s="7">
        <f t="shared" si="168"/>
        <v>0.44400000000000001</v>
      </c>
      <c r="K572" s="7">
        <f t="shared" si="169"/>
        <v>29.669999999999998</v>
      </c>
      <c r="L572" s="7">
        <f t="shared" si="170"/>
        <v>94.7</v>
      </c>
      <c r="M572" s="7">
        <f t="shared" si="171"/>
        <v>181</v>
      </c>
      <c r="O572">
        <f t="shared" si="172"/>
        <v>0.32105801104972376</v>
      </c>
      <c r="P572">
        <f t="shared" si="173"/>
        <v>321.05801104972375</v>
      </c>
      <c r="V572">
        <f t="shared" si="157"/>
        <v>824.33950103515326</v>
      </c>
      <c r="W572">
        <f t="shared" si="158"/>
        <v>109.78486398668976</v>
      </c>
      <c r="AE572">
        <f t="shared" si="159"/>
        <v>0.65896648263364344</v>
      </c>
      <c r="AF572">
        <f t="shared" si="160"/>
        <v>0.64363323312598053</v>
      </c>
      <c r="AG572">
        <f t="shared" si="161"/>
        <v>0.64723702952441875</v>
      </c>
      <c r="AI572">
        <f t="shared" si="162"/>
        <v>0.28074265516604724</v>
      </c>
      <c r="AJ572">
        <f t="shared" si="163"/>
        <v>21.749104984817411</v>
      </c>
      <c r="AL572">
        <f t="shared" si="164"/>
        <v>0.28743077653323928</v>
      </c>
      <c r="AM572">
        <f t="shared" si="165"/>
        <v>22.797704496216713</v>
      </c>
      <c r="AO572">
        <f t="shared" si="166"/>
        <v>0.2858303705768126</v>
      </c>
      <c r="AP572">
        <f t="shared" si="167"/>
        <v>22.544537405390539</v>
      </c>
    </row>
    <row r="573" spans="1:42" x14ac:dyDescent="0.2">
      <c r="A573" s="3">
        <v>570</v>
      </c>
      <c r="B573" s="3">
        <v>4.4400000000000001E-7</v>
      </c>
      <c r="C573" s="2">
        <v>2.9729999999999999E-2</v>
      </c>
      <c r="D573" s="3">
        <v>184000</v>
      </c>
      <c r="E573" s="3">
        <v>96500000000</v>
      </c>
      <c r="F573" s="3">
        <v>88500000000</v>
      </c>
      <c r="G573" s="2">
        <v>0</v>
      </c>
      <c r="H573" s="3">
        <v>9930000000</v>
      </c>
      <c r="I573" s="2"/>
      <c r="J573" s="7">
        <f t="shared" si="168"/>
        <v>0.44400000000000001</v>
      </c>
      <c r="K573" s="7">
        <f t="shared" si="169"/>
        <v>29.73</v>
      </c>
      <c r="L573" s="7">
        <f t="shared" si="170"/>
        <v>96.5</v>
      </c>
      <c r="M573" s="7">
        <f t="shared" si="171"/>
        <v>184</v>
      </c>
      <c r="O573">
        <f t="shared" si="172"/>
        <v>0.32281793478260867</v>
      </c>
      <c r="P573">
        <f t="shared" si="173"/>
        <v>322.81793478260869</v>
      </c>
      <c r="V573">
        <f t="shared" si="157"/>
        <v>826.33834167484861</v>
      </c>
      <c r="W573">
        <f t="shared" si="158"/>
        <v>111.33454102290776</v>
      </c>
      <c r="AE573">
        <f t="shared" si="159"/>
        <v>0.66988857903088617</v>
      </c>
      <c r="AF573">
        <f t="shared" si="160"/>
        <v>0.65430118726619013</v>
      </c>
      <c r="AG573">
        <f t="shared" si="161"/>
        <v>0.65796471509664667</v>
      </c>
      <c r="AI573">
        <f t="shared" si="162"/>
        <v>0.27616532926660081</v>
      </c>
      <c r="AJ573">
        <f t="shared" si="163"/>
        <v>21.088236150345637</v>
      </c>
      <c r="AL573">
        <f t="shared" si="164"/>
        <v>0.28274440517671906</v>
      </c>
      <c r="AM573">
        <f t="shared" si="165"/>
        <v>22.104972891418996</v>
      </c>
      <c r="AO573">
        <f t="shared" si="166"/>
        <v>0.2811700927956689</v>
      </c>
      <c r="AP573">
        <f t="shared" si="167"/>
        <v>21.859498541988742</v>
      </c>
    </row>
    <row r="574" spans="1:42" x14ac:dyDescent="0.2">
      <c r="A574" s="3">
        <v>570</v>
      </c>
      <c r="B574" s="3">
        <v>4.4499999999999997E-7</v>
      </c>
      <c r="C574" s="2">
        <v>2.9780000000000001E-2</v>
      </c>
      <c r="D574" s="3">
        <v>178000</v>
      </c>
      <c r="E574" s="3">
        <v>93400000000</v>
      </c>
      <c r="F574" s="3">
        <v>86000000000</v>
      </c>
      <c r="G574" s="2">
        <v>0</v>
      </c>
      <c r="H574" s="3">
        <v>10100000000</v>
      </c>
      <c r="I574" s="2"/>
      <c r="J574" s="7">
        <f t="shared" si="168"/>
        <v>0.44499999999999995</v>
      </c>
      <c r="K574" s="7">
        <f t="shared" si="169"/>
        <v>29.78</v>
      </c>
      <c r="L574" s="7">
        <f t="shared" si="170"/>
        <v>93.4</v>
      </c>
      <c r="M574" s="7">
        <f t="shared" si="171"/>
        <v>178</v>
      </c>
      <c r="O574">
        <f t="shared" si="172"/>
        <v>0.31952247191011229</v>
      </c>
      <c r="P574">
        <f t="shared" si="173"/>
        <v>319.5224719101123</v>
      </c>
      <c r="V574">
        <f t="shared" si="157"/>
        <v>822.59051503026615</v>
      </c>
      <c r="W574">
        <f t="shared" si="158"/>
        <v>108.19478023853139</v>
      </c>
      <c r="AE574">
        <f t="shared" si="159"/>
        <v>0.64804438623640082</v>
      </c>
      <c r="AF574">
        <f t="shared" si="160"/>
        <v>0.63296527898577093</v>
      </c>
      <c r="AG574">
        <f t="shared" si="161"/>
        <v>0.63650934395219083</v>
      </c>
      <c r="AI574">
        <f t="shared" si="162"/>
        <v>0.28611723302395575</v>
      </c>
      <c r="AJ574">
        <f t="shared" si="163"/>
        <v>22.571773408918823</v>
      </c>
      <c r="AL574">
        <f t="shared" si="164"/>
        <v>0.29293339275065483</v>
      </c>
      <c r="AM574">
        <f t="shared" si="165"/>
        <v>23.660036608003605</v>
      </c>
      <c r="AO574">
        <f t="shared" si="166"/>
        <v>0.29130234839190922</v>
      </c>
      <c r="AP574">
        <f t="shared" si="167"/>
        <v>23.397293372697479</v>
      </c>
    </row>
    <row r="575" spans="1:42" x14ac:dyDescent="0.2">
      <c r="A575" s="3">
        <v>570</v>
      </c>
      <c r="B575" s="3">
        <v>4.46E-7</v>
      </c>
      <c r="C575" s="2">
        <v>2.9829999999999999E-2</v>
      </c>
      <c r="D575" s="3">
        <v>198000</v>
      </c>
      <c r="E575" s="3">
        <v>102000000000</v>
      </c>
      <c r="F575" s="3">
        <v>93500000000</v>
      </c>
      <c r="G575" s="3">
        <v>6390000000</v>
      </c>
      <c r="H575" s="3">
        <v>9670000000</v>
      </c>
      <c r="I575" s="2"/>
      <c r="J575" s="7">
        <f t="shared" si="168"/>
        <v>0.44600000000000001</v>
      </c>
      <c r="K575" s="7">
        <f t="shared" si="169"/>
        <v>29.83</v>
      </c>
      <c r="L575" s="7">
        <f t="shared" si="170"/>
        <v>102</v>
      </c>
      <c r="M575" s="7">
        <f t="shared" si="171"/>
        <v>198</v>
      </c>
      <c r="O575">
        <f t="shared" si="172"/>
        <v>0.33300757575757578</v>
      </c>
      <c r="P575">
        <f t="shared" si="173"/>
        <v>333.00757575757581</v>
      </c>
      <c r="V575">
        <f t="shared" si="157"/>
        <v>837.79372930775401</v>
      </c>
      <c r="W575">
        <f t="shared" si="158"/>
        <v>118.16751132978877</v>
      </c>
      <c r="AE575">
        <f t="shared" si="159"/>
        <v>0.7208583622180188</v>
      </c>
      <c r="AF575">
        <f t="shared" si="160"/>
        <v>0.70408497325383501</v>
      </c>
      <c r="AG575">
        <f t="shared" si="161"/>
        <v>0.70802724776704373</v>
      </c>
      <c r="AI575">
        <f t="shared" si="162"/>
        <v>0.257794517027645</v>
      </c>
      <c r="AJ575">
        <f t="shared" si="163"/>
        <v>18.272748042808548</v>
      </c>
      <c r="AL575">
        <f t="shared" si="164"/>
        <v>0.26393594579149915</v>
      </c>
      <c r="AM575">
        <f t="shared" si="165"/>
        <v>19.153740372515333</v>
      </c>
      <c r="AO575">
        <f t="shared" si="166"/>
        <v>0.26246635834907378</v>
      </c>
      <c r="AP575">
        <f t="shared" si="167"/>
        <v>18.941039276694283</v>
      </c>
    </row>
    <row r="576" spans="1:42" x14ac:dyDescent="0.2">
      <c r="A576" s="3">
        <v>570</v>
      </c>
      <c r="B576" s="3">
        <v>4.4700000000000002E-7</v>
      </c>
      <c r="C576" s="2">
        <v>2.988E-2</v>
      </c>
      <c r="D576" s="3">
        <v>206000</v>
      </c>
      <c r="E576" s="3">
        <v>106000000000</v>
      </c>
      <c r="F576" s="3">
        <v>96600000000</v>
      </c>
      <c r="G576" s="3">
        <v>8060000000</v>
      </c>
      <c r="H576" s="3">
        <v>9550000000</v>
      </c>
      <c r="I576" s="2"/>
      <c r="J576" s="7">
        <f t="shared" si="168"/>
        <v>0.44700000000000001</v>
      </c>
      <c r="K576" s="7">
        <f t="shared" si="169"/>
        <v>29.88</v>
      </c>
      <c r="L576" s="7">
        <f t="shared" si="170"/>
        <v>106</v>
      </c>
      <c r="M576" s="7">
        <f t="shared" si="171"/>
        <v>206</v>
      </c>
      <c r="O576">
        <f t="shared" si="172"/>
        <v>0.33821359223300973</v>
      </c>
      <c r="P576">
        <f t="shared" si="173"/>
        <v>338.21359223300971</v>
      </c>
      <c r="V576">
        <f t="shared" si="157"/>
        <v>843.57112604175336</v>
      </c>
      <c r="W576">
        <f t="shared" si="158"/>
        <v>122.09995911465315</v>
      </c>
      <c r="AE576">
        <f t="shared" si="159"/>
        <v>0.74998395261066608</v>
      </c>
      <c r="AF576">
        <f t="shared" si="160"/>
        <v>0.73253285096106069</v>
      </c>
      <c r="AG576">
        <f t="shared" si="161"/>
        <v>0.73663440929298485</v>
      </c>
      <c r="AI576">
        <f t="shared" si="162"/>
        <v>0.24833864691593829</v>
      </c>
      <c r="AJ576">
        <f t="shared" si="163"/>
        <v>16.909359031302394</v>
      </c>
      <c r="AL576">
        <f t="shared" si="164"/>
        <v>0.25425480885348106</v>
      </c>
      <c r="AM576">
        <f t="shared" si="165"/>
        <v>17.724617665194547</v>
      </c>
      <c r="AO576">
        <f t="shared" si="166"/>
        <v>0.25283912569161832</v>
      </c>
      <c r="AP576">
        <f t="shared" si="167"/>
        <v>17.527786888172756</v>
      </c>
    </row>
    <row r="577" spans="1:42" x14ac:dyDescent="0.2">
      <c r="A577" s="3">
        <v>580</v>
      </c>
      <c r="B577" s="3">
        <v>4.4700000000000002E-7</v>
      </c>
      <c r="C577" s="2">
        <v>2.9940000000000001E-2</v>
      </c>
      <c r="D577" s="3">
        <v>194000</v>
      </c>
      <c r="E577" s="3">
        <v>101000000000</v>
      </c>
      <c r="F577" s="3">
        <v>92000000000</v>
      </c>
      <c r="G577" s="3">
        <v>2560000000</v>
      </c>
      <c r="H577" s="3">
        <v>9750000000</v>
      </c>
      <c r="I577" s="2"/>
      <c r="J577" s="7">
        <f t="shared" si="168"/>
        <v>0.44700000000000001</v>
      </c>
      <c r="K577" s="7">
        <f t="shared" si="169"/>
        <v>29.94</v>
      </c>
      <c r="L577" s="7">
        <f t="shared" si="170"/>
        <v>101</v>
      </c>
      <c r="M577" s="7">
        <f t="shared" si="171"/>
        <v>194</v>
      </c>
      <c r="O577">
        <f t="shared" si="172"/>
        <v>0.33125257731958763</v>
      </c>
      <c r="P577">
        <f t="shared" si="173"/>
        <v>331.2525773195876</v>
      </c>
      <c r="V577">
        <f t="shared" si="157"/>
        <v>835.83478655355441</v>
      </c>
      <c r="W577">
        <f t="shared" si="158"/>
        <v>116.05164269360657</v>
      </c>
      <c r="AE577">
        <f t="shared" si="159"/>
        <v>0.70629556702169527</v>
      </c>
      <c r="AF577">
        <f t="shared" si="160"/>
        <v>0.68986103440022217</v>
      </c>
      <c r="AG577">
        <f t="shared" si="161"/>
        <v>0.69372366700407317</v>
      </c>
      <c r="AI577">
        <f t="shared" si="162"/>
        <v>0.263699800333419</v>
      </c>
      <c r="AJ577">
        <f t="shared" si="163"/>
        <v>19.104220813870953</v>
      </c>
      <c r="AL577">
        <f t="shared" si="164"/>
        <v>0.26998191043204689</v>
      </c>
      <c r="AM577">
        <f t="shared" si="165"/>
        <v>20.025301319256076</v>
      </c>
      <c r="AO577">
        <f t="shared" si="166"/>
        <v>0.26847865923955344</v>
      </c>
      <c r="AP577">
        <f t="shared" si="167"/>
        <v>19.802921593316778</v>
      </c>
    </row>
    <row r="578" spans="1:42" x14ac:dyDescent="0.2">
      <c r="A578" s="3">
        <v>580</v>
      </c>
      <c r="B578" s="3">
        <v>4.4799999999999999E-7</v>
      </c>
      <c r="C578" s="2">
        <v>2.9989999999999999E-2</v>
      </c>
      <c r="D578" s="3">
        <v>222000</v>
      </c>
      <c r="E578" s="3">
        <v>114000000000</v>
      </c>
      <c r="F578" s="3">
        <v>103000000000</v>
      </c>
      <c r="G578" s="3">
        <v>2040000000</v>
      </c>
      <c r="H578" s="3">
        <v>9320000000</v>
      </c>
      <c r="I578" s="2"/>
      <c r="J578" s="7">
        <f t="shared" si="168"/>
        <v>0.44800000000000001</v>
      </c>
      <c r="K578" s="7">
        <f t="shared" si="169"/>
        <v>29.99</v>
      </c>
      <c r="L578" s="7">
        <f t="shared" si="170"/>
        <v>114</v>
      </c>
      <c r="M578" s="7">
        <f t="shared" si="171"/>
        <v>222</v>
      </c>
      <c r="O578">
        <f t="shared" si="172"/>
        <v>0.34668243243243246</v>
      </c>
      <c r="P578">
        <f t="shared" si="173"/>
        <v>346.68243243243245</v>
      </c>
      <c r="V578">
        <f t="shared" si="157"/>
        <v>852.86459440525994</v>
      </c>
      <c r="W578">
        <f t="shared" si="158"/>
        <v>130.14961663100246</v>
      </c>
      <c r="AE578">
        <f t="shared" si="159"/>
        <v>0.80823513339596054</v>
      </c>
      <c r="AF578">
        <f t="shared" si="160"/>
        <v>0.78942860637551204</v>
      </c>
      <c r="AG578">
        <f t="shared" si="161"/>
        <v>0.79384873234486719</v>
      </c>
      <c r="AI578">
        <f t="shared" si="162"/>
        <v>0.23095589260312105</v>
      </c>
      <c r="AJ578">
        <f t="shared" si="163"/>
        <v>14.613408005294403</v>
      </c>
      <c r="AL578">
        <f t="shared" si="164"/>
        <v>0.23645794585998808</v>
      </c>
      <c r="AM578">
        <f t="shared" si="165"/>
        <v>15.317970905925373</v>
      </c>
      <c r="AO578">
        <f t="shared" si="166"/>
        <v>0.23514135509833395</v>
      </c>
      <c r="AP578">
        <f t="shared" si="167"/>
        <v>15.147865791515427</v>
      </c>
    </row>
    <row r="579" spans="1:42" x14ac:dyDescent="0.2">
      <c r="A579" s="3">
        <v>580</v>
      </c>
      <c r="B579" s="3">
        <v>4.4900000000000001E-7</v>
      </c>
      <c r="C579" s="2">
        <v>3.0040000000000001E-2</v>
      </c>
      <c r="D579" s="3">
        <v>180000</v>
      </c>
      <c r="E579" s="3">
        <v>93900000000</v>
      </c>
      <c r="F579" s="3">
        <v>86400000000</v>
      </c>
      <c r="G579" s="3">
        <v>3240000000</v>
      </c>
      <c r="H579" s="3">
        <v>10000000000</v>
      </c>
      <c r="I579" s="2"/>
      <c r="J579" s="7">
        <f t="shared" si="168"/>
        <v>0.44900000000000001</v>
      </c>
      <c r="K579" s="7">
        <f t="shared" si="169"/>
        <v>30.04</v>
      </c>
      <c r="L579" s="7">
        <f t="shared" si="170"/>
        <v>93.9</v>
      </c>
      <c r="M579" s="7">
        <f t="shared" si="171"/>
        <v>180</v>
      </c>
      <c r="O579">
        <f t="shared" si="172"/>
        <v>0.32383333333333331</v>
      </c>
      <c r="P579">
        <f t="shared" si="173"/>
        <v>323.83333333333331</v>
      </c>
      <c r="V579">
        <f t="shared" si="157"/>
        <v>827.48882451855775</v>
      </c>
      <c r="W579">
        <f t="shared" si="158"/>
        <v>108.76279815907243</v>
      </c>
      <c r="AE579">
        <f t="shared" si="159"/>
        <v>0.65532578383456253</v>
      </c>
      <c r="AF579">
        <f t="shared" si="160"/>
        <v>0.64007724841257729</v>
      </c>
      <c r="AG579">
        <f t="shared" si="161"/>
        <v>0.64366113433367611</v>
      </c>
      <c r="AI579">
        <f t="shared" si="162"/>
        <v>0.28548141695056922</v>
      </c>
      <c r="AJ579">
        <f t="shared" si="163"/>
        <v>22.26567733688308</v>
      </c>
      <c r="AL579">
        <f t="shared" si="164"/>
        <v>0.29228242965565343</v>
      </c>
      <c r="AM579">
        <f t="shared" si="165"/>
        <v>23.339182586534903</v>
      </c>
      <c r="AO579">
        <f t="shared" si="166"/>
        <v>0.2906550098399272</v>
      </c>
      <c r="AP579">
        <f t="shared" si="167"/>
        <v>23.080002415185877</v>
      </c>
    </row>
    <row r="580" spans="1:42" x14ac:dyDescent="0.2">
      <c r="A580" s="3">
        <v>580</v>
      </c>
      <c r="B580" s="3">
        <v>4.4900000000000001E-7</v>
      </c>
      <c r="C580" s="2">
        <v>3.0089999999999999E-2</v>
      </c>
      <c r="D580" s="3">
        <v>205000</v>
      </c>
      <c r="E580" s="3">
        <v>105000000000</v>
      </c>
      <c r="F580" s="3">
        <v>95900000000</v>
      </c>
      <c r="G580" s="2">
        <v>0</v>
      </c>
      <c r="H580" s="3">
        <v>9580000000</v>
      </c>
      <c r="I580" s="2"/>
      <c r="J580" s="7">
        <f t="shared" si="168"/>
        <v>0.44900000000000001</v>
      </c>
      <c r="K580" s="7">
        <f t="shared" si="169"/>
        <v>30.09</v>
      </c>
      <c r="L580" s="7">
        <f t="shared" si="170"/>
        <v>105</v>
      </c>
      <c r="M580" s="7">
        <f t="shared" si="171"/>
        <v>205</v>
      </c>
      <c r="O580">
        <f t="shared" si="172"/>
        <v>0.33891463414634149</v>
      </c>
      <c r="P580">
        <f t="shared" si="173"/>
        <v>338.91463414634148</v>
      </c>
      <c r="V580">
        <f t="shared" si="157"/>
        <v>844.3453158810089</v>
      </c>
      <c r="W580">
        <f t="shared" si="158"/>
        <v>121.39582949311348</v>
      </c>
      <c r="AE580">
        <f t="shared" si="159"/>
        <v>0.74634325381158517</v>
      </c>
      <c r="AF580">
        <f t="shared" si="160"/>
        <v>0.72897686624765745</v>
      </c>
      <c r="AG580">
        <f t="shared" si="161"/>
        <v>0.73305851410224221</v>
      </c>
      <c r="AI580">
        <f t="shared" si="162"/>
        <v>0.25066661000537782</v>
      </c>
      <c r="AJ580">
        <f t="shared" si="163"/>
        <v>17.194733879764282</v>
      </c>
      <c r="AL580">
        <f t="shared" si="164"/>
        <v>0.25663823091715915</v>
      </c>
      <c r="AM580">
        <f t="shared" si="165"/>
        <v>18.023751421292939</v>
      </c>
      <c r="AO580">
        <f t="shared" si="166"/>
        <v>0.25520927693261902</v>
      </c>
      <c r="AP580">
        <f t="shared" si="167"/>
        <v>17.823598782510377</v>
      </c>
    </row>
    <row r="581" spans="1:42" x14ac:dyDescent="0.2">
      <c r="A581" s="3">
        <v>580</v>
      </c>
      <c r="B581" s="3">
        <v>4.4999999999999998E-7</v>
      </c>
      <c r="C581" s="2">
        <v>3.014E-2</v>
      </c>
      <c r="D581" s="3">
        <v>203000</v>
      </c>
      <c r="E581" s="3">
        <v>104000000000</v>
      </c>
      <c r="F581" s="3">
        <v>95000000000</v>
      </c>
      <c r="G581" s="3">
        <v>197000000</v>
      </c>
      <c r="H581" s="3">
        <v>9610000000</v>
      </c>
      <c r="I581" s="2"/>
      <c r="J581" s="7">
        <f t="shared" si="168"/>
        <v>0.44999999999999996</v>
      </c>
      <c r="K581" s="7">
        <f t="shared" si="169"/>
        <v>30.14</v>
      </c>
      <c r="L581" s="7">
        <f t="shared" si="170"/>
        <v>104</v>
      </c>
      <c r="M581" s="7">
        <f t="shared" si="171"/>
        <v>203</v>
      </c>
      <c r="O581">
        <f t="shared" si="172"/>
        <v>0.3386453201970443</v>
      </c>
      <c r="P581">
        <f t="shared" si="173"/>
        <v>338.64532019704427</v>
      </c>
      <c r="V581">
        <f t="shared" ref="V581:V644" si="174">$S$3*(P581^$S$4)</f>
        <v>844.04800685404018</v>
      </c>
      <c r="W581">
        <f t="shared" ref="W581:W644" si="175">M581/(2*(V581/1000))</f>
        <v>120.25382345053299</v>
      </c>
      <c r="AE581">
        <f t="shared" si="159"/>
        <v>0.73906185621342335</v>
      </c>
      <c r="AF581">
        <f t="shared" si="160"/>
        <v>0.72186489682085109</v>
      </c>
      <c r="AG581">
        <f t="shared" si="161"/>
        <v>0.72590672372075693</v>
      </c>
      <c r="AI581">
        <f t="shared" si="162"/>
        <v>0.25370000957789179</v>
      </c>
      <c r="AJ581">
        <f t="shared" si="163"/>
        <v>17.564353342211078</v>
      </c>
      <c r="AL581">
        <f t="shared" si="164"/>
        <v>0.25974389504984174</v>
      </c>
      <c r="AM581">
        <f t="shared" si="165"/>
        <v>18.411191515347141</v>
      </c>
      <c r="AO581">
        <f t="shared" si="166"/>
        <v>0.25829764882041212</v>
      </c>
      <c r="AP581">
        <f t="shared" si="167"/>
        <v>18.206736378411865</v>
      </c>
    </row>
    <row r="582" spans="1:42" x14ac:dyDescent="0.2">
      <c r="A582" s="3">
        <v>580</v>
      </c>
      <c r="B582" s="3">
        <v>4.51E-7</v>
      </c>
      <c r="C582" s="2">
        <v>3.0200000000000001E-2</v>
      </c>
      <c r="D582" s="3">
        <v>197000</v>
      </c>
      <c r="E582" s="3">
        <v>101000000000</v>
      </c>
      <c r="F582" s="3">
        <v>92700000000</v>
      </c>
      <c r="G582" s="3">
        <v>1600000000</v>
      </c>
      <c r="H582" s="3">
        <v>9700000000</v>
      </c>
      <c r="I582" s="2"/>
      <c r="J582" s="7">
        <f t="shared" si="168"/>
        <v>0.45100000000000001</v>
      </c>
      <c r="K582" s="7">
        <f t="shared" si="169"/>
        <v>30.200000000000003</v>
      </c>
      <c r="L582" s="7">
        <f t="shared" si="170"/>
        <v>101</v>
      </c>
      <c r="M582" s="7">
        <f t="shared" si="171"/>
        <v>197</v>
      </c>
      <c r="O582">
        <f t="shared" si="172"/>
        <v>0.3360253807106599</v>
      </c>
      <c r="P582">
        <f t="shared" si="173"/>
        <v>336.02538071065993</v>
      </c>
      <c r="V582">
        <f t="shared" si="174"/>
        <v>841.14882717505895</v>
      </c>
      <c r="W582">
        <f t="shared" si="175"/>
        <v>117.10175038917376</v>
      </c>
      <c r="AE582">
        <f t="shared" si="159"/>
        <v>0.71721766341893789</v>
      </c>
      <c r="AF582">
        <f t="shared" si="160"/>
        <v>0.70052898854043177</v>
      </c>
      <c r="AG582">
        <f t="shared" si="161"/>
        <v>0.70445135257630109</v>
      </c>
      <c r="AI582">
        <f t="shared" si="162"/>
        <v>0.26200786211939914</v>
      </c>
      <c r="AJ582">
        <f t="shared" si="163"/>
        <v>18.687684083013608</v>
      </c>
      <c r="AL582">
        <f t="shared" si="164"/>
        <v>0.26824966523968607</v>
      </c>
      <c r="AM582">
        <f t="shared" si="165"/>
        <v>19.588681913145567</v>
      </c>
      <c r="AO582">
        <f t="shared" si="166"/>
        <v>0.26675605913655037</v>
      </c>
      <c r="AP582">
        <f t="shared" si="167"/>
        <v>19.371150818561308</v>
      </c>
    </row>
    <row r="583" spans="1:42" x14ac:dyDescent="0.2">
      <c r="A583" s="3">
        <v>580</v>
      </c>
      <c r="B583" s="3">
        <v>4.5200000000000002E-7</v>
      </c>
      <c r="C583" s="2">
        <v>3.0249999999999999E-2</v>
      </c>
      <c r="D583" s="3">
        <v>190000</v>
      </c>
      <c r="E583" s="3">
        <v>97900000000</v>
      </c>
      <c r="F583" s="3">
        <v>89700000000</v>
      </c>
      <c r="G583" s="3">
        <v>190000000</v>
      </c>
      <c r="H583" s="3">
        <v>9820000000</v>
      </c>
      <c r="I583" s="2"/>
      <c r="J583" s="7">
        <f t="shared" si="168"/>
        <v>0.45200000000000001</v>
      </c>
      <c r="K583" s="7">
        <f t="shared" si="169"/>
        <v>30.25</v>
      </c>
      <c r="L583" s="7">
        <f t="shared" si="170"/>
        <v>97.9</v>
      </c>
      <c r="M583" s="7">
        <f t="shared" si="171"/>
        <v>190</v>
      </c>
      <c r="O583">
        <f t="shared" si="172"/>
        <v>0.33259210526315791</v>
      </c>
      <c r="P583">
        <f t="shared" si="173"/>
        <v>332.59210526315792</v>
      </c>
      <c r="V583">
        <f t="shared" si="174"/>
        <v>837.33049845227663</v>
      </c>
      <c r="W583">
        <f t="shared" si="175"/>
        <v>113.45579812941031</v>
      </c>
      <c r="AE583">
        <f t="shared" si="159"/>
        <v>0.69173277182537163</v>
      </c>
      <c r="AF583">
        <f t="shared" si="160"/>
        <v>0.67563709554660933</v>
      </c>
      <c r="AG583">
        <f t="shared" si="161"/>
        <v>0.67942008624110251</v>
      </c>
      <c r="AI583">
        <f t="shared" si="162"/>
        <v>0.2722631354249011</v>
      </c>
      <c r="AJ583">
        <f t="shared" si="163"/>
        <v>20.123298536281361</v>
      </c>
      <c r="AL583">
        <f t="shared" si="164"/>
        <v>0.2787492495227285</v>
      </c>
      <c r="AM583">
        <f t="shared" si="165"/>
        <v>21.093512300370389</v>
      </c>
      <c r="AO583">
        <f t="shared" si="166"/>
        <v>0.27719718204872207</v>
      </c>
      <c r="AP583">
        <f t="shared" si="167"/>
        <v>20.859270157909197</v>
      </c>
    </row>
    <row r="584" spans="1:42" x14ac:dyDescent="0.2">
      <c r="A584" s="3">
        <v>580</v>
      </c>
      <c r="B584" s="3">
        <v>4.5200000000000002E-7</v>
      </c>
      <c r="C584" s="2">
        <v>3.0300000000000001E-2</v>
      </c>
      <c r="D584" s="3">
        <v>207000</v>
      </c>
      <c r="E584" s="3">
        <v>106000000000</v>
      </c>
      <c r="F584" s="3">
        <v>96300000000</v>
      </c>
      <c r="G584" s="3">
        <v>3500000000</v>
      </c>
      <c r="H584" s="3">
        <v>9550000000</v>
      </c>
      <c r="I584" s="2"/>
      <c r="J584" s="7">
        <f t="shared" si="168"/>
        <v>0.45200000000000001</v>
      </c>
      <c r="K584" s="7">
        <f t="shared" si="169"/>
        <v>30.3</v>
      </c>
      <c r="L584" s="7">
        <f t="shared" si="170"/>
        <v>106</v>
      </c>
      <c r="M584" s="7">
        <f t="shared" si="171"/>
        <v>207</v>
      </c>
      <c r="O584">
        <f t="shared" si="172"/>
        <v>0.34221739130434781</v>
      </c>
      <c r="P584">
        <f t="shared" si="173"/>
        <v>342.21739130434781</v>
      </c>
      <c r="V584">
        <f t="shared" si="174"/>
        <v>847.98074308243429</v>
      </c>
      <c r="W584">
        <f t="shared" si="175"/>
        <v>122.05465848643512</v>
      </c>
      <c r="AE584">
        <f t="shared" si="159"/>
        <v>0.75362465140974699</v>
      </c>
      <c r="AF584">
        <f t="shared" si="160"/>
        <v>0.73608883567446393</v>
      </c>
      <c r="AG584">
        <f t="shared" si="161"/>
        <v>0.74021030448372749</v>
      </c>
      <c r="AI584">
        <f t="shared" si="162"/>
        <v>0.24990336101802516</v>
      </c>
      <c r="AJ584">
        <f t="shared" si="163"/>
        <v>16.981769066765604</v>
      </c>
      <c r="AL584">
        <f t="shared" si="164"/>
        <v>0.25585679907883285</v>
      </c>
      <c r="AM584">
        <f t="shared" si="165"/>
        <v>17.800518838700448</v>
      </c>
      <c r="AO584">
        <f t="shared" si="166"/>
        <v>0.25443219608336809</v>
      </c>
      <c r="AP584">
        <f t="shared" si="167"/>
        <v>17.602845183866556</v>
      </c>
    </row>
    <row r="585" spans="1:42" x14ac:dyDescent="0.2">
      <c r="A585" s="3">
        <v>580</v>
      </c>
      <c r="B585" s="3">
        <v>4.5299999999999999E-7</v>
      </c>
      <c r="C585" s="2">
        <v>3.0349999999999999E-2</v>
      </c>
      <c r="D585" s="3">
        <v>210000</v>
      </c>
      <c r="E585" s="3">
        <v>107000000000</v>
      </c>
      <c r="F585" s="3">
        <v>97500000000</v>
      </c>
      <c r="G585" s="3">
        <v>6600000000</v>
      </c>
      <c r="H585" s="3">
        <v>9500000000</v>
      </c>
      <c r="I585" s="2"/>
      <c r="J585" s="7">
        <f t="shared" si="168"/>
        <v>0.45300000000000001</v>
      </c>
      <c r="K585" s="7">
        <f t="shared" si="169"/>
        <v>30.349999999999998</v>
      </c>
      <c r="L585" s="7">
        <f t="shared" si="170"/>
        <v>107</v>
      </c>
      <c r="M585" s="7">
        <f t="shared" si="171"/>
        <v>210</v>
      </c>
      <c r="O585">
        <f t="shared" si="172"/>
        <v>0.34460714285714289</v>
      </c>
      <c r="P585">
        <f t="shared" si="173"/>
        <v>344.60714285714289</v>
      </c>
      <c r="V585">
        <f t="shared" si="174"/>
        <v>850.5990324512461</v>
      </c>
      <c r="W585">
        <f t="shared" si="175"/>
        <v>123.44241645492149</v>
      </c>
      <c r="AE585">
        <f t="shared" si="159"/>
        <v>0.76454674780698961</v>
      </c>
      <c r="AF585">
        <f t="shared" si="160"/>
        <v>0.74675678981467353</v>
      </c>
      <c r="AG585">
        <f t="shared" si="161"/>
        <v>0.75093799005595541</v>
      </c>
      <c r="AI585">
        <f t="shared" si="162"/>
        <v>0.24687829820924187</v>
      </c>
      <c r="AJ585">
        <f t="shared" si="163"/>
        <v>16.527269122991424</v>
      </c>
      <c r="AL585">
        <f t="shared" si="164"/>
        <v>0.25275967031627938</v>
      </c>
      <c r="AM585">
        <f t="shared" si="165"/>
        <v>17.32410588198595</v>
      </c>
      <c r="AO585">
        <f t="shared" si="166"/>
        <v>0.25135231204101882</v>
      </c>
      <c r="AP585">
        <f t="shared" si="167"/>
        <v>17.13172276341211</v>
      </c>
    </row>
    <row r="586" spans="1:42" x14ac:dyDescent="0.2">
      <c r="A586" s="3">
        <v>580</v>
      </c>
      <c r="B586" s="3">
        <v>4.5400000000000002E-7</v>
      </c>
      <c r="C586" s="2">
        <v>3.04E-2</v>
      </c>
      <c r="D586" s="3">
        <v>202000</v>
      </c>
      <c r="E586" s="3">
        <v>104000000000</v>
      </c>
      <c r="F586" s="3">
        <v>94400000000</v>
      </c>
      <c r="G586" s="2">
        <v>0</v>
      </c>
      <c r="H586" s="3">
        <v>9630000000</v>
      </c>
      <c r="I586" s="2"/>
      <c r="J586" s="7">
        <f t="shared" si="168"/>
        <v>0.45400000000000001</v>
      </c>
      <c r="K586" s="7">
        <f t="shared" si="169"/>
        <v>30.4</v>
      </c>
      <c r="L586" s="7">
        <f t="shared" si="170"/>
        <v>104</v>
      </c>
      <c r="M586" s="7">
        <f t="shared" si="171"/>
        <v>202</v>
      </c>
      <c r="O586">
        <f t="shared" si="172"/>
        <v>0.34112871287128715</v>
      </c>
      <c r="P586">
        <f t="shared" si="173"/>
        <v>341.12871287128718</v>
      </c>
      <c r="V586">
        <f t="shared" si="174"/>
        <v>846.7845753223113</v>
      </c>
      <c r="W586">
        <f t="shared" si="175"/>
        <v>119.27472812262364</v>
      </c>
      <c r="AE586">
        <f t="shared" si="159"/>
        <v>0.73542115741434244</v>
      </c>
      <c r="AF586">
        <f t="shared" si="160"/>
        <v>0.71830891210744785</v>
      </c>
      <c r="AG586">
        <f t="shared" si="161"/>
        <v>0.72233082853001429</v>
      </c>
      <c r="AI586">
        <f t="shared" si="162"/>
        <v>0.25722222533242756</v>
      </c>
      <c r="AJ586">
        <f t="shared" si="163"/>
        <v>17.891709486962156</v>
      </c>
      <c r="AL586">
        <f t="shared" si="164"/>
        <v>0.26335002041346006</v>
      </c>
      <c r="AM586">
        <f t="shared" si="165"/>
        <v>18.754330631106882</v>
      </c>
      <c r="AO586">
        <f t="shared" si="166"/>
        <v>0.26188369538599365</v>
      </c>
      <c r="AP586">
        <f t="shared" si="167"/>
        <v>18.546064955628129</v>
      </c>
    </row>
    <row r="587" spans="1:42" x14ac:dyDescent="0.2">
      <c r="A587" s="3">
        <v>590</v>
      </c>
      <c r="B587" s="3">
        <v>4.5499999999999998E-7</v>
      </c>
      <c r="C587" s="2">
        <v>3.0460000000000001E-2</v>
      </c>
      <c r="D587" s="3">
        <v>206000</v>
      </c>
      <c r="E587" s="3">
        <v>105000000000</v>
      </c>
      <c r="F587" s="3">
        <v>95700000000</v>
      </c>
      <c r="G587" s="2">
        <v>0</v>
      </c>
      <c r="H587" s="3">
        <v>9560000000</v>
      </c>
      <c r="I587" s="2"/>
      <c r="J587" s="7">
        <f t="shared" si="168"/>
        <v>0.45499999999999996</v>
      </c>
      <c r="K587" s="7">
        <f t="shared" si="169"/>
        <v>30.46</v>
      </c>
      <c r="L587" s="7">
        <f t="shared" si="170"/>
        <v>105</v>
      </c>
      <c r="M587" s="7">
        <f t="shared" si="171"/>
        <v>206</v>
      </c>
      <c r="O587">
        <f t="shared" si="172"/>
        <v>0.3441019417475728</v>
      </c>
      <c r="P587">
        <f t="shared" si="173"/>
        <v>344.10194174757282</v>
      </c>
      <c r="V587">
        <f t="shared" si="174"/>
        <v>850.04636276175665</v>
      </c>
      <c r="W587">
        <f t="shared" si="175"/>
        <v>121.16986144774307</v>
      </c>
      <c r="AE587">
        <f t="shared" si="159"/>
        <v>0.74998395261066608</v>
      </c>
      <c r="AF587">
        <f t="shared" si="160"/>
        <v>0.73253285096106069</v>
      </c>
      <c r="AG587">
        <f t="shared" si="161"/>
        <v>0.73663440929298485</v>
      </c>
      <c r="AI587">
        <f t="shared" si="162"/>
        <v>0.25278318645805797</v>
      </c>
      <c r="AJ587">
        <f t="shared" si="163"/>
        <v>17.237586214640931</v>
      </c>
      <c r="AL587">
        <f t="shared" si="164"/>
        <v>0.25880523048844267</v>
      </c>
      <c r="AM587">
        <f t="shared" si="165"/>
        <v>18.068669815322153</v>
      </c>
      <c r="AO587">
        <f t="shared" si="166"/>
        <v>0.2573642107151819</v>
      </c>
      <c r="AP587">
        <f t="shared" si="167"/>
        <v>17.868018360567007</v>
      </c>
    </row>
    <row r="588" spans="1:42" x14ac:dyDescent="0.2">
      <c r="A588" s="3">
        <v>590</v>
      </c>
      <c r="B588" s="3">
        <v>4.5499999999999998E-7</v>
      </c>
      <c r="C588" s="2">
        <v>3.0509999999999999E-2</v>
      </c>
      <c r="D588" s="3">
        <v>206000</v>
      </c>
      <c r="E588" s="3">
        <v>105000000000</v>
      </c>
      <c r="F588" s="3">
        <v>96000000000</v>
      </c>
      <c r="G588" s="3">
        <v>7870000000</v>
      </c>
      <c r="H588" s="3">
        <v>9560000000</v>
      </c>
      <c r="I588" s="2"/>
      <c r="J588" s="7">
        <f t="shared" si="168"/>
        <v>0.45499999999999996</v>
      </c>
      <c r="K588" s="7">
        <f t="shared" si="169"/>
        <v>30.509999999999998</v>
      </c>
      <c r="L588" s="7">
        <f t="shared" si="170"/>
        <v>105</v>
      </c>
      <c r="M588" s="7">
        <f t="shared" si="171"/>
        <v>206</v>
      </c>
      <c r="O588">
        <f t="shared" si="172"/>
        <v>0.34391990291262131</v>
      </c>
      <c r="P588">
        <f t="shared" si="173"/>
        <v>343.9199029126213</v>
      </c>
      <c r="V588">
        <f t="shared" si="174"/>
        <v>849.84710884506967</v>
      </c>
      <c r="W588">
        <f t="shared" si="175"/>
        <v>121.19827075716661</v>
      </c>
      <c r="AE588">
        <f t="shared" si="159"/>
        <v>0.74998395261066608</v>
      </c>
      <c r="AF588">
        <f t="shared" si="160"/>
        <v>0.73253285096106069</v>
      </c>
      <c r="AG588">
        <f t="shared" si="161"/>
        <v>0.73663440929298485</v>
      </c>
      <c r="AI588">
        <f t="shared" si="162"/>
        <v>0.25278318645805797</v>
      </c>
      <c r="AJ588">
        <f t="shared" si="163"/>
        <v>17.265881661480456</v>
      </c>
      <c r="AL588">
        <f t="shared" si="164"/>
        <v>0.25880523048844267</v>
      </c>
      <c r="AM588">
        <f t="shared" si="165"/>
        <v>18.098329483436601</v>
      </c>
      <c r="AO588">
        <f t="shared" si="166"/>
        <v>0.2573642107151819</v>
      </c>
      <c r="AP588">
        <f t="shared" si="167"/>
        <v>17.897348659911337</v>
      </c>
    </row>
    <row r="589" spans="1:42" x14ac:dyDescent="0.2">
      <c r="A589" s="3">
        <v>590</v>
      </c>
      <c r="B589" s="3">
        <v>4.5600000000000001E-7</v>
      </c>
      <c r="C589" s="2">
        <v>3.056E-2</v>
      </c>
      <c r="D589" s="3">
        <v>191000</v>
      </c>
      <c r="E589" s="3">
        <v>98000000000</v>
      </c>
      <c r="F589" s="3">
        <v>89800000000</v>
      </c>
      <c r="G589" s="2">
        <v>0</v>
      </c>
      <c r="H589" s="3">
        <v>9810000000</v>
      </c>
      <c r="I589" s="2"/>
      <c r="J589" s="7">
        <f t="shared" si="168"/>
        <v>0.45600000000000002</v>
      </c>
      <c r="K589" s="7">
        <f t="shared" si="169"/>
        <v>30.56</v>
      </c>
      <c r="L589" s="7">
        <f t="shared" si="170"/>
        <v>98</v>
      </c>
      <c r="M589" s="7">
        <f t="shared" si="171"/>
        <v>191</v>
      </c>
      <c r="O589">
        <f t="shared" si="172"/>
        <v>0.33600000000000002</v>
      </c>
      <c r="P589">
        <f t="shared" si="173"/>
        <v>336</v>
      </c>
      <c r="V589">
        <f t="shared" si="174"/>
        <v>841.12067985778594</v>
      </c>
      <c r="W589">
        <f t="shared" si="175"/>
        <v>113.53899896522202</v>
      </c>
      <c r="AE589">
        <f t="shared" ref="AE589:AE652" si="176">M589/(2*$Y$5)</f>
        <v>0.69537347062445254</v>
      </c>
      <c r="AF589">
        <f t="shared" ref="AF589:AF652" si="177">M589/(2*$Y$8)</f>
        <v>0.67919308026001257</v>
      </c>
      <c r="AG589">
        <f t="shared" ref="AG589:AG652" si="178">M589/(2*$Y$11)</f>
        <v>0.68299598143184514</v>
      </c>
      <c r="AI589">
        <f t="shared" ref="AI589:AI652" si="179">J589/(2.4*AE589)</f>
        <v>0.27323446755795566</v>
      </c>
      <c r="AJ589">
        <f t="shared" ref="AJ589:AJ652" si="180">K589/(3.14159*(AE589^2))</f>
        <v>20.117203469440721</v>
      </c>
      <c r="AL589">
        <f t="shared" ref="AL589:AL652" si="181">J589/(2.4*AF589)</f>
        <v>0.27974372166345263</v>
      </c>
      <c r="AM589">
        <f t="shared" ref="AM589:AM652" si="182">K589/(3.14159*(AF589^2))</f>
        <v>21.087123369294162</v>
      </c>
      <c r="AO589">
        <f t="shared" ref="AO589:AO652" si="183">J589/(2.4*AG589)</f>
        <v>0.27818611699834689</v>
      </c>
      <c r="AP589">
        <f t="shared" ref="AP589:AP652" si="184">K589/(3.14159*(AG589^2))</f>
        <v>20.852952175515298</v>
      </c>
    </row>
    <row r="590" spans="1:42" x14ac:dyDescent="0.2">
      <c r="A590" s="3">
        <v>590</v>
      </c>
      <c r="B590" s="3">
        <v>4.5699999999999998E-7</v>
      </c>
      <c r="C590" s="2">
        <v>3.0609999999999998E-2</v>
      </c>
      <c r="D590" s="3">
        <v>185000</v>
      </c>
      <c r="E590" s="3">
        <v>95200000000</v>
      </c>
      <c r="F590" s="3">
        <v>87400000000</v>
      </c>
      <c r="G590" s="3">
        <v>11700000000</v>
      </c>
      <c r="H590" s="3">
        <v>9930000000</v>
      </c>
      <c r="I590" s="2"/>
      <c r="J590" s="7">
        <f t="shared" ref="J590:J653" si="185">B590*(10^6)</f>
        <v>0.45699999999999996</v>
      </c>
      <c r="K590" s="7">
        <f t="shared" ref="K590:K653" si="186">C590*1000</f>
        <v>30.61</v>
      </c>
      <c r="L590" s="7">
        <f t="shared" ref="L590:L653" si="187">E590*(10^-9)</f>
        <v>95.2</v>
      </c>
      <c r="M590" s="7">
        <f t="shared" ref="M590:M653" si="188">D590*(10^-3)</f>
        <v>185</v>
      </c>
      <c r="O590">
        <f t="shared" ref="O590:O653" si="189">J590-(0.75*(K590/M590))</f>
        <v>0.33290540540540536</v>
      </c>
      <c r="P590">
        <f t="shared" ref="P590:P653" si="190">O590*1000</f>
        <v>332.90540540540536</v>
      </c>
      <c r="V590">
        <f t="shared" si="174"/>
        <v>837.67984383550458</v>
      </c>
      <c r="W590">
        <f t="shared" si="175"/>
        <v>110.42404885435474</v>
      </c>
      <c r="AE590">
        <f t="shared" si="176"/>
        <v>0.67352927782996708</v>
      </c>
      <c r="AF590">
        <f t="shared" si="177"/>
        <v>0.65785717197959337</v>
      </c>
      <c r="AG590">
        <f t="shared" si="178"/>
        <v>0.66154061028738931</v>
      </c>
      <c r="AI590">
        <f t="shared" si="179"/>
        <v>0.28271475782042765</v>
      </c>
      <c r="AJ590">
        <f t="shared" si="180"/>
        <v>21.4783475632067</v>
      </c>
      <c r="AL590">
        <f t="shared" si="181"/>
        <v>0.28944986051253896</v>
      </c>
      <c r="AM590">
        <f t="shared" si="182"/>
        <v>22.513892923632579</v>
      </c>
      <c r="AO590">
        <f t="shared" si="183"/>
        <v>0.28783821235697837</v>
      </c>
      <c r="AP590">
        <f t="shared" si="184"/>
        <v>22.263877542672009</v>
      </c>
    </row>
    <row r="591" spans="1:42" x14ac:dyDescent="0.2">
      <c r="A591" s="3">
        <v>590</v>
      </c>
      <c r="B591" s="3">
        <v>4.58E-7</v>
      </c>
      <c r="C591" s="2">
        <v>3.066E-2</v>
      </c>
      <c r="D591" s="3">
        <v>198000</v>
      </c>
      <c r="E591" s="3">
        <v>101000000000</v>
      </c>
      <c r="F591" s="3">
        <v>92500000000</v>
      </c>
      <c r="G591" s="3">
        <v>10800000000</v>
      </c>
      <c r="H591" s="3">
        <v>9690000000</v>
      </c>
      <c r="I591" s="2"/>
      <c r="J591" s="7">
        <f t="shared" si="185"/>
        <v>0.45800000000000002</v>
      </c>
      <c r="K591" s="7">
        <f t="shared" si="186"/>
        <v>30.66</v>
      </c>
      <c r="L591" s="7">
        <f t="shared" si="187"/>
        <v>101</v>
      </c>
      <c r="M591" s="7">
        <f t="shared" si="188"/>
        <v>198</v>
      </c>
      <c r="O591">
        <f t="shared" si="189"/>
        <v>0.34186363636363637</v>
      </c>
      <c r="P591">
        <f t="shared" si="190"/>
        <v>341.86363636363637</v>
      </c>
      <c r="V591">
        <f t="shared" si="174"/>
        <v>847.59229334358429</v>
      </c>
      <c r="W591">
        <f t="shared" si="175"/>
        <v>116.80143953346312</v>
      </c>
      <c r="AE591">
        <f t="shared" si="176"/>
        <v>0.7208583622180188</v>
      </c>
      <c r="AF591">
        <f t="shared" si="177"/>
        <v>0.70408497325383501</v>
      </c>
      <c r="AG591">
        <f t="shared" si="178"/>
        <v>0.70802724776704373</v>
      </c>
      <c r="AI591">
        <f t="shared" si="179"/>
        <v>0.2647306923736803</v>
      </c>
      <c r="AJ591">
        <f t="shared" si="180"/>
        <v>18.781175158984585</v>
      </c>
      <c r="AL591">
        <f t="shared" si="181"/>
        <v>0.27103736137333323</v>
      </c>
      <c r="AM591">
        <f t="shared" si="182"/>
        <v>19.686680516973521</v>
      </c>
      <c r="AO591">
        <f t="shared" si="183"/>
        <v>0.26952823346160493</v>
      </c>
      <c r="AP591">
        <f t="shared" si="184"/>
        <v>19.468061153987488</v>
      </c>
    </row>
    <row r="592" spans="1:42" x14ac:dyDescent="0.2">
      <c r="A592" s="3">
        <v>590</v>
      </c>
      <c r="B592" s="3">
        <v>4.58E-7</v>
      </c>
      <c r="C592" s="2">
        <v>3.0720000000000001E-2</v>
      </c>
      <c r="D592" s="3">
        <v>198000</v>
      </c>
      <c r="E592" s="3">
        <v>101000000000</v>
      </c>
      <c r="F592" s="3">
        <v>92500000000</v>
      </c>
      <c r="G592" s="3">
        <v>1210000000</v>
      </c>
      <c r="H592" s="3">
        <v>9690000000</v>
      </c>
      <c r="I592" s="2"/>
      <c r="J592" s="7">
        <f t="shared" si="185"/>
        <v>0.45800000000000002</v>
      </c>
      <c r="K592" s="7">
        <f t="shared" si="186"/>
        <v>30.720000000000002</v>
      </c>
      <c r="L592" s="7">
        <f t="shared" si="187"/>
        <v>101</v>
      </c>
      <c r="M592" s="7">
        <f t="shared" si="188"/>
        <v>198</v>
      </c>
      <c r="O592">
        <f t="shared" si="189"/>
        <v>0.34163636363636363</v>
      </c>
      <c r="P592">
        <f t="shared" si="190"/>
        <v>341.63636363636363</v>
      </c>
      <c r="V592">
        <f t="shared" si="174"/>
        <v>847.34261252818158</v>
      </c>
      <c r="W592">
        <f t="shared" si="175"/>
        <v>116.83585663727892</v>
      </c>
      <c r="AE592">
        <f t="shared" si="176"/>
        <v>0.7208583622180188</v>
      </c>
      <c r="AF592">
        <f t="shared" si="177"/>
        <v>0.70408497325383501</v>
      </c>
      <c r="AG592">
        <f t="shared" si="178"/>
        <v>0.70802724776704373</v>
      </c>
      <c r="AI592">
        <f t="shared" si="179"/>
        <v>0.2647306923736803</v>
      </c>
      <c r="AJ592">
        <f t="shared" si="180"/>
        <v>18.817928926418997</v>
      </c>
      <c r="AL592">
        <f t="shared" si="181"/>
        <v>0.27103736137333323</v>
      </c>
      <c r="AM592">
        <f t="shared" si="182"/>
        <v>19.725206310548813</v>
      </c>
      <c r="AO592">
        <f t="shared" si="183"/>
        <v>0.26952823346160493</v>
      </c>
      <c r="AP592">
        <f t="shared" si="184"/>
        <v>19.506159121020733</v>
      </c>
    </row>
    <row r="593" spans="1:42" x14ac:dyDescent="0.2">
      <c r="A593" s="3">
        <v>590</v>
      </c>
      <c r="B593" s="3">
        <v>4.5999999999999999E-7</v>
      </c>
      <c r="C593" s="2">
        <v>3.0769999999999999E-2</v>
      </c>
      <c r="D593" s="3">
        <v>193000</v>
      </c>
      <c r="E593" s="3">
        <v>98700000000</v>
      </c>
      <c r="F593" s="3">
        <v>90400000000</v>
      </c>
      <c r="G593" s="3">
        <v>16600000000</v>
      </c>
      <c r="H593" s="3">
        <v>9730000000</v>
      </c>
      <c r="I593" s="2"/>
      <c r="J593" s="7">
        <f t="shared" si="185"/>
        <v>0.45999999999999996</v>
      </c>
      <c r="K593" s="7">
        <f t="shared" si="186"/>
        <v>30.77</v>
      </c>
      <c r="L593" s="7">
        <f t="shared" si="187"/>
        <v>98.7</v>
      </c>
      <c r="M593" s="7">
        <f t="shared" si="188"/>
        <v>193</v>
      </c>
      <c r="O593">
        <f t="shared" si="189"/>
        <v>0.3404274611398963</v>
      </c>
      <c r="P593">
        <f t="shared" si="190"/>
        <v>340.42746113989631</v>
      </c>
      <c r="V593">
        <f t="shared" si="174"/>
        <v>846.01296013999661</v>
      </c>
      <c r="W593">
        <f t="shared" si="175"/>
        <v>114.06444646430873</v>
      </c>
      <c r="AE593">
        <f t="shared" si="176"/>
        <v>0.70265486822261436</v>
      </c>
      <c r="AF593">
        <f t="shared" si="177"/>
        <v>0.68630504968681894</v>
      </c>
      <c r="AG593">
        <f t="shared" si="178"/>
        <v>0.69014777181333054</v>
      </c>
      <c r="AI593">
        <f t="shared" si="179"/>
        <v>0.27277497863423761</v>
      </c>
      <c r="AJ593">
        <f t="shared" si="180"/>
        <v>19.837816618255854</v>
      </c>
      <c r="AL593">
        <f t="shared" si="181"/>
        <v>0.27927328635295595</v>
      </c>
      <c r="AM593">
        <f t="shared" si="182"/>
        <v>20.794266312514711</v>
      </c>
      <c r="AO593">
        <f t="shared" si="183"/>
        <v>0.27771830105757145</v>
      </c>
      <c r="AP593">
        <f t="shared" si="184"/>
        <v>20.563347278140967</v>
      </c>
    </row>
    <row r="594" spans="1:42" x14ac:dyDescent="0.2">
      <c r="A594" s="3">
        <v>590</v>
      </c>
      <c r="B594" s="3">
        <v>4.6100000000000001E-7</v>
      </c>
      <c r="C594" s="2">
        <v>3.082E-2</v>
      </c>
      <c r="D594" s="3">
        <v>203000</v>
      </c>
      <c r="E594" s="3">
        <v>103000000000</v>
      </c>
      <c r="F594" s="3">
        <v>93900000000</v>
      </c>
      <c r="G594" s="3">
        <v>1840000000</v>
      </c>
      <c r="H594" s="3">
        <v>9590000000</v>
      </c>
      <c r="I594" s="2"/>
      <c r="J594" s="7">
        <f t="shared" si="185"/>
        <v>0.46100000000000002</v>
      </c>
      <c r="K594" s="7">
        <f t="shared" si="186"/>
        <v>30.82</v>
      </c>
      <c r="L594" s="7">
        <f t="shared" si="187"/>
        <v>103</v>
      </c>
      <c r="M594" s="7">
        <f t="shared" si="188"/>
        <v>203</v>
      </c>
      <c r="O594">
        <f t="shared" si="189"/>
        <v>0.34713300492610843</v>
      </c>
      <c r="P594">
        <f t="shared" si="190"/>
        <v>347.13300492610841</v>
      </c>
      <c r="V594">
        <f t="shared" si="174"/>
        <v>853.355478709247</v>
      </c>
      <c r="W594">
        <f t="shared" si="175"/>
        <v>118.94222575745928</v>
      </c>
      <c r="AE594">
        <f t="shared" si="176"/>
        <v>0.73906185621342335</v>
      </c>
      <c r="AF594">
        <f t="shared" si="177"/>
        <v>0.72186489682085109</v>
      </c>
      <c r="AG594">
        <f t="shared" si="178"/>
        <v>0.72590672372075693</v>
      </c>
      <c r="AI594">
        <f t="shared" si="179"/>
        <v>0.25990156536757364</v>
      </c>
      <c r="AJ594">
        <f t="shared" si="180"/>
        <v>17.960629396381734</v>
      </c>
      <c r="AL594">
        <f t="shared" si="181"/>
        <v>0.26609319026217126</v>
      </c>
      <c r="AM594">
        <f t="shared" si="182"/>
        <v>18.826573407531484</v>
      </c>
      <c r="AO594">
        <f t="shared" si="183"/>
        <v>0.26461159134713336</v>
      </c>
      <c r="AP594">
        <f t="shared" si="184"/>
        <v>18.61750548051273</v>
      </c>
    </row>
    <row r="595" spans="1:42" x14ac:dyDescent="0.2">
      <c r="A595" s="3">
        <v>590</v>
      </c>
      <c r="B595" s="3">
        <v>4.6199999999999998E-7</v>
      </c>
      <c r="C595" s="2">
        <v>3.0870000000000002E-2</v>
      </c>
      <c r="D595" s="3">
        <v>191000</v>
      </c>
      <c r="E595" s="3">
        <v>97500000000</v>
      </c>
      <c r="F595" s="3">
        <v>89400000000</v>
      </c>
      <c r="G595" s="3">
        <v>4120000000</v>
      </c>
      <c r="H595" s="3">
        <v>9760000000</v>
      </c>
      <c r="I595" s="2"/>
      <c r="J595" s="7">
        <f t="shared" si="185"/>
        <v>0.46199999999999997</v>
      </c>
      <c r="K595" s="7">
        <f t="shared" si="186"/>
        <v>30.87</v>
      </c>
      <c r="L595" s="7">
        <f t="shared" si="187"/>
        <v>97.5</v>
      </c>
      <c r="M595" s="7">
        <f t="shared" si="188"/>
        <v>191</v>
      </c>
      <c r="O595">
        <f t="shared" si="189"/>
        <v>0.34078272251308894</v>
      </c>
      <c r="P595">
        <f t="shared" si="190"/>
        <v>340.78272251308897</v>
      </c>
      <c r="V595">
        <f t="shared" si="174"/>
        <v>846.40397889286703</v>
      </c>
      <c r="W595">
        <f t="shared" si="175"/>
        <v>112.83028244375473</v>
      </c>
      <c r="AE595">
        <f t="shared" si="176"/>
        <v>0.69537347062445254</v>
      </c>
      <c r="AF595">
        <f t="shared" si="177"/>
        <v>0.67919308026001257</v>
      </c>
      <c r="AG595">
        <f t="shared" si="178"/>
        <v>0.68299598143184514</v>
      </c>
      <c r="AI595">
        <f t="shared" si="179"/>
        <v>0.2768296579205603</v>
      </c>
      <c r="AJ595">
        <f t="shared" si="180"/>
        <v>20.321271960132041</v>
      </c>
      <c r="AL595">
        <f t="shared" si="181"/>
        <v>0.28342456010639278</v>
      </c>
      <c r="AM595">
        <f t="shared" si="182"/>
        <v>21.301030707137134</v>
      </c>
      <c r="AO595">
        <f t="shared" si="183"/>
        <v>0.28184646064306196</v>
      </c>
      <c r="AP595">
        <f t="shared" si="184"/>
        <v>21.064484085672689</v>
      </c>
    </row>
    <row r="596" spans="1:42" x14ac:dyDescent="0.2">
      <c r="A596" s="3">
        <v>590</v>
      </c>
      <c r="B596" s="3">
        <v>4.63E-7</v>
      </c>
      <c r="C596" s="2">
        <v>3.092E-2</v>
      </c>
      <c r="D596" s="3">
        <v>186000</v>
      </c>
      <c r="E596" s="3">
        <v>95000000000</v>
      </c>
      <c r="F596" s="3">
        <v>87200000000</v>
      </c>
      <c r="G596" s="3">
        <v>4740000000</v>
      </c>
      <c r="H596" s="3">
        <v>9860000000</v>
      </c>
      <c r="I596" s="2"/>
      <c r="J596" s="7">
        <f t="shared" si="185"/>
        <v>0.46300000000000002</v>
      </c>
      <c r="K596" s="7">
        <f t="shared" si="186"/>
        <v>30.919999999999998</v>
      </c>
      <c r="L596" s="7">
        <f t="shared" si="187"/>
        <v>95</v>
      </c>
      <c r="M596" s="7">
        <f t="shared" si="188"/>
        <v>186</v>
      </c>
      <c r="O596">
        <f t="shared" si="189"/>
        <v>0.3383225806451613</v>
      </c>
      <c r="P596">
        <f t="shared" si="190"/>
        <v>338.32258064516128</v>
      </c>
      <c r="V596">
        <f t="shared" si="174"/>
        <v>843.69154513071601</v>
      </c>
      <c r="W596">
        <f t="shared" si="175"/>
        <v>110.22985892977178</v>
      </c>
      <c r="AE596">
        <f t="shared" si="176"/>
        <v>0.67716997662904799</v>
      </c>
      <c r="AF596">
        <f t="shared" si="177"/>
        <v>0.6614131566929965</v>
      </c>
      <c r="AG596">
        <f t="shared" si="178"/>
        <v>0.66511650547813195</v>
      </c>
      <c r="AI596">
        <f t="shared" si="179"/>
        <v>0.28488662126901404</v>
      </c>
      <c r="AJ596">
        <f t="shared" si="180"/>
        <v>21.463205802973153</v>
      </c>
      <c r="AL596">
        <f t="shared" si="181"/>
        <v>0.29167346417968437</v>
      </c>
      <c r="AM596">
        <f t="shared" si="182"/>
        <v>22.498021126811611</v>
      </c>
      <c r="AO596">
        <f t="shared" si="183"/>
        <v>0.29004943506549247</v>
      </c>
      <c r="AP596">
        <f t="shared" si="184"/>
        <v>22.248182001167802</v>
      </c>
    </row>
    <row r="597" spans="1:42" x14ac:dyDescent="0.2">
      <c r="A597" s="3">
        <v>600</v>
      </c>
      <c r="B597" s="3">
        <v>4.6400000000000003E-7</v>
      </c>
      <c r="C597" s="2">
        <v>3.0980000000000001E-2</v>
      </c>
      <c r="D597" s="3">
        <v>203000</v>
      </c>
      <c r="E597" s="3">
        <v>103000000000</v>
      </c>
      <c r="F597" s="3">
        <v>93800000000</v>
      </c>
      <c r="G597" s="3">
        <v>766000000</v>
      </c>
      <c r="H597" s="3">
        <v>9560000000</v>
      </c>
      <c r="I597" s="2"/>
      <c r="J597" s="7">
        <f t="shared" si="185"/>
        <v>0.46400000000000002</v>
      </c>
      <c r="K597" s="7">
        <f t="shared" si="186"/>
        <v>30.98</v>
      </c>
      <c r="L597" s="7">
        <f t="shared" si="187"/>
        <v>103</v>
      </c>
      <c r="M597" s="7">
        <f t="shared" si="188"/>
        <v>203</v>
      </c>
      <c r="O597">
        <f t="shared" si="189"/>
        <v>0.34954187192118225</v>
      </c>
      <c r="P597">
        <f t="shared" si="190"/>
        <v>349.54187192118223</v>
      </c>
      <c r="V597">
        <f t="shared" si="174"/>
        <v>855.97386152923036</v>
      </c>
      <c r="W597">
        <f t="shared" si="175"/>
        <v>118.57838721694881</v>
      </c>
      <c r="AE597">
        <f t="shared" si="176"/>
        <v>0.73906185621342335</v>
      </c>
      <c r="AF597">
        <f t="shared" si="177"/>
        <v>0.72186489682085109</v>
      </c>
      <c r="AG597">
        <f t="shared" si="178"/>
        <v>0.72590672372075693</v>
      </c>
      <c r="AI597">
        <f t="shared" si="179"/>
        <v>0.26159289876475955</v>
      </c>
      <c r="AJ597">
        <f t="shared" si="180"/>
        <v>18.053870820892474</v>
      </c>
      <c r="AL597">
        <f t="shared" si="181"/>
        <v>0.2678248162291702</v>
      </c>
      <c r="AM597">
        <f t="shared" si="182"/>
        <v>18.924310323339565</v>
      </c>
      <c r="AO597">
        <f t="shared" si="183"/>
        <v>0.26633357567260274</v>
      </c>
      <c r="AP597">
        <f t="shared" si="184"/>
        <v>18.714157033948229</v>
      </c>
    </row>
    <row r="598" spans="1:42" x14ac:dyDescent="0.2">
      <c r="A598" s="3">
        <v>600</v>
      </c>
      <c r="B598" s="3">
        <v>4.6400000000000003E-7</v>
      </c>
      <c r="C598" s="2">
        <v>3.1029999999999999E-2</v>
      </c>
      <c r="D598" s="3">
        <v>191000</v>
      </c>
      <c r="E598" s="3">
        <v>96900000000</v>
      </c>
      <c r="F598" s="3">
        <v>88900000000</v>
      </c>
      <c r="G598" s="3">
        <v>6730000000</v>
      </c>
      <c r="H598" s="3">
        <v>9780000000</v>
      </c>
      <c r="I598" s="2"/>
      <c r="J598" s="7">
        <f t="shared" si="185"/>
        <v>0.46400000000000002</v>
      </c>
      <c r="K598" s="7">
        <f t="shared" si="186"/>
        <v>31.029999999999998</v>
      </c>
      <c r="L598" s="7">
        <f t="shared" si="187"/>
        <v>96.9</v>
      </c>
      <c r="M598" s="7">
        <f t="shared" si="188"/>
        <v>191</v>
      </c>
      <c r="O598">
        <f t="shared" si="189"/>
        <v>0.34215445026178015</v>
      </c>
      <c r="P598">
        <f t="shared" si="190"/>
        <v>342.15445026178014</v>
      </c>
      <c r="V598">
        <f t="shared" si="174"/>
        <v>847.91164540896045</v>
      </c>
      <c r="W598">
        <f t="shared" si="175"/>
        <v>112.62965960791696</v>
      </c>
      <c r="AE598">
        <f t="shared" si="176"/>
        <v>0.69537347062445254</v>
      </c>
      <c r="AF598">
        <f t="shared" si="177"/>
        <v>0.67919308026001257</v>
      </c>
      <c r="AG598">
        <f t="shared" si="178"/>
        <v>0.68299598143184514</v>
      </c>
      <c r="AI598">
        <f t="shared" si="179"/>
        <v>0.27802805470809522</v>
      </c>
      <c r="AJ598">
        <f t="shared" si="180"/>
        <v>20.426597632746908</v>
      </c>
      <c r="AL598">
        <f t="shared" si="181"/>
        <v>0.28465150625403951</v>
      </c>
      <c r="AM598">
        <f t="shared" si="182"/>
        <v>21.411434494410923</v>
      </c>
      <c r="AO598">
        <f t="shared" si="183"/>
        <v>0.28306657519130035</v>
      </c>
      <c r="AP598">
        <f t="shared" si="184"/>
        <v>21.173661845753919</v>
      </c>
    </row>
    <row r="599" spans="1:42" x14ac:dyDescent="0.2">
      <c r="A599" s="3">
        <v>600</v>
      </c>
      <c r="B599" s="3">
        <v>4.6499999999999999E-7</v>
      </c>
      <c r="C599" s="2">
        <v>3.108E-2</v>
      </c>
      <c r="D599" s="3">
        <v>197000</v>
      </c>
      <c r="E599" s="3">
        <v>99600000000</v>
      </c>
      <c r="F599" s="3">
        <v>91100000000</v>
      </c>
      <c r="G599" s="3">
        <v>610000000</v>
      </c>
      <c r="H599" s="3">
        <v>9680000000</v>
      </c>
      <c r="I599" s="2"/>
      <c r="J599" s="7">
        <f t="shared" si="185"/>
        <v>0.46499999999999997</v>
      </c>
      <c r="K599" s="7">
        <f t="shared" si="186"/>
        <v>31.08</v>
      </c>
      <c r="L599" s="7">
        <f t="shared" si="187"/>
        <v>99.600000000000009</v>
      </c>
      <c r="M599" s="7">
        <f t="shared" si="188"/>
        <v>197</v>
      </c>
      <c r="O599">
        <f t="shared" si="189"/>
        <v>0.34667512690355329</v>
      </c>
      <c r="P599">
        <f t="shared" si="190"/>
        <v>346.67512690355329</v>
      </c>
      <c r="V599">
        <f t="shared" si="174"/>
        <v>852.85663233888226</v>
      </c>
      <c r="W599">
        <f t="shared" si="175"/>
        <v>115.49420648799159</v>
      </c>
      <c r="AE599">
        <f t="shared" si="176"/>
        <v>0.71721766341893789</v>
      </c>
      <c r="AF599">
        <f t="shared" si="177"/>
        <v>0.70052898854043177</v>
      </c>
      <c r="AG599">
        <f t="shared" si="178"/>
        <v>0.70445135257630109</v>
      </c>
      <c r="AI599">
        <f t="shared" si="179"/>
        <v>0.27014114387033389</v>
      </c>
      <c r="AJ599">
        <f t="shared" si="180"/>
        <v>19.232225870863008</v>
      </c>
      <c r="AL599">
        <f t="shared" si="181"/>
        <v>0.27657670584579602</v>
      </c>
      <c r="AM599">
        <f t="shared" si="182"/>
        <v>20.159477942402788</v>
      </c>
      <c r="AO599">
        <f t="shared" si="183"/>
        <v>0.27503673502992443</v>
      </c>
      <c r="AP599">
        <f t="shared" si="184"/>
        <v>19.9356081934068</v>
      </c>
    </row>
    <row r="600" spans="1:42" x14ac:dyDescent="0.2">
      <c r="A600" s="3">
        <v>600</v>
      </c>
      <c r="B600" s="3">
        <v>4.6600000000000002E-7</v>
      </c>
      <c r="C600" s="2">
        <v>3.1130000000000001E-2</v>
      </c>
      <c r="D600" s="3">
        <v>212000</v>
      </c>
      <c r="E600" s="3">
        <v>107000000000</v>
      </c>
      <c r="F600" s="3">
        <v>97200000000</v>
      </c>
      <c r="G600" s="3">
        <v>4210000000</v>
      </c>
      <c r="H600" s="3">
        <v>9440000000</v>
      </c>
      <c r="I600" s="2"/>
      <c r="J600" s="7">
        <f t="shared" si="185"/>
        <v>0.46600000000000003</v>
      </c>
      <c r="K600" s="7">
        <f t="shared" si="186"/>
        <v>31.130000000000003</v>
      </c>
      <c r="L600" s="7">
        <f t="shared" si="187"/>
        <v>107</v>
      </c>
      <c r="M600" s="7">
        <f t="shared" si="188"/>
        <v>212</v>
      </c>
      <c r="O600">
        <f t="shared" si="189"/>
        <v>0.35587028301886792</v>
      </c>
      <c r="P600">
        <f t="shared" si="190"/>
        <v>355.87028301886789</v>
      </c>
      <c r="V600">
        <f t="shared" si="174"/>
        <v>862.80517935595515</v>
      </c>
      <c r="W600">
        <f t="shared" si="175"/>
        <v>122.85508077168033</v>
      </c>
      <c r="AE600">
        <f t="shared" si="176"/>
        <v>0.77182814540515143</v>
      </c>
      <c r="AF600">
        <f t="shared" si="177"/>
        <v>0.75386875924147989</v>
      </c>
      <c r="AG600">
        <f t="shared" si="178"/>
        <v>0.75808978043744069</v>
      </c>
      <c r="AI600">
        <f t="shared" si="179"/>
        <v>0.25156722752672339</v>
      </c>
      <c r="AJ600">
        <f t="shared" si="180"/>
        <v>16.633681902020399</v>
      </c>
      <c r="AL600">
        <f t="shared" si="181"/>
        <v>0.25756030381472683</v>
      </c>
      <c r="AM600">
        <f t="shared" si="182"/>
        <v>17.435649188830872</v>
      </c>
      <c r="AO600">
        <f t="shared" si="183"/>
        <v>0.25612621575590516</v>
      </c>
      <c r="AP600">
        <f t="shared" si="184"/>
        <v>17.242027388770492</v>
      </c>
    </row>
    <row r="601" spans="1:42" x14ac:dyDescent="0.2">
      <c r="A601" s="3">
        <v>600</v>
      </c>
      <c r="B601" s="3">
        <v>4.6699999999999999E-7</v>
      </c>
      <c r="C601" s="2">
        <v>3.1179999999999999E-2</v>
      </c>
      <c r="D601" s="3">
        <v>203000</v>
      </c>
      <c r="E601" s="3">
        <v>102000000000</v>
      </c>
      <c r="F601" s="3">
        <v>93300000000</v>
      </c>
      <c r="G601" s="2">
        <v>0</v>
      </c>
      <c r="H601" s="3">
        <v>9570000000</v>
      </c>
      <c r="I601" s="2"/>
      <c r="J601" s="7">
        <f t="shared" si="185"/>
        <v>0.46699999999999997</v>
      </c>
      <c r="K601" s="7">
        <f t="shared" si="186"/>
        <v>31.18</v>
      </c>
      <c r="L601" s="7">
        <f t="shared" si="187"/>
        <v>102</v>
      </c>
      <c r="M601" s="7">
        <f t="shared" si="188"/>
        <v>203</v>
      </c>
      <c r="O601">
        <f t="shared" si="189"/>
        <v>0.35180295566502462</v>
      </c>
      <c r="P601">
        <f t="shared" si="190"/>
        <v>351.80295566502463</v>
      </c>
      <c r="V601">
        <f t="shared" si="174"/>
        <v>858.42247831380166</v>
      </c>
      <c r="W601">
        <f t="shared" si="175"/>
        <v>118.24014697212534</v>
      </c>
      <c r="AE601">
        <f t="shared" si="176"/>
        <v>0.73906185621342335</v>
      </c>
      <c r="AF601">
        <f t="shared" si="177"/>
        <v>0.72186489682085109</v>
      </c>
      <c r="AG601">
        <f t="shared" si="178"/>
        <v>0.72590672372075693</v>
      </c>
      <c r="AI601">
        <f t="shared" si="179"/>
        <v>0.26328423216194546</v>
      </c>
      <c r="AJ601">
        <f t="shared" si="180"/>
        <v>18.170422601530902</v>
      </c>
      <c r="AL601">
        <f t="shared" si="181"/>
        <v>0.26955644219616914</v>
      </c>
      <c r="AM601">
        <f t="shared" si="182"/>
        <v>19.046481468099664</v>
      </c>
      <c r="AO601">
        <f t="shared" si="183"/>
        <v>0.26805555999807212</v>
      </c>
      <c r="AP601">
        <f t="shared" si="184"/>
        <v>18.834971475742602</v>
      </c>
    </row>
    <row r="602" spans="1:42" x14ac:dyDescent="0.2">
      <c r="A602" s="3">
        <v>600</v>
      </c>
      <c r="B602" s="3">
        <v>4.6699999999999999E-7</v>
      </c>
      <c r="C602" s="2">
        <v>3.124E-2</v>
      </c>
      <c r="D602" s="3">
        <v>190000</v>
      </c>
      <c r="E602" s="3">
        <v>96300000000</v>
      </c>
      <c r="F602" s="3">
        <v>88400000000</v>
      </c>
      <c r="G602" s="3">
        <v>8520000000</v>
      </c>
      <c r="H602" s="3">
        <v>9810000000</v>
      </c>
      <c r="I602" s="2"/>
      <c r="J602" s="7">
        <f t="shared" si="185"/>
        <v>0.46699999999999997</v>
      </c>
      <c r="K602" s="7">
        <f t="shared" si="186"/>
        <v>31.240000000000002</v>
      </c>
      <c r="L602" s="7">
        <f t="shared" si="187"/>
        <v>96.300000000000011</v>
      </c>
      <c r="M602" s="7">
        <f t="shared" si="188"/>
        <v>190</v>
      </c>
      <c r="O602">
        <f t="shared" si="189"/>
        <v>0.34368421052631576</v>
      </c>
      <c r="P602">
        <f t="shared" si="190"/>
        <v>343.68421052631578</v>
      </c>
      <c r="V602">
        <f t="shared" si="174"/>
        <v>849.58904017376233</v>
      </c>
      <c r="W602">
        <f t="shared" si="175"/>
        <v>111.8187682606759</v>
      </c>
      <c r="AE602">
        <f t="shared" si="176"/>
        <v>0.69173277182537163</v>
      </c>
      <c r="AF602">
        <f t="shared" si="177"/>
        <v>0.67563709554660933</v>
      </c>
      <c r="AG602">
        <f t="shared" si="178"/>
        <v>0.67942008624110251</v>
      </c>
      <c r="AI602">
        <f t="shared" si="179"/>
        <v>0.28129841646776282</v>
      </c>
      <c r="AJ602">
        <f t="shared" si="180"/>
        <v>20.781879215650569</v>
      </c>
      <c r="AL602">
        <f t="shared" si="181"/>
        <v>0.28799977771485441</v>
      </c>
      <c r="AM602">
        <f t="shared" si="182"/>
        <v>21.783845430200696</v>
      </c>
      <c r="AO602">
        <f t="shared" si="183"/>
        <v>0.28639620357688761</v>
      </c>
      <c r="AP602">
        <f t="shared" si="184"/>
        <v>21.541937181258952</v>
      </c>
    </row>
    <row r="603" spans="1:42" x14ac:dyDescent="0.2">
      <c r="A603" s="3">
        <v>600</v>
      </c>
      <c r="B603" s="3">
        <v>4.6800000000000001E-7</v>
      </c>
      <c r="C603" s="2">
        <v>3.1289999999999998E-2</v>
      </c>
      <c r="D603" s="3">
        <v>196000</v>
      </c>
      <c r="E603" s="3">
        <v>98900000000</v>
      </c>
      <c r="F603" s="3">
        <v>90500000000</v>
      </c>
      <c r="G603" s="3">
        <v>11200000000</v>
      </c>
      <c r="H603" s="3">
        <v>9710000000</v>
      </c>
      <c r="I603" s="2"/>
      <c r="J603" s="7">
        <f t="shared" si="185"/>
        <v>0.46800000000000003</v>
      </c>
      <c r="K603" s="7">
        <f t="shared" si="186"/>
        <v>31.29</v>
      </c>
      <c r="L603" s="7">
        <f t="shared" si="187"/>
        <v>98.9</v>
      </c>
      <c r="M603" s="7">
        <f t="shared" si="188"/>
        <v>196</v>
      </c>
      <c r="O603">
        <f t="shared" si="189"/>
        <v>0.34826785714285718</v>
      </c>
      <c r="P603">
        <f t="shared" si="190"/>
        <v>348.26785714285717</v>
      </c>
      <c r="V603">
        <f t="shared" si="174"/>
        <v>854.59029345143881</v>
      </c>
      <c r="W603">
        <f t="shared" si="175"/>
        <v>114.67483395371463</v>
      </c>
      <c r="AE603">
        <f t="shared" si="176"/>
        <v>0.71357696461985698</v>
      </c>
      <c r="AF603">
        <f t="shared" si="177"/>
        <v>0.69697300382702865</v>
      </c>
      <c r="AG603">
        <f t="shared" si="178"/>
        <v>0.70087545738555845</v>
      </c>
      <c r="AI603">
        <f t="shared" si="179"/>
        <v>0.27327115317390066</v>
      </c>
      <c r="AJ603">
        <f t="shared" si="180"/>
        <v>19.560250553599225</v>
      </c>
      <c r="AL603">
        <f t="shared" si="181"/>
        <v>0.27978128123940105</v>
      </c>
      <c r="AM603">
        <f t="shared" si="182"/>
        <v>20.503317828674238</v>
      </c>
      <c r="AO603">
        <f t="shared" si="183"/>
        <v>0.27822346744370108</v>
      </c>
      <c r="AP603">
        <f t="shared" si="184"/>
        <v>20.275629759121827</v>
      </c>
    </row>
    <row r="604" spans="1:42" x14ac:dyDescent="0.2">
      <c r="A604" s="3">
        <v>600</v>
      </c>
      <c r="B604" s="3">
        <v>4.6800000000000001E-7</v>
      </c>
      <c r="C604" s="2">
        <v>3.134E-2</v>
      </c>
      <c r="D604" s="3">
        <v>225000</v>
      </c>
      <c r="E604" s="3">
        <v>113000000000</v>
      </c>
      <c r="F604" s="3">
        <v>102000000000</v>
      </c>
      <c r="G604" s="2">
        <v>0</v>
      </c>
      <c r="H604" s="3">
        <v>9300000000</v>
      </c>
      <c r="I604" s="2"/>
      <c r="J604" s="7">
        <f t="shared" si="185"/>
        <v>0.46800000000000003</v>
      </c>
      <c r="K604" s="7">
        <f t="shared" si="186"/>
        <v>31.34</v>
      </c>
      <c r="L604" s="7">
        <f t="shared" si="187"/>
        <v>113</v>
      </c>
      <c r="M604" s="7">
        <f t="shared" si="188"/>
        <v>225</v>
      </c>
      <c r="O604">
        <f t="shared" si="189"/>
        <v>0.36353333333333337</v>
      </c>
      <c r="P604">
        <f t="shared" si="190"/>
        <v>363.53333333333336</v>
      </c>
      <c r="V604">
        <f t="shared" si="174"/>
        <v>870.9872400236477</v>
      </c>
      <c r="W604">
        <f t="shared" si="175"/>
        <v>129.16377511678078</v>
      </c>
      <c r="AE604">
        <f t="shared" si="176"/>
        <v>0.81915722979320327</v>
      </c>
      <c r="AF604">
        <f t="shared" si="177"/>
        <v>0.80009656051572164</v>
      </c>
      <c r="AG604">
        <f t="shared" si="178"/>
        <v>0.80457641791709511</v>
      </c>
      <c r="AI604">
        <f t="shared" si="179"/>
        <v>0.23804953787593119</v>
      </c>
      <c r="AJ604">
        <f t="shared" si="180"/>
        <v>14.866712708131356</v>
      </c>
      <c r="AL604">
        <f t="shared" si="181"/>
        <v>0.24372058276854489</v>
      </c>
      <c r="AM604">
        <f t="shared" si="182"/>
        <v>15.583488303850949</v>
      </c>
      <c r="AO604">
        <f t="shared" si="183"/>
        <v>0.24236355386206851</v>
      </c>
      <c r="AP604">
        <f t="shared" si="184"/>
        <v>15.410434635247412</v>
      </c>
    </row>
    <row r="605" spans="1:42" x14ac:dyDescent="0.2">
      <c r="A605" s="3">
        <v>600</v>
      </c>
      <c r="B605" s="3">
        <v>4.6899999999999998E-7</v>
      </c>
      <c r="C605" s="2">
        <v>3.1390000000000001E-2</v>
      </c>
      <c r="D605" s="3">
        <v>214000</v>
      </c>
      <c r="E605" s="3">
        <v>107000000000</v>
      </c>
      <c r="F605" s="3">
        <v>97300000000</v>
      </c>
      <c r="G605" s="3">
        <v>13200000000</v>
      </c>
      <c r="H605" s="3">
        <v>9440000000</v>
      </c>
      <c r="I605" s="2"/>
      <c r="J605" s="7">
        <f t="shared" si="185"/>
        <v>0.46899999999999997</v>
      </c>
      <c r="K605" s="7">
        <f t="shared" si="186"/>
        <v>31.39</v>
      </c>
      <c r="L605" s="7">
        <f t="shared" si="187"/>
        <v>107</v>
      </c>
      <c r="M605" s="7">
        <f t="shared" si="188"/>
        <v>214</v>
      </c>
      <c r="O605">
        <f t="shared" si="189"/>
        <v>0.35898831775700935</v>
      </c>
      <c r="P605">
        <f t="shared" si="190"/>
        <v>358.98831775700933</v>
      </c>
      <c r="V605">
        <f t="shared" si="174"/>
        <v>866.14612269327233</v>
      </c>
      <c r="W605">
        <f t="shared" si="175"/>
        <v>123.53573744264376</v>
      </c>
      <c r="AE605">
        <f t="shared" si="176"/>
        <v>0.77910954300331325</v>
      </c>
      <c r="AF605">
        <f t="shared" si="177"/>
        <v>0.76098072866828637</v>
      </c>
      <c r="AG605">
        <f t="shared" si="178"/>
        <v>0.76524157081892608</v>
      </c>
      <c r="AI605">
        <f t="shared" si="179"/>
        <v>0.25082052764156121</v>
      </c>
      <c r="AJ605">
        <f t="shared" si="180"/>
        <v>16.460565910368423</v>
      </c>
      <c r="AL605">
        <f t="shared" si="181"/>
        <v>0.25679581532720958</v>
      </c>
      <c r="AM605">
        <f t="shared" si="182"/>
        <v>17.254186676970896</v>
      </c>
      <c r="AO605">
        <f t="shared" si="183"/>
        <v>0.25536598391739329</v>
      </c>
      <c r="AP605">
        <f t="shared" si="184"/>
        <v>17.062580006821037</v>
      </c>
    </row>
    <row r="606" spans="1:42" x14ac:dyDescent="0.2">
      <c r="A606" s="3">
        <v>600</v>
      </c>
      <c r="B606" s="3">
        <v>4.6899999999999998E-7</v>
      </c>
      <c r="C606" s="2">
        <v>3.1449999999999999E-2</v>
      </c>
      <c r="D606" s="3">
        <v>197000</v>
      </c>
      <c r="E606" s="3">
        <v>99200000000</v>
      </c>
      <c r="F606" s="3">
        <v>90800000000</v>
      </c>
      <c r="G606" s="2">
        <v>0</v>
      </c>
      <c r="H606" s="3">
        <v>9710000000</v>
      </c>
      <c r="I606" s="2"/>
      <c r="J606" s="7">
        <f t="shared" si="185"/>
        <v>0.46899999999999997</v>
      </c>
      <c r="K606" s="7">
        <f t="shared" si="186"/>
        <v>31.45</v>
      </c>
      <c r="L606" s="7">
        <f t="shared" si="187"/>
        <v>99.2</v>
      </c>
      <c r="M606" s="7">
        <f t="shared" si="188"/>
        <v>197</v>
      </c>
      <c r="O606">
        <f t="shared" si="189"/>
        <v>0.34926649746192895</v>
      </c>
      <c r="P606">
        <f t="shared" si="190"/>
        <v>349.26649746192896</v>
      </c>
      <c r="V606">
        <f t="shared" si="174"/>
        <v>855.67504570146559</v>
      </c>
      <c r="W606">
        <f t="shared" si="175"/>
        <v>115.11379289932621</v>
      </c>
      <c r="AE606">
        <f t="shared" si="176"/>
        <v>0.71721766341893789</v>
      </c>
      <c r="AF606">
        <f t="shared" si="177"/>
        <v>0.70052898854043177</v>
      </c>
      <c r="AG606">
        <f t="shared" si="178"/>
        <v>0.70445135257630109</v>
      </c>
      <c r="AI606">
        <f t="shared" si="179"/>
        <v>0.27246493865631527</v>
      </c>
      <c r="AJ606">
        <f t="shared" si="180"/>
        <v>19.461180940754236</v>
      </c>
      <c r="AL606">
        <f t="shared" si="181"/>
        <v>0.27895586030468456</v>
      </c>
      <c r="AM606">
        <f t="shared" si="182"/>
        <v>20.399471727431393</v>
      </c>
      <c r="AO606">
        <f t="shared" si="183"/>
        <v>0.27740264242803131</v>
      </c>
      <c r="AP606">
        <f t="shared" si="184"/>
        <v>20.172936862375931</v>
      </c>
    </row>
    <row r="607" spans="1:42" x14ac:dyDescent="0.2">
      <c r="A607" s="3">
        <v>610</v>
      </c>
      <c r="B607" s="3">
        <v>4.7E-7</v>
      </c>
      <c r="C607" s="2">
        <v>3.15E-2</v>
      </c>
      <c r="D607" s="3">
        <v>218000</v>
      </c>
      <c r="E607" s="3">
        <v>109000000000</v>
      </c>
      <c r="F607" s="3">
        <v>99000000000</v>
      </c>
      <c r="G607" s="2">
        <v>0</v>
      </c>
      <c r="H607" s="3">
        <v>9390000000</v>
      </c>
      <c r="I607" s="2"/>
      <c r="J607" s="7">
        <f t="shared" si="185"/>
        <v>0.47</v>
      </c>
      <c r="K607" s="7">
        <f t="shared" si="186"/>
        <v>31.5</v>
      </c>
      <c r="L607" s="7">
        <f t="shared" si="187"/>
        <v>109</v>
      </c>
      <c r="M607" s="7">
        <f t="shared" si="188"/>
        <v>218</v>
      </c>
      <c r="O607">
        <f t="shared" si="189"/>
        <v>0.36162844036697245</v>
      </c>
      <c r="P607">
        <f t="shared" si="190"/>
        <v>361.62844036697243</v>
      </c>
      <c r="V607">
        <f t="shared" si="174"/>
        <v>868.96237311446009</v>
      </c>
      <c r="W607">
        <f t="shared" si="175"/>
        <v>125.43696179770315</v>
      </c>
      <c r="AE607">
        <f t="shared" si="176"/>
        <v>0.7936723381996369</v>
      </c>
      <c r="AF607">
        <f t="shared" si="177"/>
        <v>0.7752046675218992</v>
      </c>
      <c r="AG607">
        <f t="shared" si="178"/>
        <v>0.77954515158189663</v>
      </c>
      <c r="AI607">
        <f t="shared" si="179"/>
        <v>0.24674330187387009</v>
      </c>
      <c r="AJ607">
        <f t="shared" si="180"/>
        <v>15.91763565170889</v>
      </c>
      <c r="AL607">
        <f t="shared" si="181"/>
        <v>0.2526214579684547</v>
      </c>
      <c r="AM607">
        <f t="shared" si="182"/>
        <v>16.685079874294875</v>
      </c>
      <c r="AO607">
        <f t="shared" si="183"/>
        <v>0.25121486925540792</v>
      </c>
      <c r="AP607">
        <f t="shared" si="184"/>
        <v>16.499793099800595</v>
      </c>
    </row>
    <row r="608" spans="1:42" x14ac:dyDescent="0.2">
      <c r="A608" s="3">
        <v>610</v>
      </c>
      <c r="B608" s="3">
        <v>4.7E-7</v>
      </c>
      <c r="C608" s="2">
        <v>3.1550000000000002E-2</v>
      </c>
      <c r="D608" s="3">
        <v>221000</v>
      </c>
      <c r="E608" s="3">
        <v>111000000000</v>
      </c>
      <c r="F608" s="3">
        <v>100000000000</v>
      </c>
      <c r="G608" s="3">
        <v>10700000000</v>
      </c>
      <c r="H608" s="3">
        <v>9360000000</v>
      </c>
      <c r="I608" s="2"/>
      <c r="J608" s="7">
        <f t="shared" si="185"/>
        <v>0.47</v>
      </c>
      <c r="K608" s="7">
        <f t="shared" si="186"/>
        <v>31.55</v>
      </c>
      <c r="L608" s="7">
        <f t="shared" si="187"/>
        <v>111</v>
      </c>
      <c r="M608" s="7">
        <f t="shared" si="188"/>
        <v>221</v>
      </c>
      <c r="O608">
        <f t="shared" si="189"/>
        <v>0.36292986425339363</v>
      </c>
      <c r="P608">
        <f t="shared" si="190"/>
        <v>362.92986425339365</v>
      </c>
      <c r="V608">
        <f t="shared" si="174"/>
        <v>870.34640415914225</v>
      </c>
      <c r="W608">
        <f t="shared" si="175"/>
        <v>126.96094276020604</v>
      </c>
      <c r="AE608">
        <f t="shared" si="176"/>
        <v>0.80459443459687963</v>
      </c>
      <c r="AF608">
        <f t="shared" si="177"/>
        <v>0.78587262166210881</v>
      </c>
      <c r="AG608">
        <f t="shared" si="178"/>
        <v>0.79027283715412455</v>
      </c>
      <c r="AI608">
        <f t="shared" si="179"/>
        <v>0.24339384528734698</v>
      </c>
      <c r="AJ608">
        <f t="shared" si="180"/>
        <v>15.513000599780828</v>
      </c>
      <c r="AL608">
        <f t="shared" si="181"/>
        <v>0.24919220740779691</v>
      </c>
      <c r="AM608">
        <f t="shared" si="182"/>
        <v>16.260935968184398</v>
      </c>
      <c r="AO608">
        <f t="shared" si="183"/>
        <v>0.24780471265918069</v>
      </c>
      <c r="AP608">
        <f t="shared" si="184"/>
        <v>16.08035928539341</v>
      </c>
    </row>
    <row r="609" spans="1:42" x14ac:dyDescent="0.2">
      <c r="A609" s="3">
        <v>610</v>
      </c>
      <c r="B609" s="3">
        <v>4.7100000000000002E-7</v>
      </c>
      <c r="C609" s="2">
        <v>3.1600000000000003E-2</v>
      </c>
      <c r="D609" s="3">
        <v>209000</v>
      </c>
      <c r="E609" s="3">
        <v>105000000000</v>
      </c>
      <c r="F609" s="3">
        <v>95500000000</v>
      </c>
      <c r="G609" s="3">
        <v>5150000000</v>
      </c>
      <c r="H609" s="3">
        <v>9510000000</v>
      </c>
      <c r="I609" s="2"/>
      <c r="J609" s="7">
        <f t="shared" si="185"/>
        <v>0.47100000000000003</v>
      </c>
      <c r="K609" s="7">
        <f t="shared" si="186"/>
        <v>31.6</v>
      </c>
      <c r="L609" s="7">
        <f t="shared" si="187"/>
        <v>105</v>
      </c>
      <c r="M609" s="7">
        <f t="shared" si="188"/>
        <v>209</v>
      </c>
      <c r="O609">
        <f t="shared" si="189"/>
        <v>0.35760287081339714</v>
      </c>
      <c r="P609">
        <f t="shared" si="190"/>
        <v>357.60287081339715</v>
      </c>
      <c r="V609">
        <f t="shared" si="174"/>
        <v>864.66363349563244</v>
      </c>
      <c r="W609">
        <f t="shared" si="175"/>
        <v>120.85624507825197</v>
      </c>
      <c r="AE609">
        <f t="shared" si="176"/>
        <v>0.76090604900790881</v>
      </c>
      <c r="AF609">
        <f t="shared" si="177"/>
        <v>0.74320080510127029</v>
      </c>
      <c r="AG609">
        <f t="shared" si="178"/>
        <v>0.74736209486521277</v>
      </c>
      <c r="AI609">
        <f t="shared" si="179"/>
        <v>0.25791620431441759</v>
      </c>
      <c r="AJ609">
        <f t="shared" si="180"/>
        <v>17.37302735459302</v>
      </c>
      <c r="AL609">
        <f t="shared" si="181"/>
        <v>0.26406053202977697</v>
      </c>
      <c r="AM609">
        <f t="shared" si="182"/>
        <v>18.210641040685861</v>
      </c>
      <c r="AO609">
        <f t="shared" si="183"/>
        <v>0.26259025089490767</v>
      </c>
      <c r="AP609">
        <f t="shared" si="184"/>
        <v>18.00841300430109</v>
      </c>
    </row>
    <row r="610" spans="1:42" x14ac:dyDescent="0.2">
      <c r="A610" s="3">
        <v>610</v>
      </c>
      <c r="B610" s="3">
        <v>4.7100000000000002E-7</v>
      </c>
      <c r="C610" s="2">
        <v>3.1649999999999998E-2</v>
      </c>
      <c r="D610" s="3">
        <v>210000</v>
      </c>
      <c r="E610" s="3">
        <v>105000000000</v>
      </c>
      <c r="F610" s="3">
        <v>95800000000</v>
      </c>
      <c r="G610" s="3">
        <v>8140000000</v>
      </c>
      <c r="H610" s="3">
        <v>9520000000</v>
      </c>
      <c r="I610" s="2"/>
      <c r="J610" s="7">
        <f t="shared" si="185"/>
        <v>0.47100000000000003</v>
      </c>
      <c r="K610" s="7">
        <f t="shared" si="186"/>
        <v>31.65</v>
      </c>
      <c r="L610" s="7">
        <f t="shared" si="187"/>
        <v>105</v>
      </c>
      <c r="M610" s="7">
        <f t="shared" si="188"/>
        <v>210</v>
      </c>
      <c r="O610">
        <f t="shared" si="189"/>
        <v>0.35796428571428573</v>
      </c>
      <c r="P610">
        <f t="shared" si="190"/>
        <v>357.96428571428572</v>
      </c>
      <c r="V610">
        <f t="shared" si="174"/>
        <v>865.05067130674468</v>
      </c>
      <c r="W610">
        <f t="shared" si="175"/>
        <v>121.38017284165228</v>
      </c>
      <c r="AE610">
        <f t="shared" si="176"/>
        <v>0.76454674780698961</v>
      </c>
      <c r="AF610">
        <f t="shared" si="177"/>
        <v>0.74675678981467353</v>
      </c>
      <c r="AG610">
        <f t="shared" si="178"/>
        <v>0.75093799005595541</v>
      </c>
      <c r="AI610">
        <f t="shared" si="179"/>
        <v>0.25668803191292033</v>
      </c>
      <c r="AJ610">
        <f t="shared" si="180"/>
        <v>17.235191688391385</v>
      </c>
      <c r="AL610">
        <f t="shared" si="181"/>
        <v>0.2628031009248733</v>
      </c>
      <c r="AM610">
        <f t="shared" si="182"/>
        <v>18.06615984068716</v>
      </c>
      <c r="AO610">
        <f t="shared" si="183"/>
        <v>0.26133982112874143</v>
      </c>
      <c r="AP610">
        <f t="shared" si="184"/>
        <v>17.865536259044262</v>
      </c>
    </row>
    <row r="611" spans="1:42" x14ac:dyDescent="0.2">
      <c r="A611" s="3">
        <v>610</v>
      </c>
      <c r="B611" s="3">
        <v>4.7199999999999999E-7</v>
      </c>
      <c r="C611" s="2">
        <v>3.1699999999999999E-2</v>
      </c>
      <c r="D611" s="3">
        <v>201000</v>
      </c>
      <c r="E611" s="3">
        <v>101000000000</v>
      </c>
      <c r="F611" s="3">
        <v>92200000000</v>
      </c>
      <c r="G611" s="3">
        <v>6600000000</v>
      </c>
      <c r="H611" s="3">
        <v>9660000000</v>
      </c>
      <c r="I611" s="2"/>
      <c r="J611" s="7">
        <f t="shared" si="185"/>
        <v>0.47199999999999998</v>
      </c>
      <c r="K611" s="7">
        <f t="shared" si="186"/>
        <v>31.7</v>
      </c>
      <c r="L611" s="7">
        <f t="shared" si="187"/>
        <v>101</v>
      </c>
      <c r="M611" s="7">
        <f t="shared" si="188"/>
        <v>201</v>
      </c>
      <c r="O611">
        <f t="shared" si="189"/>
        <v>0.35371641791044772</v>
      </c>
      <c r="P611">
        <f t="shared" si="190"/>
        <v>353.71641791044772</v>
      </c>
      <c r="V611">
        <f t="shared" si="174"/>
        <v>860.4878030731436</v>
      </c>
      <c r="W611">
        <f t="shared" si="175"/>
        <v>116.79421793205505</v>
      </c>
      <c r="AE611">
        <f t="shared" si="176"/>
        <v>0.73178045861526153</v>
      </c>
      <c r="AF611">
        <f t="shared" si="177"/>
        <v>0.71475292739404461</v>
      </c>
      <c r="AG611">
        <f t="shared" si="178"/>
        <v>0.71875493333927165</v>
      </c>
      <c r="AI611">
        <f t="shared" si="179"/>
        <v>0.26875091340757634</v>
      </c>
      <c r="AJ611">
        <f t="shared" si="180"/>
        <v>18.842917230765135</v>
      </c>
      <c r="AL611">
        <f t="shared" si="181"/>
        <v>0.27515335597673457</v>
      </c>
      <c r="AM611">
        <f t="shared" si="182"/>
        <v>19.751399387401516</v>
      </c>
      <c r="AO611">
        <f t="shared" si="183"/>
        <v>0.27362131033031073</v>
      </c>
      <c r="AP611">
        <f t="shared" si="184"/>
        <v>19.532061325383726</v>
      </c>
    </row>
    <row r="612" spans="1:42" x14ac:dyDescent="0.2">
      <c r="A612" s="3">
        <v>610</v>
      </c>
      <c r="B612" s="3">
        <v>4.7300000000000001E-7</v>
      </c>
      <c r="C612" s="2">
        <v>3.1759999999999997E-2</v>
      </c>
      <c r="D612" s="3">
        <v>224000</v>
      </c>
      <c r="E612" s="3">
        <v>111000000000</v>
      </c>
      <c r="F612" s="3">
        <v>101000000000</v>
      </c>
      <c r="G612" s="3">
        <v>1980000000</v>
      </c>
      <c r="H612" s="3">
        <v>9350000000</v>
      </c>
      <c r="I612" s="2"/>
      <c r="J612" s="7">
        <f t="shared" si="185"/>
        <v>0.47300000000000003</v>
      </c>
      <c r="K612" s="7">
        <f t="shared" si="186"/>
        <v>31.759999999999998</v>
      </c>
      <c r="L612" s="7">
        <f t="shared" si="187"/>
        <v>111</v>
      </c>
      <c r="M612" s="7">
        <f t="shared" si="188"/>
        <v>224</v>
      </c>
      <c r="O612">
        <f t="shared" si="189"/>
        <v>0.36666071428571434</v>
      </c>
      <c r="P612">
        <f t="shared" si="190"/>
        <v>366.66071428571433</v>
      </c>
      <c r="V612">
        <f t="shared" si="174"/>
        <v>874.29881493804703</v>
      </c>
      <c r="W612">
        <f t="shared" si="175"/>
        <v>128.10265562116351</v>
      </c>
      <c r="AE612">
        <f t="shared" si="176"/>
        <v>0.81551653099412236</v>
      </c>
      <c r="AF612">
        <f t="shared" si="177"/>
        <v>0.79654057580231841</v>
      </c>
      <c r="AG612">
        <f t="shared" si="178"/>
        <v>0.80100052272635247</v>
      </c>
      <c r="AI612">
        <f t="shared" si="179"/>
        <v>0.24166687717916266</v>
      </c>
      <c r="AJ612">
        <f t="shared" si="180"/>
        <v>15.200765181334516</v>
      </c>
      <c r="AL612">
        <f t="shared" si="181"/>
        <v>0.2474240978054639</v>
      </c>
      <c r="AM612">
        <f t="shared" si="182"/>
        <v>15.933646601198467</v>
      </c>
      <c r="AO612">
        <f t="shared" si="183"/>
        <v>0.2460464478381662</v>
      </c>
      <c r="AP612">
        <f t="shared" si="184"/>
        <v>15.756704446476387</v>
      </c>
    </row>
    <row r="613" spans="1:42" x14ac:dyDescent="0.2">
      <c r="A613" s="3">
        <v>610</v>
      </c>
      <c r="B613" s="3">
        <v>4.7300000000000001E-7</v>
      </c>
      <c r="C613" s="2">
        <v>3.1809999999999998E-2</v>
      </c>
      <c r="D613" s="3">
        <v>205000</v>
      </c>
      <c r="E613" s="3">
        <v>103000000000</v>
      </c>
      <c r="F613" s="3">
        <v>93700000000</v>
      </c>
      <c r="G613" s="3">
        <v>10500000000</v>
      </c>
      <c r="H613" s="3">
        <v>9610000000</v>
      </c>
      <c r="I613" s="2"/>
      <c r="J613" s="7">
        <f t="shared" si="185"/>
        <v>0.47300000000000003</v>
      </c>
      <c r="K613" s="7">
        <f t="shared" si="186"/>
        <v>31.81</v>
      </c>
      <c r="L613" s="7">
        <f t="shared" si="187"/>
        <v>103</v>
      </c>
      <c r="M613" s="7">
        <f t="shared" si="188"/>
        <v>205</v>
      </c>
      <c r="O613">
        <f t="shared" si="189"/>
        <v>0.35662195121951223</v>
      </c>
      <c r="P613">
        <f t="shared" si="190"/>
        <v>356.62195121951225</v>
      </c>
      <c r="V613">
        <f t="shared" si="174"/>
        <v>863.61207109977556</v>
      </c>
      <c r="W613">
        <f t="shared" si="175"/>
        <v>118.68754899346223</v>
      </c>
      <c r="AE613">
        <f t="shared" si="176"/>
        <v>0.74634325381158517</v>
      </c>
      <c r="AF613">
        <f t="shared" si="177"/>
        <v>0.72897686624765745</v>
      </c>
      <c r="AG613">
        <f t="shared" si="178"/>
        <v>0.73305851410224221</v>
      </c>
      <c r="AI613">
        <f t="shared" si="179"/>
        <v>0.26406527067381674</v>
      </c>
      <c r="AJ613">
        <f t="shared" si="180"/>
        <v>18.177616640588294</v>
      </c>
      <c r="AL613">
        <f t="shared" si="181"/>
        <v>0.27035608735816541</v>
      </c>
      <c r="AM613">
        <f t="shared" si="182"/>
        <v>19.054022356641024</v>
      </c>
      <c r="AO613">
        <f t="shared" si="183"/>
        <v>0.26885075275975234</v>
      </c>
      <c r="AP613">
        <f t="shared" si="184"/>
        <v>18.842428623185612</v>
      </c>
    </row>
    <row r="614" spans="1:42" x14ac:dyDescent="0.2">
      <c r="A614" s="3">
        <v>610</v>
      </c>
      <c r="B614" s="3">
        <v>4.7399999999999998E-7</v>
      </c>
      <c r="C614" s="2">
        <v>3.1859999999999999E-2</v>
      </c>
      <c r="D614" s="3">
        <v>204000</v>
      </c>
      <c r="E614" s="3">
        <v>102000000000</v>
      </c>
      <c r="F614" s="3">
        <v>93300000000</v>
      </c>
      <c r="G614" s="2">
        <v>0</v>
      </c>
      <c r="H614" s="3">
        <v>9620000000</v>
      </c>
      <c r="I614" s="2"/>
      <c r="J614" s="7">
        <f t="shared" si="185"/>
        <v>0.47399999999999998</v>
      </c>
      <c r="K614" s="7">
        <f t="shared" si="186"/>
        <v>31.86</v>
      </c>
      <c r="L614" s="7">
        <f t="shared" si="187"/>
        <v>102</v>
      </c>
      <c r="M614" s="7">
        <f t="shared" si="188"/>
        <v>204</v>
      </c>
      <c r="O614">
        <f t="shared" si="189"/>
        <v>0.35686764705882351</v>
      </c>
      <c r="P614">
        <f t="shared" si="190"/>
        <v>356.86764705882354</v>
      </c>
      <c r="V614">
        <f t="shared" si="174"/>
        <v>863.87561226522962</v>
      </c>
      <c r="W614">
        <f t="shared" si="175"/>
        <v>118.07255414068069</v>
      </c>
      <c r="AE614">
        <f t="shared" si="176"/>
        <v>0.74270255501250426</v>
      </c>
      <c r="AF614">
        <f t="shared" si="177"/>
        <v>0.72542088153425421</v>
      </c>
      <c r="AG614">
        <f t="shared" si="178"/>
        <v>0.72948261891149957</v>
      </c>
      <c r="AI614">
        <f t="shared" si="179"/>
        <v>0.26592072245755888</v>
      </c>
      <c r="AJ614">
        <f t="shared" si="180"/>
        <v>18.385118341570681</v>
      </c>
      <c r="AL614">
        <f t="shared" si="181"/>
        <v>0.27225574149766751</v>
      </c>
      <c r="AM614">
        <f t="shared" si="182"/>
        <v>19.271528431707608</v>
      </c>
      <c r="AO614">
        <f t="shared" si="183"/>
        <v>0.27073982968189209</v>
      </c>
      <c r="AP614">
        <f t="shared" si="184"/>
        <v>19.057519306813514</v>
      </c>
    </row>
    <row r="615" spans="1:42" x14ac:dyDescent="0.2">
      <c r="A615" s="3">
        <v>610</v>
      </c>
      <c r="B615" s="3">
        <v>4.7399999999999998E-7</v>
      </c>
      <c r="C615" s="2">
        <v>3.1910000000000001E-2</v>
      </c>
      <c r="D615" s="3">
        <v>207000</v>
      </c>
      <c r="E615" s="3">
        <v>103000000000</v>
      </c>
      <c r="F615" s="3">
        <v>94300000000</v>
      </c>
      <c r="G615" s="3">
        <v>11200000000</v>
      </c>
      <c r="H615" s="3">
        <v>9600000000</v>
      </c>
      <c r="I615" s="2"/>
      <c r="J615" s="7">
        <f t="shared" si="185"/>
        <v>0.47399999999999998</v>
      </c>
      <c r="K615" s="7">
        <f t="shared" si="186"/>
        <v>31.91</v>
      </c>
      <c r="L615" s="7">
        <f t="shared" si="187"/>
        <v>103</v>
      </c>
      <c r="M615" s="7">
        <f t="shared" si="188"/>
        <v>207</v>
      </c>
      <c r="O615">
        <f t="shared" si="189"/>
        <v>0.35838405797101447</v>
      </c>
      <c r="P615">
        <f t="shared" si="190"/>
        <v>358.38405797101444</v>
      </c>
      <c r="V615">
        <f t="shared" si="174"/>
        <v>865.49993067961259</v>
      </c>
      <c r="W615">
        <f t="shared" si="175"/>
        <v>119.58406503710424</v>
      </c>
      <c r="AE615">
        <f t="shared" si="176"/>
        <v>0.75362465140974699</v>
      </c>
      <c r="AF615">
        <f t="shared" si="177"/>
        <v>0.73608883567446393</v>
      </c>
      <c r="AG615">
        <f t="shared" si="178"/>
        <v>0.74021030448372749</v>
      </c>
      <c r="AI615">
        <f t="shared" si="179"/>
        <v>0.26206679894368123</v>
      </c>
      <c r="AJ615">
        <f t="shared" si="180"/>
        <v>17.884100690445226</v>
      </c>
      <c r="AL615">
        <f t="shared" si="181"/>
        <v>0.26831000611364331</v>
      </c>
      <c r="AM615">
        <f t="shared" si="182"/>
        <v>18.746354988215554</v>
      </c>
      <c r="AO615">
        <f t="shared" si="183"/>
        <v>0.26681606403432845</v>
      </c>
      <c r="AP615">
        <f t="shared" si="184"/>
        <v>18.538177881755175</v>
      </c>
    </row>
    <row r="616" spans="1:42" x14ac:dyDescent="0.2">
      <c r="A616" s="3">
        <v>610</v>
      </c>
      <c r="B616" s="3">
        <v>4.75E-7</v>
      </c>
      <c r="C616" s="2">
        <v>3.1969999999999998E-2</v>
      </c>
      <c r="D616" s="3">
        <v>208000</v>
      </c>
      <c r="E616" s="3">
        <v>104000000000</v>
      </c>
      <c r="F616" s="3">
        <v>94500000000</v>
      </c>
      <c r="G616" s="3">
        <v>6470000000</v>
      </c>
      <c r="H616" s="3">
        <v>9590000000</v>
      </c>
      <c r="I616" s="2"/>
      <c r="J616" s="7">
        <f t="shared" si="185"/>
        <v>0.47499999999999998</v>
      </c>
      <c r="K616" s="7">
        <f t="shared" si="186"/>
        <v>31.97</v>
      </c>
      <c r="L616" s="7">
        <f t="shared" si="187"/>
        <v>104</v>
      </c>
      <c r="M616" s="7">
        <f t="shared" si="188"/>
        <v>208</v>
      </c>
      <c r="O616">
        <f t="shared" si="189"/>
        <v>0.35972355769230768</v>
      </c>
      <c r="P616">
        <f t="shared" si="190"/>
        <v>359.72355769230768</v>
      </c>
      <c r="V616">
        <f t="shared" si="174"/>
        <v>866.93156764642276</v>
      </c>
      <c r="W616">
        <f t="shared" si="175"/>
        <v>119.96333261037312</v>
      </c>
      <c r="AE616">
        <f t="shared" si="176"/>
        <v>0.7572653502088279</v>
      </c>
      <c r="AF616">
        <f t="shared" si="177"/>
        <v>0.73964482038786705</v>
      </c>
      <c r="AG616">
        <f t="shared" si="178"/>
        <v>0.74378619967447013</v>
      </c>
      <c r="AI616">
        <f t="shared" si="179"/>
        <v>0.2613570878584211</v>
      </c>
      <c r="AJ616">
        <f t="shared" si="180"/>
        <v>17.745856258861554</v>
      </c>
      <c r="AL616">
        <f t="shared" si="181"/>
        <v>0.26758338760877132</v>
      </c>
      <c r="AM616">
        <f t="shared" si="182"/>
        <v>18.601445314843154</v>
      </c>
      <c r="AO616">
        <f t="shared" si="183"/>
        <v>0.26609349131953247</v>
      </c>
      <c r="AP616">
        <f t="shared" si="184"/>
        <v>18.394877421294812</v>
      </c>
    </row>
    <row r="617" spans="1:42" x14ac:dyDescent="0.2">
      <c r="A617" s="3">
        <v>620</v>
      </c>
      <c r="B617" s="3">
        <v>4.7599999999999997E-7</v>
      </c>
      <c r="C617" s="2">
        <v>3.202E-2</v>
      </c>
      <c r="D617" s="3">
        <v>199000</v>
      </c>
      <c r="E617" s="3">
        <v>99300000000</v>
      </c>
      <c r="F617" s="3">
        <v>90900000000</v>
      </c>
      <c r="G617" s="2">
        <v>0</v>
      </c>
      <c r="H617" s="3">
        <v>9730000000</v>
      </c>
      <c r="I617" s="2"/>
      <c r="J617" s="7">
        <f t="shared" si="185"/>
        <v>0.47599999999999998</v>
      </c>
      <c r="K617" s="7">
        <f t="shared" si="186"/>
        <v>32.020000000000003</v>
      </c>
      <c r="L617" s="7">
        <f t="shared" si="187"/>
        <v>99.300000000000011</v>
      </c>
      <c r="M617" s="7">
        <f t="shared" si="188"/>
        <v>199</v>
      </c>
      <c r="O617">
        <f t="shared" si="189"/>
        <v>0.35532160804020096</v>
      </c>
      <c r="P617">
        <f t="shared" si="190"/>
        <v>355.32160804020094</v>
      </c>
      <c r="V617">
        <f t="shared" si="174"/>
        <v>862.21559481076736</v>
      </c>
      <c r="W617">
        <f t="shared" si="175"/>
        <v>115.40037155305399</v>
      </c>
      <c r="AE617">
        <f t="shared" si="176"/>
        <v>0.72449906101709971</v>
      </c>
      <c r="AF617">
        <f t="shared" si="177"/>
        <v>0.70764095796723825</v>
      </c>
      <c r="AG617">
        <f t="shared" si="178"/>
        <v>0.71160314295778637</v>
      </c>
      <c r="AI617">
        <f t="shared" si="179"/>
        <v>0.27375236767719185</v>
      </c>
      <c r="AJ617">
        <f t="shared" si="180"/>
        <v>19.417627604491525</v>
      </c>
      <c r="AL617">
        <f t="shared" si="181"/>
        <v>0.280273959697109</v>
      </c>
      <c r="AM617">
        <f t="shared" si="182"/>
        <v>20.35381853431678</v>
      </c>
      <c r="AO617">
        <f t="shared" si="183"/>
        <v>0.2787134026825101</v>
      </c>
      <c r="AP617">
        <f t="shared" si="184"/>
        <v>20.127790645132063</v>
      </c>
    </row>
    <row r="618" spans="1:42" x14ac:dyDescent="0.2">
      <c r="A618" s="3">
        <v>620</v>
      </c>
      <c r="B618" s="3">
        <v>4.7599999999999997E-7</v>
      </c>
      <c r="C618" s="2">
        <v>3.2070000000000001E-2</v>
      </c>
      <c r="D618" s="3">
        <v>216000</v>
      </c>
      <c r="E618" s="3">
        <v>107000000000</v>
      </c>
      <c r="F618" s="3">
        <v>97600000000</v>
      </c>
      <c r="G618" s="3">
        <v>5510000000</v>
      </c>
      <c r="H618" s="3">
        <v>9480000000</v>
      </c>
      <c r="I618" s="2"/>
      <c r="J618" s="7">
        <f t="shared" si="185"/>
        <v>0.47599999999999998</v>
      </c>
      <c r="K618" s="7">
        <f t="shared" si="186"/>
        <v>32.07</v>
      </c>
      <c r="L618" s="7">
        <f t="shared" si="187"/>
        <v>107</v>
      </c>
      <c r="M618" s="7">
        <f t="shared" si="188"/>
        <v>216</v>
      </c>
      <c r="O618">
        <f t="shared" si="189"/>
        <v>0.36464583333333334</v>
      </c>
      <c r="P618">
        <f t="shared" si="190"/>
        <v>364.64583333333331</v>
      </c>
      <c r="V618">
        <f t="shared" si="174"/>
        <v>872.16707484509345</v>
      </c>
      <c r="W618">
        <f t="shared" si="175"/>
        <v>123.82948533018401</v>
      </c>
      <c r="AE618">
        <f t="shared" si="176"/>
        <v>0.78639094060147507</v>
      </c>
      <c r="AF618">
        <f t="shared" si="177"/>
        <v>0.76809269809509273</v>
      </c>
      <c r="AG618">
        <f t="shared" si="178"/>
        <v>0.77239336120041135</v>
      </c>
      <c r="AI618">
        <f t="shared" si="179"/>
        <v>0.2522070424433388</v>
      </c>
      <c r="AJ618">
        <f t="shared" si="180"/>
        <v>16.507163416228373</v>
      </c>
      <c r="AL618">
        <f t="shared" si="181"/>
        <v>0.25821536101724396</v>
      </c>
      <c r="AM618">
        <f t="shared" si="182"/>
        <v>17.303030809618992</v>
      </c>
      <c r="AO618">
        <f t="shared" si="183"/>
        <v>0.25677762561953477</v>
      </c>
      <c r="AP618">
        <f t="shared" si="184"/>
        <v>17.110881728413297</v>
      </c>
    </row>
    <row r="619" spans="1:42" x14ac:dyDescent="0.2">
      <c r="A619" s="3">
        <v>620</v>
      </c>
      <c r="B619" s="3">
        <v>4.7700000000000005E-7</v>
      </c>
      <c r="C619" s="2">
        <v>3.2120000000000003E-2</v>
      </c>
      <c r="D619" s="3">
        <v>204000</v>
      </c>
      <c r="E619" s="3">
        <v>102000000000</v>
      </c>
      <c r="F619" s="3">
        <v>92800000000</v>
      </c>
      <c r="G619" s="3">
        <v>17800000000</v>
      </c>
      <c r="H619" s="3">
        <v>9660000000</v>
      </c>
      <c r="I619" s="2"/>
      <c r="J619" s="7">
        <f t="shared" si="185"/>
        <v>0.47700000000000004</v>
      </c>
      <c r="K619" s="7">
        <f t="shared" si="186"/>
        <v>32.120000000000005</v>
      </c>
      <c r="L619" s="7">
        <f t="shared" si="187"/>
        <v>102</v>
      </c>
      <c r="M619" s="7">
        <f t="shared" si="188"/>
        <v>204</v>
      </c>
      <c r="O619">
        <f t="shared" si="189"/>
        <v>0.35891176470588237</v>
      </c>
      <c r="P619">
        <f t="shared" si="190"/>
        <v>358.91176470588238</v>
      </c>
      <c r="V619">
        <f t="shared" si="174"/>
        <v>866.06429082231386</v>
      </c>
      <c r="W619">
        <f t="shared" si="175"/>
        <v>117.77416651499702</v>
      </c>
      <c r="AE619">
        <f t="shared" si="176"/>
        <v>0.74270255501250426</v>
      </c>
      <c r="AF619">
        <f t="shared" si="177"/>
        <v>0.72542088153425421</v>
      </c>
      <c r="AG619">
        <f t="shared" si="178"/>
        <v>0.72948261891149957</v>
      </c>
      <c r="AI619">
        <f t="shared" si="179"/>
        <v>0.26760376500475863</v>
      </c>
      <c r="AJ619">
        <f t="shared" si="180"/>
        <v>18.535153833372579</v>
      </c>
      <c r="AL619">
        <f t="shared" si="181"/>
        <v>0.27397887910208318</v>
      </c>
      <c r="AM619">
        <f t="shared" si="182"/>
        <v>19.428797653058645</v>
      </c>
      <c r="AO619">
        <f t="shared" si="183"/>
        <v>0.27245337290772692</v>
      </c>
      <c r="AP619">
        <f t="shared" si="184"/>
        <v>19.213042063240749</v>
      </c>
    </row>
    <row r="620" spans="1:42" x14ac:dyDescent="0.2">
      <c r="A620" s="3">
        <v>620</v>
      </c>
      <c r="B620" s="3">
        <v>4.7800000000000002E-7</v>
      </c>
      <c r="C620" s="2">
        <v>3.2169999999999997E-2</v>
      </c>
      <c r="D620" s="3">
        <v>201000</v>
      </c>
      <c r="E620" s="3">
        <v>100000000000</v>
      </c>
      <c r="F620" s="3">
        <v>91800000000</v>
      </c>
      <c r="G620" s="2">
        <v>0</v>
      </c>
      <c r="H620" s="3">
        <v>9690000000</v>
      </c>
      <c r="I620" s="2"/>
      <c r="J620" s="7">
        <f t="shared" si="185"/>
        <v>0.47800000000000004</v>
      </c>
      <c r="K620" s="7">
        <f t="shared" si="186"/>
        <v>32.169999999999995</v>
      </c>
      <c r="L620" s="7">
        <f t="shared" si="187"/>
        <v>100</v>
      </c>
      <c r="M620" s="7">
        <f t="shared" si="188"/>
        <v>201</v>
      </c>
      <c r="O620">
        <f t="shared" si="189"/>
        <v>0.35796268656716423</v>
      </c>
      <c r="P620">
        <f t="shared" si="190"/>
        <v>357.96268656716421</v>
      </c>
      <c r="V620">
        <f t="shared" si="174"/>
        <v>865.04895926581855</v>
      </c>
      <c r="W620">
        <f t="shared" si="175"/>
        <v>116.17839536538604</v>
      </c>
      <c r="AE620">
        <f t="shared" si="176"/>
        <v>0.73178045861526153</v>
      </c>
      <c r="AF620">
        <f t="shared" si="177"/>
        <v>0.71475292739404461</v>
      </c>
      <c r="AG620">
        <f t="shared" si="178"/>
        <v>0.71875493333927165</v>
      </c>
      <c r="AI620">
        <f t="shared" si="179"/>
        <v>0.27216723857801167</v>
      </c>
      <c r="AJ620">
        <f t="shared" si="180"/>
        <v>19.12229171336638</v>
      </c>
      <c r="AL620">
        <f t="shared" si="181"/>
        <v>0.27865106812898122</v>
      </c>
      <c r="AM620">
        <f t="shared" si="182"/>
        <v>20.044243479265194</v>
      </c>
      <c r="AO620">
        <f t="shared" si="183"/>
        <v>0.27709954732603503</v>
      </c>
      <c r="AP620">
        <f t="shared" si="184"/>
        <v>19.821653401816857</v>
      </c>
    </row>
    <row r="621" spans="1:42" x14ac:dyDescent="0.2">
      <c r="A621" s="3">
        <v>620</v>
      </c>
      <c r="B621" s="3">
        <v>4.7800000000000002E-7</v>
      </c>
      <c r="C621" s="2">
        <v>3.2230000000000002E-2</v>
      </c>
      <c r="D621" s="3">
        <v>182000</v>
      </c>
      <c r="E621" s="3">
        <v>91700000000</v>
      </c>
      <c r="F621" s="3">
        <v>84500000000</v>
      </c>
      <c r="G621" s="3">
        <v>16000000000</v>
      </c>
      <c r="H621" s="3">
        <v>10100000000</v>
      </c>
      <c r="I621" s="2"/>
      <c r="J621" s="7">
        <f t="shared" si="185"/>
        <v>0.47800000000000004</v>
      </c>
      <c r="K621" s="7">
        <f t="shared" si="186"/>
        <v>32.230000000000004</v>
      </c>
      <c r="L621" s="7">
        <f t="shared" si="187"/>
        <v>91.7</v>
      </c>
      <c r="M621" s="7">
        <f t="shared" si="188"/>
        <v>182</v>
      </c>
      <c r="O621">
        <f t="shared" si="189"/>
        <v>0.34518406593406592</v>
      </c>
      <c r="P621">
        <f t="shared" si="190"/>
        <v>345.18406593406593</v>
      </c>
      <c r="V621">
        <f t="shared" si="174"/>
        <v>851.22961144510521</v>
      </c>
      <c r="W621">
        <f t="shared" si="175"/>
        <v>106.9041757669969</v>
      </c>
      <c r="AE621">
        <f t="shared" si="176"/>
        <v>0.66260718143272435</v>
      </c>
      <c r="AF621">
        <f t="shared" si="177"/>
        <v>0.64718921783938366</v>
      </c>
      <c r="AG621">
        <f t="shared" si="178"/>
        <v>0.65081292471516139</v>
      </c>
      <c r="AI621">
        <f t="shared" si="179"/>
        <v>0.30058030194604585</v>
      </c>
      <c r="AJ621">
        <f t="shared" si="180"/>
        <v>23.366761327442767</v>
      </c>
      <c r="AL621">
        <f t="shared" si="181"/>
        <v>0.30774101480178695</v>
      </c>
      <c r="AM621">
        <f t="shared" si="182"/>
        <v>24.493353641381443</v>
      </c>
      <c r="AO621">
        <f t="shared" si="183"/>
        <v>0.30602752204688488</v>
      </c>
      <c r="AP621">
        <f t="shared" si="184"/>
        <v>24.221356472236881</v>
      </c>
    </row>
    <row r="622" spans="1:42" x14ac:dyDescent="0.2">
      <c r="A622" s="3">
        <v>620</v>
      </c>
      <c r="B622" s="3">
        <v>4.7899999999999999E-7</v>
      </c>
      <c r="C622" s="2">
        <v>3.2280000000000003E-2</v>
      </c>
      <c r="D622" s="3">
        <v>204000</v>
      </c>
      <c r="E622" s="3">
        <v>102000000000</v>
      </c>
      <c r="F622" s="3">
        <v>92800000000</v>
      </c>
      <c r="G622" s="3">
        <v>2500000000</v>
      </c>
      <c r="H622" s="3">
        <v>9660000000</v>
      </c>
      <c r="I622" s="2"/>
      <c r="J622" s="7">
        <f t="shared" si="185"/>
        <v>0.47899999999999998</v>
      </c>
      <c r="K622" s="7">
        <f t="shared" si="186"/>
        <v>32.28</v>
      </c>
      <c r="L622" s="7">
        <f t="shared" si="187"/>
        <v>102</v>
      </c>
      <c r="M622" s="7">
        <f t="shared" si="188"/>
        <v>204</v>
      </c>
      <c r="O622">
        <f t="shared" si="189"/>
        <v>0.36032352941176471</v>
      </c>
      <c r="P622">
        <f t="shared" si="190"/>
        <v>360.3235294117647</v>
      </c>
      <c r="V622">
        <f t="shared" si="174"/>
        <v>867.57184546148619</v>
      </c>
      <c r="W622">
        <f t="shared" si="175"/>
        <v>117.56951373375111</v>
      </c>
      <c r="AE622">
        <f t="shared" si="176"/>
        <v>0.74270255501250426</v>
      </c>
      <c r="AF622">
        <f t="shared" si="177"/>
        <v>0.72542088153425421</v>
      </c>
      <c r="AG622">
        <f t="shared" si="178"/>
        <v>0.72948261891149957</v>
      </c>
      <c r="AI622">
        <f t="shared" si="179"/>
        <v>0.26872579336955843</v>
      </c>
      <c r="AJ622">
        <f t="shared" si="180"/>
        <v>18.627483366789125</v>
      </c>
      <c r="AL622">
        <f t="shared" si="181"/>
        <v>0.27512763750502689</v>
      </c>
      <c r="AM622">
        <f t="shared" si="182"/>
        <v>19.525578712351589</v>
      </c>
      <c r="AO622">
        <f t="shared" si="183"/>
        <v>0.27359573505828338</v>
      </c>
      <c r="AP622">
        <f t="shared" si="184"/>
        <v>19.308748374888271</v>
      </c>
    </row>
    <row r="623" spans="1:42" x14ac:dyDescent="0.2">
      <c r="A623" s="3">
        <v>620</v>
      </c>
      <c r="B623" s="3">
        <v>4.7899999999999999E-7</v>
      </c>
      <c r="C623" s="2">
        <v>3.2329999999999998E-2</v>
      </c>
      <c r="D623" s="3">
        <v>219000</v>
      </c>
      <c r="E623" s="3">
        <v>108000000000</v>
      </c>
      <c r="F623" s="3">
        <v>98500000000</v>
      </c>
      <c r="G623" s="3">
        <v>2390000000</v>
      </c>
      <c r="H623" s="3">
        <v>9460000000</v>
      </c>
      <c r="I623" s="2"/>
      <c r="J623" s="7">
        <f t="shared" si="185"/>
        <v>0.47899999999999998</v>
      </c>
      <c r="K623" s="7">
        <f t="shared" si="186"/>
        <v>32.33</v>
      </c>
      <c r="L623" s="7">
        <f t="shared" si="187"/>
        <v>108</v>
      </c>
      <c r="M623" s="7">
        <f t="shared" si="188"/>
        <v>219</v>
      </c>
      <c r="O623">
        <f t="shared" si="189"/>
        <v>0.3682808219178082</v>
      </c>
      <c r="P623">
        <f t="shared" si="190"/>
        <v>368.28082191780823</v>
      </c>
      <c r="V623">
        <f t="shared" si="174"/>
        <v>876.00815785290263</v>
      </c>
      <c r="W623">
        <f t="shared" si="175"/>
        <v>124.99883593365691</v>
      </c>
      <c r="AE623">
        <f t="shared" si="176"/>
        <v>0.79731303699871781</v>
      </c>
      <c r="AF623">
        <f t="shared" si="177"/>
        <v>0.77876065223530233</v>
      </c>
      <c r="AG623">
        <f t="shared" si="178"/>
        <v>0.78312104677263927</v>
      </c>
      <c r="AI623">
        <f t="shared" si="179"/>
        <v>0.25031991711136953</v>
      </c>
      <c r="AJ623">
        <f t="shared" si="180"/>
        <v>16.188196521640048</v>
      </c>
      <c r="AL623">
        <f t="shared" si="181"/>
        <v>0.25628327877180584</v>
      </c>
      <c r="AM623">
        <f t="shared" si="182"/>
        <v>16.968685418763751</v>
      </c>
      <c r="AO623">
        <f t="shared" si="183"/>
        <v>0.25485630115018176</v>
      </c>
      <c r="AP623">
        <f t="shared" si="184"/>
        <v>16.780249222333278</v>
      </c>
    </row>
    <row r="624" spans="1:42" x14ac:dyDescent="0.2">
      <c r="A624" s="3">
        <v>620</v>
      </c>
      <c r="B624" s="3">
        <v>4.7999999999999996E-7</v>
      </c>
      <c r="C624" s="2">
        <v>3.2379999999999999E-2</v>
      </c>
      <c r="D624" s="3">
        <v>243000</v>
      </c>
      <c r="E624" s="3">
        <v>119000000000</v>
      </c>
      <c r="F624" s="3">
        <v>108000000000</v>
      </c>
      <c r="G624" s="3">
        <v>7600000000</v>
      </c>
      <c r="H624" s="3">
        <v>9200000000</v>
      </c>
      <c r="I624" s="2"/>
      <c r="J624" s="7">
        <f t="shared" si="185"/>
        <v>0.48</v>
      </c>
      <c r="K624" s="7">
        <f t="shared" si="186"/>
        <v>32.380000000000003</v>
      </c>
      <c r="L624" s="7">
        <f t="shared" si="187"/>
        <v>119.00000000000001</v>
      </c>
      <c r="M624" s="7">
        <f t="shared" si="188"/>
        <v>243</v>
      </c>
      <c r="O624">
        <f t="shared" si="189"/>
        <v>0.38006172839506169</v>
      </c>
      <c r="P624">
        <f t="shared" si="190"/>
        <v>380.06172839506172</v>
      </c>
      <c r="V624">
        <f t="shared" si="174"/>
        <v>888.31391406957073</v>
      </c>
      <c r="W624">
        <f t="shared" si="175"/>
        <v>136.77597308296174</v>
      </c>
      <c r="AE624">
        <f t="shared" si="176"/>
        <v>0.88468980817665943</v>
      </c>
      <c r="AF624">
        <f t="shared" si="177"/>
        <v>0.86410428535697936</v>
      </c>
      <c r="AG624">
        <f t="shared" si="178"/>
        <v>0.86894253135046273</v>
      </c>
      <c r="AI624">
        <f t="shared" si="179"/>
        <v>0.2260679372041132</v>
      </c>
      <c r="AJ624">
        <f t="shared" si="180"/>
        <v>13.16877235781234</v>
      </c>
      <c r="AL624">
        <f t="shared" si="181"/>
        <v>0.23145354488940634</v>
      </c>
      <c r="AM624">
        <f t="shared" si="182"/>
        <v>13.803684381537927</v>
      </c>
      <c r="AO624">
        <f t="shared" si="183"/>
        <v>0.2301648184824962</v>
      </c>
      <c r="AP624">
        <f t="shared" si="184"/>
        <v>13.650395324820106</v>
      </c>
    </row>
    <row r="625" spans="1:42" x14ac:dyDescent="0.2">
      <c r="A625" s="3">
        <v>620</v>
      </c>
      <c r="B625" s="3">
        <v>4.7999999999999996E-7</v>
      </c>
      <c r="C625" s="2">
        <v>3.2439999999999997E-2</v>
      </c>
      <c r="D625" s="3">
        <v>225000</v>
      </c>
      <c r="E625" s="3">
        <v>111000000000</v>
      </c>
      <c r="F625" s="3">
        <v>101000000000</v>
      </c>
      <c r="G625" s="2">
        <v>0</v>
      </c>
      <c r="H625" s="3">
        <v>9400000000</v>
      </c>
      <c r="I625" s="2"/>
      <c r="J625" s="7">
        <f t="shared" si="185"/>
        <v>0.48</v>
      </c>
      <c r="K625" s="7">
        <f t="shared" si="186"/>
        <v>32.44</v>
      </c>
      <c r="L625" s="7">
        <f t="shared" si="187"/>
        <v>111</v>
      </c>
      <c r="M625" s="7">
        <f t="shared" si="188"/>
        <v>225</v>
      </c>
      <c r="O625">
        <f t="shared" si="189"/>
        <v>0.37186666666666668</v>
      </c>
      <c r="P625">
        <f t="shared" si="190"/>
        <v>371.86666666666667</v>
      </c>
      <c r="V625">
        <f t="shared" si="174"/>
        <v>879.77667564297712</v>
      </c>
      <c r="W625">
        <f t="shared" si="175"/>
        <v>127.87336049546933</v>
      </c>
      <c r="AE625">
        <f t="shared" si="176"/>
        <v>0.81915722979320327</v>
      </c>
      <c r="AF625">
        <f t="shared" si="177"/>
        <v>0.80009656051572164</v>
      </c>
      <c r="AG625">
        <f t="shared" si="178"/>
        <v>0.80457641791709511</v>
      </c>
      <c r="AI625">
        <f t="shared" si="179"/>
        <v>0.24415337218044222</v>
      </c>
      <c r="AJ625">
        <f t="shared" si="180"/>
        <v>15.388518195653516</v>
      </c>
      <c r="AL625">
        <f t="shared" si="181"/>
        <v>0.24996982848055885</v>
      </c>
      <c r="AM625">
        <f t="shared" si="182"/>
        <v>16.13045183717054</v>
      </c>
      <c r="AO625">
        <f t="shared" si="183"/>
        <v>0.24857800396109586</v>
      </c>
      <c r="AP625">
        <f t="shared" si="184"/>
        <v>15.951324172540716</v>
      </c>
    </row>
    <row r="626" spans="1:42" x14ac:dyDescent="0.2">
      <c r="A626" s="3">
        <v>620</v>
      </c>
      <c r="B626" s="3">
        <v>4.8100000000000003E-7</v>
      </c>
      <c r="C626" s="2">
        <v>3.2489999999999998E-2</v>
      </c>
      <c r="D626" s="3">
        <v>218000</v>
      </c>
      <c r="E626" s="3">
        <v>107000000000</v>
      </c>
      <c r="F626" s="3">
        <v>97700000000</v>
      </c>
      <c r="G626" s="3">
        <v>1050000000</v>
      </c>
      <c r="H626" s="3">
        <v>9490000000</v>
      </c>
      <c r="I626" s="2"/>
      <c r="J626" s="7">
        <f t="shared" si="185"/>
        <v>0.48100000000000004</v>
      </c>
      <c r="K626" s="7">
        <f t="shared" si="186"/>
        <v>32.489999999999995</v>
      </c>
      <c r="L626" s="7">
        <f t="shared" si="187"/>
        <v>107</v>
      </c>
      <c r="M626" s="7">
        <f t="shared" si="188"/>
        <v>218</v>
      </c>
      <c r="O626">
        <f t="shared" si="189"/>
        <v>0.36922247706422023</v>
      </c>
      <c r="P626">
        <f t="shared" si="190"/>
        <v>369.22247706422024</v>
      </c>
      <c r="V626">
        <f t="shared" si="174"/>
        <v>876.99975510793683</v>
      </c>
      <c r="W626">
        <f t="shared" si="175"/>
        <v>124.28737792131403</v>
      </c>
      <c r="AE626">
        <f t="shared" si="176"/>
        <v>0.7936723381996369</v>
      </c>
      <c r="AF626">
        <f t="shared" si="177"/>
        <v>0.7752046675218992</v>
      </c>
      <c r="AG626">
        <f t="shared" si="178"/>
        <v>0.77954515158189663</v>
      </c>
      <c r="AI626">
        <f t="shared" si="179"/>
        <v>0.252518145109216</v>
      </c>
      <c r="AJ626">
        <f t="shared" si="180"/>
        <v>16.417904200762596</v>
      </c>
      <c r="AL626">
        <f t="shared" si="181"/>
        <v>0.2585338750698441</v>
      </c>
      <c r="AM626">
        <f t="shared" si="182"/>
        <v>17.209468098915565</v>
      </c>
      <c r="AO626">
        <f t="shared" si="183"/>
        <v>0.25709436619542819</v>
      </c>
      <c r="AP626">
        <f t="shared" si="184"/>
        <v>17.018358025794328</v>
      </c>
    </row>
    <row r="627" spans="1:42" x14ac:dyDescent="0.2">
      <c r="A627" s="3">
        <v>630</v>
      </c>
      <c r="B627" s="3">
        <v>4.82E-7</v>
      </c>
      <c r="C627" s="2">
        <v>3.2539999999999999E-2</v>
      </c>
      <c r="D627" s="3">
        <v>211000</v>
      </c>
      <c r="E627" s="3">
        <v>104000000000</v>
      </c>
      <c r="F627" s="3">
        <v>95100000000</v>
      </c>
      <c r="G627" s="3">
        <v>12000000000</v>
      </c>
      <c r="H627" s="3">
        <v>9580000000</v>
      </c>
      <c r="I627" s="2"/>
      <c r="J627" s="7">
        <f t="shared" si="185"/>
        <v>0.48199999999999998</v>
      </c>
      <c r="K627" s="7">
        <f t="shared" si="186"/>
        <v>32.54</v>
      </c>
      <c r="L627" s="7">
        <f t="shared" si="187"/>
        <v>104</v>
      </c>
      <c r="M627" s="7">
        <f t="shared" si="188"/>
        <v>211</v>
      </c>
      <c r="O627">
        <f t="shared" si="189"/>
        <v>0.36633649289099524</v>
      </c>
      <c r="P627">
        <f t="shared" si="190"/>
        <v>366.33649289099526</v>
      </c>
      <c r="V627">
        <f t="shared" si="174"/>
        <v>873.95623060696153</v>
      </c>
      <c r="W627">
        <f t="shared" si="175"/>
        <v>120.71542750685624</v>
      </c>
      <c r="AE627">
        <f t="shared" si="176"/>
        <v>0.76818744660607052</v>
      </c>
      <c r="AF627">
        <f t="shared" si="177"/>
        <v>0.75031277452807676</v>
      </c>
      <c r="AG627">
        <f t="shared" si="178"/>
        <v>0.75451388524669805</v>
      </c>
      <c r="AI627">
        <f t="shared" si="179"/>
        <v>0.26143792666833499</v>
      </c>
      <c r="AJ627">
        <f t="shared" si="180"/>
        <v>17.552283749671481</v>
      </c>
      <c r="AL627">
        <f t="shared" si="181"/>
        <v>0.26766615223851309</v>
      </c>
      <c r="AM627">
        <f t="shared" si="182"/>
        <v>18.398540006041376</v>
      </c>
      <c r="AO627">
        <f t="shared" si="183"/>
        <v>0.26617579511829437</v>
      </c>
      <c r="AP627">
        <f t="shared" si="184"/>
        <v>18.194225363330247</v>
      </c>
    </row>
    <row r="628" spans="1:42" x14ac:dyDescent="0.2">
      <c r="A628" s="3">
        <v>630</v>
      </c>
      <c r="B628" s="3">
        <v>4.8299999999999997E-7</v>
      </c>
      <c r="C628" s="2">
        <v>3.2590000000000001E-2</v>
      </c>
      <c r="D628" s="3">
        <v>211000</v>
      </c>
      <c r="E628" s="3">
        <v>104000000000</v>
      </c>
      <c r="F628" s="3">
        <v>95100000000</v>
      </c>
      <c r="G628" s="3">
        <v>3410000000</v>
      </c>
      <c r="H628" s="3">
        <v>9570000000</v>
      </c>
      <c r="I628" s="2"/>
      <c r="J628" s="7">
        <f t="shared" si="185"/>
        <v>0.48299999999999998</v>
      </c>
      <c r="K628" s="7">
        <f t="shared" si="186"/>
        <v>32.590000000000003</v>
      </c>
      <c r="L628" s="7">
        <f t="shared" si="187"/>
        <v>104</v>
      </c>
      <c r="M628" s="7">
        <f t="shared" si="188"/>
        <v>211</v>
      </c>
      <c r="O628">
        <f t="shared" si="189"/>
        <v>0.36715876777251183</v>
      </c>
      <c r="P628">
        <f t="shared" si="190"/>
        <v>367.15876777251185</v>
      </c>
      <c r="V628">
        <f t="shared" si="174"/>
        <v>874.82474818298749</v>
      </c>
      <c r="W628">
        <f t="shared" si="175"/>
        <v>120.59558239421516</v>
      </c>
      <c r="AE628">
        <f t="shared" si="176"/>
        <v>0.76818744660607052</v>
      </c>
      <c r="AF628">
        <f t="shared" si="177"/>
        <v>0.75031277452807676</v>
      </c>
      <c r="AG628">
        <f t="shared" si="178"/>
        <v>0.75451388524669805</v>
      </c>
      <c r="AI628">
        <f t="shared" si="179"/>
        <v>0.26198032900582113</v>
      </c>
      <c r="AJ628">
        <f t="shared" si="180"/>
        <v>17.579254068893473</v>
      </c>
      <c r="AL628">
        <f t="shared" si="181"/>
        <v>0.26822147620581294</v>
      </c>
      <c r="AM628">
        <f t="shared" si="182"/>
        <v>18.426810657556501</v>
      </c>
      <c r="AO628">
        <f t="shared" si="183"/>
        <v>0.26672802705837378</v>
      </c>
      <c r="AP628">
        <f t="shared" si="184"/>
        <v>18.222182071018217</v>
      </c>
    </row>
    <row r="629" spans="1:42" x14ac:dyDescent="0.2">
      <c r="A629" s="3">
        <v>630</v>
      </c>
      <c r="B629" s="3">
        <v>4.8299999999999997E-7</v>
      </c>
      <c r="C629" s="2">
        <v>3.2640000000000002E-2</v>
      </c>
      <c r="D629" s="3">
        <v>206000</v>
      </c>
      <c r="E629" s="3">
        <v>102000000000</v>
      </c>
      <c r="F629" s="3">
        <v>93300000000</v>
      </c>
      <c r="G629" s="3">
        <v>377000000</v>
      </c>
      <c r="H629" s="3">
        <v>9650000000</v>
      </c>
      <c r="I629" s="2"/>
      <c r="J629" s="7">
        <f t="shared" si="185"/>
        <v>0.48299999999999998</v>
      </c>
      <c r="K629" s="7">
        <f t="shared" si="186"/>
        <v>32.64</v>
      </c>
      <c r="L629" s="7">
        <f t="shared" si="187"/>
        <v>102</v>
      </c>
      <c r="M629" s="7">
        <f t="shared" si="188"/>
        <v>206</v>
      </c>
      <c r="O629">
        <f t="shared" si="189"/>
        <v>0.36416504854368931</v>
      </c>
      <c r="P629">
        <f t="shared" si="190"/>
        <v>364.1650485436893</v>
      </c>
      <c r="V629">
        <f t="shared" si="174"/>
        <v>871.65743657551559</v>
      </c>
      <c r="W629">
        <f t="shared" si="175"/>
        <v>118.16568720466213</v>
      </c>
      <c r="AE629">
        <f t="shared" si="176"/>
        <v>0.74998395261066608</v>
      </c>
      <c r="AF629">
        <f t="shared" si="177"/>
        <v>0.73253285096106069</v>
      </c>
      <c r="AG629">
        <f t="shared" si="178"/>
        <v>0.73663440929298485</v>
      </c>
      <c r="AI629">
        <f t="shared" si="179"/>
        <v>0.26833907485547692</v>
      </c>
      <c r="AJ629">
        <f t="shared" si="180"/>
        <v>18.471267696844386</v>
      </c>
      <c r="AL629">
        <f t="shared" si="181"/>
        <v>0.27473170621080839</v>
      </c>
      <c r="AM629">
        <f t="shared" si="182"/>
        <v>19.361831345112115</v>
      </c>
      <c r="AO629">
        <f t="shared" si="183"/>
        <v>0.27320200829765467</v>
      </c>
      <c r="AP629">
        <f t="shared" si="184"/>
        <v>19.14681941197988</v>
      </c>
    </row>
    <row r="630" spans="1:42" x14ac:dyDescent="0.2">
      <c r="A630" s="3">
        <v>630</v>
      </c>
      <c r="B630" s="3">
        <v>4.8400000000000005E-7</v>
      </c>
      <c r="C630" s="2">
        <v>3.2689999999999997E-2</v>
      </c>
      <c r="D630" s="3">
        <v>210000</v>
      </c>
      <c r="E630" s="3">
        <v>104000000000</v>
      </c>
      <c r="F630" s="3">
        <v>94600000000</v>
      </c>
      <c r="G630" s="3">
        <v>3680000000</v>
      </c>
      <c r="H630" s="3">
        <v>9610000000</v>
      </c>
      <c r="I630" s="2"/>
      <c r="J630" s="7">
        <f t="shared" si="185"/>
        <v>0.48400000000000004</v>
      </c>
      <c r="K630" s="7">
        <f t="shared" si="186"/>
        <v>32.69</v>
      </c>
      <c r="L630" s="7">
        <f t="shared" si="187"/>
        <v>104</v>
      </c>
      <c r="M630" s="7">
        <f t="shared" si="188"/>
        <v>210</v>
      </c>
      <c r="O630">
        <f t="shared" si="189"/>
        <v>0.36725000000000008</v>
      </c>
      <c r="P630">
        <f t="shared" si="190"/>
        <v>367.25000000000006</v>
      </c>
      <c r="V630">
        <f t="shared" si="174"/>
        <v>874.92104428728248</v>
      </c>
      <c r="W630">
        <f t="shared" si="175"/>
        <v>120.01082918920281</v>
      </c>
      <c r="AE630">
        <f t="shared" si="176"/>
        <v>0.76454674780698961</v>
      </c>
      <c r="AF630">
        <f t="shared" si="177"/>
        <v>0.74675678981467353</v>
      </c>
      <c r="AG630">
        <f t="shared" si="178"/>
        <v>0.75093799005595541</v>
      </c>
      <c r="AI630">
        <f t="shared" si="179"/>
        <v>0.26377283958779923</v>
      </c>
      <c r="AJ630">
        <f t="shared" si="180"/>
        <v>17.801529740711356</v>
      </c>
      <c r="AL630">
        <f t="shared" si="181"/>
        <v>0.27005668969774665</v>
      </c>
      <c r="AM630">
        <f t="shared" si="182"/>
        <v>18.659803007648126</v>
      </c>
      <c r="AO630">
        <f t="shared" si="183"/>
        <v>0.26855302213654114</v>
      </c>
      <c r="AP630">
        <f t="shared" si="184"/>
        <v>18.45258705554998</v>
      </c>
    </row>
    <row r="631" spans="1:42" x14ac:dyDescent="0.2">
      <c r="A631" s="3">
        <v>630</v>
      </c>
      <c r="B631" s="3">
        <v>4.8400000000000005E-7</v>
      </c>
      <c r="C631" s="2">
        <v>3.2750000000000001E-2</v>
      </c>
      <c r="D631" s="3">
        <v>219000</v>
      </c>
      <c r="E631" s="3">
        <v>108000000000</v>
      </c>
      <c r="F631" s="3">
        <v>98000000000</v>
      </c>
      <c r="G631" s="3">
        <v>5950000000</v>
      </c>
      <c r="H631" s="3">
        <v>9490000000</v>
      </c>
      <c r="I631" s="2"/>
      <c r="J631" s="7">
        <f t="shared" si="185"/>
        <v>0.48400000000000004</v>
      </c>
      <c r="K631" s="7">
        <f t="shared" si="186"/>
        <v>32.75</v>
      </c>
      <c r="L631" s="7">
        <f t="shared" si="187"/>
        <v>108</v>
      </c>
      <c r="M631" s="7">
        <f t="shared" si="188"/>
        <v>219</v>
      </c>
      <c r="O631">
        <f t="shared" si="189"/>
        <v>0.37184246575342472</v>
      </c>
      <c r="P631">
        <f t="shared" si="190"/>
        <v>371.84246575342473</v>
      </c>
      <c r="V631">
        <f t="shared" si="174"/>
        <v>879.75130986703937</v>
      </c>
      <c r="W631">
        <f t="shared" si="175"/>
        <v>124.46699285568464</v>
      </c>
      <c r="AE631">
        <f t="shared" si="176"/>
        <v>0.79731303699871781</v>
      </c>
      <c r="AF631">
        <f t="shared" si="177"/>
        <v>0.77876065223530233</v>
      </c>
      <c r="AG631">
        <f t="shared" si="178"/>
        <v>0.78312104677263927</v>
      </c>
      <c r="AI631">
        <f t="shared" si="179"/>
        <v>0.25293285987871161</v>
      </c>
      <c r="AJ631">
        <f t="shared" si="180"/>
        <v>16.398497868348642</v>
      </c>
      <c r="AL631">
        <f t="shared" si="181"/>
        <v>0.25895846957318175</v>
      </c>
      <c r="AM631">
        <f t="shared" si="182"/>
        <v>17.189126120151961</v>
      </c>
      <c r="AO631">
        <f t="shared" si="183"/>
        <v>0.25751659656928599</v>
      </c>
      <c r="AP631">
        <f t="shared" si="184"/>
        <v>16.998241943439989</v>
      </c>
    </row>
    <row r="632" spans="1:42" x14ac:dyDescent="0.2">
      <c r="A632" s="3">
        <v>630</v>
      </c>
      <c r="B632" s="3">
        <v>4.8500000000000002E-7</v>
      </c>
      <c r="C632" s="2">
        <v>3.2800000000000003E-2</v>
      </c>
      <c r="D632" s="3">
        <v>222000</v>
      </c>
      <c r="E632" s="3">
        <v>109000000000</v>
      </c>
      <c r="F632" s="3">
        <v>99200000000</v>
      </c>
      <c r="G632" s="3">
        <v>14700000000</v>
      </c>
      <c r="H632" s="3">
        <v>9440000000</v>
      </c>
      <c r="I632" s="2"/>
      <c r="J632" s="7">
        <f t="shared" si="185"/>
        <v>0.48500000000000004</v>
      </c>
      <c r="K632" s="7">
        <f t="shared" si="186"/>
        <v>32.800000000000004</v>
      </c>
      <c r="L632" s="7">
        <f t="shared" si="187"/>
        <v>109</v>
      </c>
      <c r="M632" s="7">
        <f t="shared" si="188"/>
        <v>222</v>
      </c>
      <c r="O632">
        <f t="shared" si="189"/>
        <v>0.3741891891891892</v>
      </c>
      <c r="P632">
        <f t="shared" si="190"/>
        <v>374.18918918918922</v>
      </c>
      <c r="V632">
        <f t="shared" si="174"/>
        <v>882.20672370585407</v>
      </c>
      <c r="W632">
        <f t="shared" si="175"/>
        <v>125.82085016732393</v>
      </c>
      <c r="AE632">
        <f t="shared" si="176"/>
        <v>0.80823513339596054</v>
      </c>
      <c r="AF632">
        <f t="shared" si="177"/>
        <v>0.78942860637551204</v>
      </c>
      <c r="AG632">
        <f t="shared" si="178"/>
        <v>0.79384873234486719</v>
      </c>
      <c r="AI632">
        <f t="shared" si="179"/>
        <v>0.25003037480471813</v>
      </c>
      <c r="AJ632">
        <f t="shared" si="180"/>
        <v>15.982653637000883</v>
      </c>
      <c r="AL632">
        <f t="shared" si="181"/>
        <v>0.25598683871003175</v>
      </c>
      <c r="AM632">
        <f t="shared" si="182"/>
        <v>16.753232601345527</v>
      </c>
      <c r="AO632">
        <f t="shared" si="183"/>
        <v>0.25456151165779461</v>
      </c>
      <c r="AP632">
        <f t="shared" si="184"/>
        <v>16.567188995055222</v>
      </c>
    </row>
    <row r="633" spans="1:42" x14ac:dyDescent="0.2">
      <c r="A633" s="3">
        <v>630</v>
      </c>
      <c r="B633" s="3">
        <v>4.8599999999999998E-7</v>
      </c>
      <c r="C633" s="2">
        <v>3.2849999999999997E-2</v>
      </c>
      <c r="D633" s="3">
        <v>202000</v>
      </c>
      <c r="E633" s="3">
        <v>99900000000</v>
      </c>
      <c r="F633" s="3">
        <v>91400000000</v>
      </c>
      <c r="G633" s="2">
        <v>0</v>
      </c>
      <c r="H633" s="3">
        <v>9740000000</v>
      </c>
      <c r="I633" s="2"/>
      <c r="J633" s="7">
        <f t="shared" si="185"/>
        <v>0.48599999999999999</v>
      </c>
      <c r="K633" s="7">
        <f t="shared" si="186"/>
        <v>32.849999999999994</v>
      </c>
      <c r="L633" s="7">
        <f t="shared" si="187"/>
        <v>99.9</v>
      </c>
      <c r="M633" s="7">
        <f t="shared" si="188"/>
        <v>202</v>
      </c>
      <c r="O633">
        <f t="shared" si="189"/>
        <v>0.3640321782178218</v>
      </c>
      <c r="P633">
        <f t="shared" si="190"/>
        <v>364.03217821782181</v>
      </c>
      <c r="V633">
        <f t="shared" si="174"/>
        <v>871.51652617592538</v>
      </c>
      <c r="W633">
        <f t="shared" si="175"/>
        <v>115.88994237799689</v>
      </c>
      <c r="AE633">
        <f t="shared" si="176"/>
        <v>0.73542115741434244</v>
      </c>
      <c r="AF633">
        <f t="shared" si="177"/>
        <v>0.71830891210744785</v>
      </c>
      <c r="AG633">
        <f t="shared" si="178"/>
        <v>0.72233082853001429</v>
      </c>
      <c r="AI633">
        <f t="shared" si="179"/>
        <v>0.27535242623691586</v>
      </c>
      <c r="AJ633">
        <f t="shared" si="180"/>
        <v>19.333640021273251</v>
      </c>
      <c r="AL633">
        <f t="shared" si="181"/>
        <v>0.28191213638973917</v>
      </c>
      <c r="AM633">
        <f t="shared" si="182"/>
        <v>20.265781619469113</v>
      </c>
      <c r="AO633">
        <f t="shared" si="183"/>
        <v>0.28034245805637203</v>
      </c>
      <c r="AP633">
        <f t="shared" si="184"/>
        <v>20.040731374749473</v>
      </c>
    </row>
    <row r="634" spans="1:42" x14ac:dyDescent="0.2">
      <c r="A634" s="3">
        <v>630</v>
      </c>
      <c r="B634" s="3">
        <v>4.8699999999999995E-7</v>
      </c>
      <c r="C634" s="2">
        <v>3.2899999999999999E-2</v>
      </c>
      <c r="D634" s="3">
        <v>202000</v>
      </c>
      <c r="E634" s="3">
        <v>99700000000</v>
      </c>
      <c r="F634" s="3">
        <v>91200000000</v>
      </c>
      <c r="G634" s="2">
        <v>0</v>
      </c>
      <c r="H634" s="3">
        <v>9750000000</v>
      </c>
      <c r="I634" s="2"/>
      <c r="J634" s="7">
        <f t="shared" si="185"/>
        <v>0.48699999999999993</v>
      </c>
      <c r="K634" s="7">
        <f t="shared" si="186"/>
        <v>32.9</v>
      </c>
      <c r="L634" s="7">
        <f t="shared" si="187"/>
        <v>99.7</v>
      </c>
      <c r="M634" s="7">
        <f t="shared" si="188"/>
        <v>202</v>
      </c>
      <c r="O634">
        <f t="shared" si="189"/>
        <v>0.36484653465346528</v>
      </c>
      <c r="P634">
        <f t="shared" si="190"/>
        <v>364.84653465346526</v>
      </c>
      <c r="V634">
        <f t="shared" si="174"/>
        <v>872.37971018161545</v>
      </c>
      <c r="W634">
        <f t="shared" si="175"/>
        <v>115.77527402485487</v>
      </c>
      <c r="AE634">
        <f t="shared" si="176"/>
        <v>0.73542115741434244</v>
      </c>
      <c r="AF634">
        <f t="shared" si="177"/>
        <v>0.71830891210744785</v>
      </c>
      <c r="AG634">
        <f t="shared" si="178"/>
        <v>0.72233082853001429</v>
      </c>
      <c r="AI634">
        <f t="shared" si="179"/>
        <v>0.27591899501518108</v>
      </c>
      <c r="AJ634">
        <f t="shared" si="180"/>
        <v>19.363067175034704</v>
      </c>
      <c r="AL634">
        <f t="shared" si="181"/>
        <v>0.28249220251399787</v>
      </c>
      <c r="AM634">
        <f t="shared" si="182"/>
        <v>20.296627558007117</v>
      </c>
      <c r="AO634">
        <f t="shared" si="183"/>
        <v>0.28091929438982133</v>
      </c>
      <c r="AP634">
        <f t="shared" si="184"/>
        <v>20.071234771058073</v>
      </c>
    </row>
    <row r="635" spans="1:42" x14ac:dyDescent="0.2">
      <c r="A635" s="3">
        <v>630</v>
      </c>
      <c r="B635" s="3">
        <v>4.8699999999999995E-7</v>
      </c>
      <c r="C635" s="2">
        <v>3.295E-2</v>
      </c>
      <c r="D635" s="3">
        <v>203000</v>
      </c>
      <c r="E635" s="3">
        <v>100000000000</v>
      </c>
      <c r="F635" s="3">
        <v>91500000000</v>
      </c>
      <c r="G635" s="3">
        <v>9050000000</v>
      </c>
      <c r="H635" s="3">
        <v>9740000000</v>
      </c>
      <c r="I635" s="2"/>
      <c r="J635" s="7">
        <f t="shared" si="185"/>
        <v>0.48699999999999993</v>
      </c>
      <c r="K635" s="7">
        <f t="shared" si="186"/>
        <v>32.950000000000003</v>
      </c>
      <c r="L635" s="7">
        <f t="shared" si="187"/>
        <v>100</v>
      </c>
      <c r="M635" s="7">
        <f t="shared" si="188"/>
        <v>203</v>
      </c>
      <c r="O635">
        <f t="shared" si="189"/>
        <v>0.36526354679802947</v>
      </c>
      <c r="P635">
        <f t="shared" si="190"/>
        <v>365.26354679802949</v>
      </c>
      <c r="V635">
        <f t="shared" si="174"/>
        <v>872.8213103056803</v>
      </c>
      <c r="W635">
        <f t="shared" si="175"/>
        <v>116.2895529721342</v>
      </c>
      <c r="AE635">
        <f t="shared" si="176"/>
        <v>0.73906185621342335</v>
      </c>
      <c r="AF635">
        <f t="shared" si="177"/>
        <v>0.72186489682085109</v>
      </c>
      <c r="AG635">
        <f t="shared" si="178"/>
        <v>0.72590672372075693</v>
      </c>
      <c r="AI635">
        <f t="shared" si="179"/>
        <v>0.2745597881431851</v>
      </c>
      <c r="AJ635">
        <f t="shared" si="180"/>
        <v>19.20190586018099</v>
      </c>
      <c r="AL635">
        <f t="shared" si="181"/>
        <v>0.28110061530949543</v>
      </c>
      <c r="AM635">
        <f t="shared" si="182"/>
        <v>20.127696099226558</v>
      </c>
      <c r="AO635">
        <f t="shared" si="183"/>
        <v>0.27953545550120151</v>
      </c>
      <c r="AP635">
        <f t="shared" si="184"/>
        <v>19.904179285622796</v>
      </c>
    </row>
    <row r="636" spans="1:42" x14ac:dyDescent="0.2">
      <c r="A636" s="3">
        <v>630</v>
      </c>
      <c r="B636" s="3">
        <v>4.8800000000000003E-7</v>
      </c>
      <c r="C636" s="2">
        <v>3.3009999999999998E-2</v>
      </c>
      <c r="D636" s="3">
        <v>213000</v>
      </c>
      <c r="E636" s="3">
        <v>105000000000</v>
      </c>
      <c r="F636" s="3">
        <v>95300000000</v>
      </c>
      <c r="G636" s="3">
        <v>8570000000</v>
      </c>
      <c r="H636" s="3">
        <v>9600000000</v>
      </c>
      <c r="I636" s="2"/>
      <c r="J636" s="7">
        <f t="shared" si="185"/>
        <v>0.48800000000000004</v>
      </c>
      <c r="K636" s="7">
        <f t="shared" si="186"/>
        <v>33.01</v>
      </c>
      <c r="L636" s="7">
        <f t="shared" si="187"/>
        <v>105</v>
      </c>
      <c r="M636" s="7">
        <f t="shared" si="188"/>
        <v>213</v>
      </c>
      <c r="O636">
        <f t="shared" si="189"/>
        <v>0.37176760563380284</v>
      </c>
      <c r="P636">
        <f t="shared" si="190"/>
        <v>371.76760563380287</v>
      </c>
      <c r="V636">
        <f t="shared" si="174"/>
        <v>879.67284068302752</v>
      </c>
      <c r="W636">
        <f t="shared" si="175"/>
        <v>121.06773686147613</v>
      </c>
      <c r="AE636">
        <f t="shared" si="176"/>
        <v>0.77546884420423234</v>
      </c>
      <c r="AF636">
        <f t="shared" si="177"/>
        <v>0.75742474395488313</v>
      </c>
      <c r="AG636">
        <f t="shared" si="178"/>
        <v>0.76166567562818333</v>
      </c>
      <c r="AI636">
        <f t="shared" si="179"/>
        <v>0.26220696660223552</v>
      </c>
      <c r="AJ636">
        <f t="shared" si="180"/>
        <v>17.472993305796845</v>
      </c>
      <c r="AL636">
        <f t="shared" si="181"/>
        <v>0.26845351298088188</v>
      </c>
      <c r="AM636">
        <f t="shared" si="182"/>
        <v>18.315426695857365</v>
      </c>
      <c r="AO636">
        <f t="shared" si="183"/>
        <v>0.26695877185962769</v>
      </c>
      <c r="AP636">
        <f t="shared" si="184"/>
        <v>18.112035021287685</v>
      </c>
    </row>
    <row r="637" spans="1:42" x14ac:dyDescent="0.2">
      <c r="A637" s="3">
        <v>640</v>
      </c>
      <c r="B637" s="3">
        <v>4.8800000000000003E-7</v>
      </c>
      <c r="C637" s="2">
        <v>3.3059999999999999E-2</v>
      </c>
      <c r="D637" s="3">
        <v>204000</v>
      </c>
      <c r="E637" s="3">
        <v>101000000000</v>
      </c>
      <c r="F637" s="3">
        <v>92000000000</v>
      </c>
      <c r="G637" s="3">
        <v>4560000000</v>
      </c>
      <c r="H637" s="3">
        <v>9730000000</v>
      </c>
      <c r="I637" s="2"/>
      <c r="J637" s="7">
        <f t="shared" si="185"/>
        <v>0.48800000000000004</v>
      </c>
      <c r="K637" s="7">
        <f t="shared" si="186"/>
        <v>33.06</v>
      </c>
      <c r="L637" s="7">
        <f t="shared" si="187"/>
        <v>101</v>
      </c>
      <c r="M637" s="7">
        <f t="shared" si="188"/>
        <v>204</v>
      </c>
      <c r="O637">
        <f t="shared" si="189"/>
        <v>0.36645588235294124</v>
      </c>
      <c r="P637">
        <f t="shared" si="190"/>
        <v>366.45588235294122</v>
      </c>
      <c r="V637">
        <f t="shared" si="174"/>
        <v>874.08240156926547</v>
      </c>
      <c r="W637">
        <f t="shared" si="175"/>
        <v>116.69380348680679</v>
      </c>
      <c r="AE637">
        <f t="shared" si="176"/>
        <v>0.74270255501250426</v>
      </c>
      <c r="AF637">
        <f t="shared" si="177"/>
        <v>0.72542088153425421</v>
      </c>
      <c r="AG637">
        <f t="shared" si="178"/>
        <v>0.72948261891149957</v>
      </c>
      <c r="AI637">
        <f t="shared" si="179"/>
        <v>0.27377492101115769</v>
      </c>
      <c r="AJ637">
        <f t="shared" si="180"/>
        <v>19.077589842194811</v>
      </c>
      <c r="AL637">
        <f t="shared" si="181"/>
        <v>0.28029705031827379</v>
      </c>
      <c r="AM637">
        <f t="shared" si="182"/>
        <v>19.997386376404695</v>
      </c>
      <c r="AO637">
        <f t="shared" si="183"/>
        <v>0.27873636473578767</v>
      </c>
      <c r="AP637">
        <f t="shared" si="184"/>
        <v>19.775316644169958</v>
      </c>
    </row>
    <row r="638" spans="1:42" x14ac:dyDescent="0.2">
      <c r="A638" s="3">
        <v>640</v>
      </c>
      <c r="B638" s="3">
        <v>4.8800000000000003E-7</v>
      </c>
      <c r="C638" s="2">
        <v>3.3110000000000001E-2</v>
      </c>
      <c r="D638" s="3">
        <v>206000</v>
      </c>
      <c r="E638" s="3">
        <v>102000000000</v>
      </c>
      <c r="F638" s="3">
        <v>92700000000</v>
      </c>
      <c r="G638" s="3">
        <v>14500000000</v>
      </c>
      <c r="H638" s="3">
        <v>9710000000</v>
      </c>
      <c r="I638" s="2"/>
      <c r="J638" s="7">
        <f t="shared" si="185"/>
        <v>0.48800000000000004</v>
      </c>
      <c r="K638" s="7">
        <f t="shared" si="186"/>
        <v>33.11</v>
      </c>
      <c r="L638" s="7">
        <f t="shared" si="187"/>
        <v>102</v>
      </c>
      <c r="M638" s="7">
        <f t="shared" si="188"/>
        <v>206</v>
      </c>
      <c r="O638">
        <f t="shared" si="189"/>
        <v>0.36745388349514568</v>
      </c>
      <c r="P638">
        <f t="shared" si="190"/>
        <v>367.4538834951457</v>
      </c>
      <c r="V638">
        <f t="shared" si="174"/>
        <v>875.1361962588021</v>
      </c>
      <c r="W638">
        <f t="shared" si="175"/>
        <v>117.6959659997197</v>
      </c>
      <c r="AE638">
        <f t="shared" si="176"/>
        <v>0.74998395261066608</v>
      </c>
      <c r="AF638">
        <f t="shared" si="177"/>
        <v>0.73253285096106069</v>
      </c>
      <c r="AG638">
        <f t="shared" si="178"/>
        <v>0.73663440929298485</v>
      </c>
      <c r="AI638">
        <f t="shared" si="179"/>
        <v>0.27111691206930177</v>
      </c>
      <c r="AJ638">
        <f t="shared" si="180"/>
        <v>18.737244897135955</v>
      </c>
      <c r="AL638">
        <f t="shared" si="181"/>
        <v>0.27757571973265943</v>
      </c>
      <c r="AM638">
        <f t="shared" si="182"/>
        <v>19.640632225387932</v>
      </c>
      <c r="AO638">
        <f t="shared" si="183"/>
        <v>0.27603018643738197</v>
      </c>
      <c r="AP638">
        <f t="shared" si="184"/>
        <v>19.422524225816598</v>
      </c>
    </row>
    <row r="639" spans="1:42" x14ac:dyDescent="0.2">
      <c r="A639" s="3">
        <v>640</v>
      </c>
      <c r="B639" s="3">
        <v>4.89E-7</v>
      </c>
      <c r="C639" s="2">
        <v>3.3160000000000002E-2</v>
      </c>
      <c r="D639" s="3">
        <v>219000</v>
      </c>
      <c r="E639" s="3">
        <v>107000000000</v>
      </c>
      <c r="F639" s="3">
        <v>97600000000</v>
      </c>
      <c r="G639" s="2">
        <v>0</v>
      </c>
      <c r="H639" s="3">
        <v>9520000000</v>
      </c>
      <c r="I639" s="2"/>
      <c r="J639" s="7">
        <f t="shared" si="185"/>
        <v>0.48899999999999999</v>
      </c>
      <c r="K639" s="7">
        <f t="shared" si="186"/>
        <v>33.160000000000004</v>
      </c>
      <c r="L639" s="7">
        <f t="shared" si="187"/>
        <v>107</v>
      </c>
      <c r="M639" s="7">
        <f t="shared" si="188"/>
        <v>219</v>
      </c>
      <c r="O639">
        <f t="shared" si="189"/>
        <v>0.37543835616438354</v>
      </c>
      <c r="P639">
        <f t="shared" si="190"/>
        <v>375.43835616438355</v>
      </c>
      <c r="V639">
        <f t="shared" si="174"/>
        <v>883.51024972759637</v>
      </c>
      <c r="W639">
        <f t="shared" si="175"/>
        <v>123.93744162420414</v>
      </c>
      <c r="AE639">
        <f t="shared" si="176"/>
        <v>0.79731303699871781</v>
      </c>
      <c r="AF639">
        <f t="shared" si="177"/>
        <v>0.77876065223530233</v>
      </c>
      <c r="AG639">
        <f t="shared" si="178"/>
        <v>0.78312104677263927</v>
      </c>
      <c r="AI639">
        <f t="shared" si="179"/>
        <v>0.25554580264605364</v>
      </c>
      <c r="AJ639">
        <f t="shared" si="180"/>
        <v>16.603792040135605</v>
      </c>
      <c r="AL639">
        <f t="shared" si="181"/>
        <v>0.26163366037455754</v>
      </c>
      <c r="AM639">
        <f t="shared" si="182"/>
        <v>17.404318233411882</v>
      </c>
      <c r="AO639">
        <f t="shared" si="183"/>
        <v>0.26017689198839017</v>
      </c>
      <c r="AP639">
        <f t="shared" si="184"/>
        <v>17.211044361663209</v>
      </c>
    </row>
    <row r="640" spans="1:42" x14ac:dyDescent="0.2">
      <c r="A640" s="3">
        <v>640</v>
      </c>
      <c r="B640" s="3">
        <v>4.8999999999999997E-7</v>
      </c>
      <c r="C640" s="2">
        <v>3.3210000000000003E-2</v>
      </c>
      <c r="D640" s="3">
        <v>212000</v>
      </c>
      <c r="E640" s="3">
        <v>104000000000</v>
      </c>
      <c r="F640" s="3">
        <v>94600000000</v>
      </c>
      <c r="G640" s="3">
        <v>2760000000</v>
      </c>
      <c r="H640" s="3">
        <v>9620000000</v>
      </c>
      <c r="I640" s="2"/>
      <c r="J640" s="7">
        <f t="shared" si="185"/>
        <v>0.49</v>
      </c>
      <c r="K640" s="7">
        <f t="shared" si="186"/>
        <v>33.21</v>
      </c>
      <c r="L640" s="7">
        <f t="shared" si="187"/>
        <v>104</v>
      </c>
      <c r="M640" s="7">
        <f t="shared" si="188"/>
        <v>212</v>
      </c>
      <c r="O640">
        <f t="shared" si="189"/>
        <v>0.37251179245283017</v>
      </c>
      <c r="P640">
        <f t="shared" si="190"/>
        <v>372.51179245283015</v>
      </c>
      <c r="V640">
        <f t="shared" si="174"/>
        <v>880.45251463303214</v>
      </c>
      <c r="W640">
        <f t="shared" si="175"/>
        <v>120.39263701141252</v>
      </c>
      <c r="AE640">
        <f t="shared" si="176"/>
        <v>0.77182814540515143</v>
      </c>
      <c r="AF640">
        <f t="shared" si="177"/>
        <v>0.75386875924147989</v>
      </c>
      <c r="AG640">
        <f t="shared" si="178"/>
        <v>0.75808978043744069</v>
      </c>
      <c r="AI640">
        <f t="shared" si="179"/>
        <v>0.26452347958818556</v>
      </c>
      <c r="AJ640">
        <f t="shared" si="180"/>
        <v>17.745087567173062</v>
      </c>
      <c r="AL640">
        <f t="shared" si="181"/>
        <v>0.27082521216569982</v>
      </c>
      <c r="AM640">
        <f t="shared" si="182"/>
        <v>18.60063956187193</v>
      </c>
      <c r="AO640">
        <f t="shared" si="183"/>
        <v>0.26931726549440665</v>
      </c>
      <c r="AP640">
        <f t="shared" si="184"/>
        <v>18.394080616160231</v>
      </c>
    </row>
    <row r="641" spans="1:42" x14ac:dyDescent="0.2">
      <c r="A641" s="3">
        <v>640</v>
      </c>
      <c r="B641" s="3">
        <v>4.9100000000000004E-7</v>
      </c>
      <c r="C641" s="2">
        <v>3.3270000000000001E-2</v>
      </c>
      <c r="D641" s="3">
        <v>197000</v>
      </c>
      <c r="E641" s="3">
        <v>97200000000</v>
      </c>
      <c r="F641" s="3">
        <v>89200000000</v>
      </c>
      <c r="G641" s="3">
        <v>1910000000</v>
      </c>
      <c r="H641" s="3">
        <v>9860000000</v>
      </c>
      <c r="I641" s="2"/>
      <c r="J641" s="7">
        <f t="shared" si="185"/>
        <v>0.49100000000000005</v>
      </c>
      <c r="K641" s="7">
        <f t="shared" si="186"/>
        <v>33.270000000000003</v>
      </c>
      <c r="L641" s="7">
        <f t="shared" si="187"/>
        <v>97.2</v>
      </c>
      <c r="M641" s="7">
        <f t="shared" si="188"/>
        <v>197</v>
      </c>
      <c r="O641">
        <f t="shared" si="189"/>
        <v>0.3643375634517767</v>
      </c>
      <c r="P641">
        <f t="shared" si="190"/>
        <v>364.3375634517767</v>
      </c>
      <c r="V641">
        <f t="shared" si="174"/>
        <v>871.84034775782493</v>
      </c>
      <c r="W641">
        <f t="shared" si="175"/>
        <v>112.97940070486483</v>
      </c>
      <c r="AE641">
        <f t="shared" si="176"/>
        <v>0.71721766341893789</v>
      </c>
      <c r="AF641">
        <f t="shared" si="177"/>
        <v>0.70052898854043177</v>
      </c>
      <c r="AG641">
        <f t="shared" si="178"/>
        <v>0.70445135257630109</v>
      </c>
      <c r="AI641">
        <f t="shared" si="179"/>
        <v>0.28524580997921284</v>
      </c>
      <c r="AJ641">
        <f t="shared" si="180"/>
        <v>20.587392365624595</v>
      </c>
      <c r="AL641">
        <f t="shared" si="181"/>
        <v>0.29204120982857174</v>
      </c>
      <c r="AM641">
        <f t="shared" si="182"/>
        <v>21.579981697031556</v>
      </c>
      <c r="AO641">
        <f t="shared" si="183"/>
        <v>0.29041513311761918</v>
      </c>
      <c r="AP641">
        <f t="shared" si="184"/>
        <v>21.340337342170024</v>
      </c>
    </row>
    <row r="642" spans="1:42" x14ac:dyDescent="0.2">
      <c r="A642" s="3">
        <v>640</v>
      </c>
      <c r="B642" s="3">
        <v>4.9100000000000004E-7</v>
      </c>
      <c r="C642" s="2">
        <v>3.3320000000000002E-2</v>
      </c>
      <c r="D642" s="3">
        <v>226000</v>
      </c>
      <c r="E642" s="3">
        <v>110000000000</v>
      </c>
      <c r="F642" s="3">
        <v>99900000000</v>
      </c>
      <c r="G642" s="3">
        <v>6380000000</v>
      </c>
      <c r="H642" s="3">
        <v>9450000000</v>
      </c>
      <c r="I642" s="2"/>
      <c r="J642" s="7">
        <f t="shared" si="185"/>
        <v>0.49100000000000005</v>
      </c>
      <c r="K642" s="7">
        <f t="shared" si="186"/>
        <v>33.32</v>
      </c>
      <c r="L642" s="7">
        <f t="shared" si="187"/>
        <v>110</v>
      </c>
      <c r="M642" s="7">
        <f t="shared" si="188"/>
        <v>226</v>
      </c>
      <c r="O642">
        <f t="shared" si="189"/>
        <v>0.38042477876106201</v>
      </c>
      <c r="P642">
        <f t="shared" si="190"/>
        <v>380.42477876106199</v>
      </c>
      <c r="V642">
        <f t="shared" si="174"/>
        <v>888.6897402637228</v>
      </c>
      <c r="W642">
        <f t="shared" si="175"/>
        <v>127.15348774755374</v>
      </c>
      <c r="AE642">
        <f t="shared" si="176"/>
        <v>0.82279792859228407</v>
      </c>
      <c r="AF642">
        <f t="shared" si="177"/>
        <v>0.80365254522912477</v>
      </c>
      <c r="AG642">
        <f t="shared" si="178"/>
        <v>0.80815231310783775</v>
      </c>
      <c r="AI642">
        <f t="shared" si="179"/>
        <v>0.24864347153055277</v>
      </c>
      <c r="AJ642">
        <f t="shared" si="180"/>
        <v>15.666396270256225</v>
      </c>
      <c r="AL642">
        <f t="shared" si="181"/>
        <v>0.25456689529304705</v>
      </c>
      <c r="AM642">
        <f t="shared" si="182"/>
        <v>16.421727374034816</v>
      </c>
      <c r="AO642">
        <f t="shared" si="183"/>
        <v>0.25314947444323443</v>
      </c>
      <c r="AP642">
        <f t="shared" si="184"/>
        <v>16.239365112680176</v>
      </c>
    </row>
    <row r="643" spans="1:42" x14ac:dyDescent="0.2">
      <c r="A643" s="3">
        <v>640</v>
      </c>
      <c r="B643" s="3">
        <v>4.9200000000000001E-7</v>
      </c>
      <c r="C643" s="2">
        <v>3.3369999999999997E-2</v>
      </c>
      <c r="D643" s="3">
        <v>214000</v>
      </c>
      <c r="E643" s="3">
        <v>105000000000</v>
      </c>
      <c r="F643" s="3">
        <v>95200000000</v>
      </c>
      <c r="G643" s="3">
        <v>18500000000</v>
      </c>
      <c r="H643" s="3">
        <v>9610000000</v>
      </c>
      <c r="I643" s="2"/>
      <c r="J643" s="7">
        <f t="shared" si="185"/>
        <v>0.49199999999999999</v>
      </c>
      <c r="K643" s="7">
        <f t="shared" si="186"/>
        <v>33.369999999999997</v>
      </c>
      <c r="L643" s="7">
        <f t="shared" si="187"/>
        <v>105</v>
      </c>
      <c r="M643" s="7">
        <f t="shared" si="188"/>
        <v>214</v>
      </c>
      <c r="O643">
        <f t="shared" si="189"/>
        <v>0.37504906542056077</v>
      </c>
      <c r="P643">
        <f t="shared" si="190"/>
        <v>375.04906542056079</v>
      </c>
      <c r="V643">
        <f t="shared" si="174"/>
        <v>883.10427797038881</v>
      </c>
      <c r="W643">
        <f t="shared" si="175"/>
        <v>121.1634941299512</v>
      </c>
      <c r="AE643">
        <f t="shared" si="176"/>
        <v>0.77910954300331325</v>
      </c>
      <c r="AF643">
        <f t="shared" si="177"/>
        <v>0.76098072866828637</v>
      </c>
      <c r="AG643">
        <f t="shared" si="178"/>
        <v>0.76524157081892608</v>
      </c>
      <c r="AI643">
        <f t="shared" si="179"/>
        <v>0.26312089466875932</v>
      </c>
      <c r="AJ643">
        <f t="shared" si="180"/>
        <v>17.498855827620076</v>
      </c>
      <c r="AL643">
        <f t="shared" si="181"/>
        <v>0.26938921352022843</v>
      </c>
      <c r="AM643">
        <f t="shared" si="182"/>
        <v>18.342536139232834</v>
      </c>
      <c r="AO643">
        <f t="shared" si="183"/>
        <v>0.26788926244639127</v>
      </c>
      <c r="AP643">
        <f t="shared" si="184"/>
        <v>18.138843415980183</v>
      </c>
    </row>
    <row r="644" spans="1:42" x14ac:dyDescent="0.2">
      <c r="A644" s="3">
        <v>640</v>
      </c>
      <c r="B644" s="3">
        <v>4.9299999999999998E-7</v>
      </c>
      <c r="C644" s="2">
        <v>3.3419999999999998E-2</v>
      </c>
      <c r="D644" s="3">
        <v>214000</v>
      </c>
      <c r="E644" s="3">
        <v>105000000000</v>
      </c>
      <c r="F644" s="3">
        <v>95300000000</v>
      </c>
      <c r="G644" s="3">
        <v>119000000</v>
      </c>
      <c r="H644" s="3">
        <v>9600000000</v>
      </c>
      <c r="I644" s="2"/>
      <c r="J644" s="7">
        <f t="shared" si="185"/>
        <v>0.49299999999999999</v>
      </c>
      <c r="K644" s="7">
        <f t="shared" si="186"/>
        <v>33.42</v>
      </c>
      <c r="L644" s="7">
        <f t="shared" si="187"/>
        <v>105</v>
      </c>
      <c r="M644" s="7">
        <f t="shared" si="188"/>
        <v>214</v>
      </c>
      <c r="O644">
        <f t="shared" si="189"/>
        <v>0.37587383177570088</v>
      </c>
      <c r="P644">
        <f t="shared" si="190"/>
        <v>375.87383177570086</v>
      </c>
      <c r="V644">
        <f t="shared" si="174"/>
        <v>883.96410762513301</v>
      </c>
      <c r="W644">
        <f t="shared" si="175"/>
        <v>121.04563870524935</v>
      </c>
      <c r="AE644">
        <f t="shared" si="176"/>
        <v>0.77910954300331325</v>
      </c>
      <c r="AF644">
        <f t="shared" si="177"/>
        <v>0.76098072866828637</v>
      </c>
      <c r="AG644">
        <f t="shared" si="178"/>
        <v>0.76524157081892608</v>
      </c>
      <c r="AI644">
        <f t="shared" si="179"/>
        <v>0.26365569323515925</v>
      </c>
      <c r="AJ644">
        <f t="shared" si="180"/>
        <v>17.52507526997492</v>
      </c>
      <c r="AL644">
        <f t="shared" si="181"/>
        <v>0.26993675257209881</v>
      </c>
      <c r="AM644">
        <f t="shared" si="182"/>
        <v>18.370019711512178</v>
      </c>
      <c r="AO644">
        <f t="shared" si="183"/>
        <v>0.26843375281721726</v>
      </c>
      <c r="AP644">
        <f t="shared" si="184"/>
        <v>18.166021784898348</v>
      </c>
    </row>
    <row r="645" spans="1:42" x14ac:dyDescent="0.2">
      <c r="A645" s="3">
        <v>640</v>
      </c>
      <c r="B645" s="3">
        <v>4.9299999999999998E-7</v>
      </c>
      <c r="C645" s="2">
        <v>3.3480000000000003E-2</v>
      </c>
      <c r="D645" s="3">
        <v>212000</v>
      </c>
      <c r="E645" s="3">
        <v>103000000000</v>
      </c>
      <c r="F645" s="3">
        <v>94300000000</v>
      </c>
      <c r="G645" s="3">
        <v>1760000000</v>
      </c>
      <c r="H645" s="3">
        <v>9640000000</v>
      </c>
      <c r="I645" s="2"/>
      <c r="J645" s="7">
        <f t="shared" si="185"/>
        <v>0.49299999999999999</v>
      </c>
      <c r="K645" s="7">
        <f t="shared" si="186"/>
        <v>33.480000000000004</v>
      </c>
      <c r="L645" s="7">
        <f t="shared" si="187"/>
        <v>103</v>
      </c>
      <c r="M645" s="7">
        <f t="shared" si="188"/>
        <v>212</v>
      </c>
      <c r="O645">
        <f t="shared" si="189"/>
        <v>0.37455660377358491</v>
      </c>
      <c r="P645">
        <f t="shared" si="190"/>
        <v>374.55660377358492</v>
      </c>
      <c r="V645">
        <f t="shared" ref="V645:V708" si="191">$S$3*(P645^$S$4)</f>
        <v>882.59037806662673</v>
      </c>
      <c r="W645">
        <f t="shared" ref="W645:W708" si="192">M645/(2*(V645/1000))</f>
        <v>120.10101473369797</v>
      </c>
      <c r="AE645">
        <f t="shared" si="176"/>
        <v>0.77182814540515143</v>
      </c>
      <c r="AF645">
        <f t="shared" si="177"/>
        <v>0.75386875924147989</v>
      </c>
      <c r="AG645">
        <f t="shared" si="178"/>
        <v>0.75808978043744069</v>
      </c>
      <c r="AI645">
        <f t="shared" si="179"/>
        <v>0.2661430110958683</v>
      </c>
      <c r="AJ645">
        <f t="shared" si="180"/>
        <v>17.889356571784226</v>
      </c>
      <c r="AL645">
        <f t="shared" si="181"/>
        <v>0.27248332570957146</v>
      </c>
      <c r="AM645">
        <f t="shared" si="182"/>
        <v>18.751864273757068</v>
      </c>
      <c r="AO645">
        <f t="shared" si="183"/>
        <v>0.27096614671171937</v>
      </c>
      <c r="AP645">
        <f t="shared" si="184"/>
        <v>18.543625987023322</v>
      </c>
    </row>
    <row r="646" spans="1:42" x14ac:dyDescent="0.2">
      <c r="A646" s="3">
        <v>640</v>
      </c>
      <c r="B646" s="3">
        <v>4.9500000000000003E-7</v>
      </c>
      <c r="C646" s="2">
        <v>3.3529999999999997E-2</v>
      </c>
      <c r="D646" s="3">
        <v>231000</v>
      </c>
      <c r="E646" s="3">
        <v>112000000000</v>
      </c>
      <c r="F646" s="3">
        <v>102000000000</v>
      </c>
      <c r="G646" s="3">
        <v>7890000000</v>
      </c>
      <c r="H646" s="3">
        <v>9390000000</v>
      </c>
      <c r="I646" s="2"/>
      <c r="J646" s="7">
        <f t="shared" si="185"/>
        <v>0.49500000000000005</v>
      </c>
      <c r="K646" s="7">
        <f t="shared" si="186"/>
        <v>33.529999999999994</v>
      </c>
      <c r="L646" s="7">
        <f t="shared" si="187"/>
        <v>112</v>
      </c>
      <c r="M646" s="7">
        <f t="shared" si="188"/>
        <v>231</v>
      </c>
      <c r="O646">
        <f t="shared" si="189"/>
        <v>0.38613636363636372</v>
      </c>
      <c r="P646">
        <f t="shared" si="190"/>
        <v>386.13636363636374</v>
      </c>
      <c r="V646">
        <f t="shared" si="191"/>
        <v>894.57622126190734</v>
      </c>
      <c r="W646">
        <f t="shared" si="192"/>
        <v>129.1114130409965</v>
      </c>
      <c r="AE646">
        <f t="shared" si="176"/>
        <v>0.84100142258768862</v>
      </c>
      <c r="AF646">
        <f t="shared" si="177"/>
        <v>0.82143246879614085</v>
      </c>
      <c r="AG646">
        <f t="shared" si="178"/>
        <v>0.82603178906155095</v>
      </c>
      <c r="AI646">
        <f t="shared" si="179"/>
        <v>0.24524334259196209</v>
      </c>
      <c r="AJ646">
        <f t="shared" si="180"/>
        <v>15.09004680092862</v>
      </c>
      <c r="AL646">
        <f t="shared" si="181"/>
        <v>0.2510857652148471</v>
      </c>
      <c r="AM646">
        <f t="shared" si="182"/>
        <v>15.817590105055043</v>
      </c>
      <c r="AO646">
        <f t="shared" si="183"/>
        <v>0.24968772719306509</v>
      </c>
      <c r="AP646">
        <f t="shared" si="184"/>
        <v>15.641936750506025</v>
      </c>
    </row>
    <row r="647" spans="1:42" x14ac:dyDescent="0.2">
      <c r="A647" s="3">
        <v>650</v>
      </c>
      <c r="B647" s="3">
        <v>4.9500000000000003E-7</v>
      </c>
      <c r="C647" s="2">
        <v>3.3579999999999999E-2</v>
      </c>
      <c r="D647" s="3">
        <v>206000</v>
      </c>
      <c r="E647" s="3">
        <v>101000000000</v>
      </c>
      <c r="F647" s="3">
        <v>91900000000</v>
      </c>
      <c r="G647" s="3">
        <v>11200000000</v>
      </c>
      <c r="H647" s="3">
        <v>9720000000</v>
      </c>
      <c r="I647" s="2"/>
      <c r="J647" s="7">
        <f t="shared" si="185"/>
        <v>0.49500000000000005</v>
      </c>
      <c r="K647" s="7">
        <f t="shared" si="186"/>
        <v>33.58</v>
      </c>
      <c r="L647" s="7">
        <f t="shared" si="187"/>
        <v>101</v>
      </c>
      <c r="M647" s="7">
        <f t="shared" si="188"/>
        <v>206</v>
      </c>
      <c r="O647">
        <f t="shared" si="189"/>
        <v>0.37274271844660201</v>
      </c>
      <c r="P647">
        <f t="shared" si="190"/>
        <v>372.742718446602</v>
      </c>
      <c r="V647">
        <f t="shared" si="191"/>
        <v>880.69427611405001</v>
      </c>
      <c r="W647">
        <f t="shared" si="192"/>
        <v>116.9531843155314</v>
      </c>
      <c r="AE647">
        <f t="shared" si="176"/>
        <v>0.74998395261066608</v>
      </c>
      <c r="AF647">
        <f t="shared" si="177"/>
        <v>0.73253285096106069</v>
      </c>
      <c r="AG647">
        <f t="shared" si="178"/>
        <v>0.73663440929298485</v>
      </c>
      <c r="AI647">
        <f t="shared" si="179"/>
        <v>0.27500588416865651</v>
      </c>
      <c r="AJ647">
        <f t="shared" si="180"/>
        <v>19.003222097427525</v>
      </c>
      <c r="AL647">
        <f t="shared" si="181"/>
        <v>0.28155733866325083</v>
      </c>
      <c r="AM647">
        <f t="shared" si="182"/>
        <v>19.919433105663749</v>
      </c>
      <c r="AO647">
        <f t="shared" si="183"/>
        <v>0.27998963583300018</v>
      </c>
      <c r="AP647">
        <f t="shared" si="184"/>
        <v>19.698229039653317</v>
      </c>
    </row>
    <row r="648" spans="1:42" x14ac:dyDescent="0.2">
      <c r="A648" s="3">
        <v>650</v>
      </c>
      <c r="B648" s="3">
        <v>4.9599999999999999E-7</v>
      </c>
      <c r="C648" s="2">
        <v>3.363E-2</v>
      </c>
      <c r="D648" s="3">
        <v>222000</v>
      </c>
      <c r="E648" s="3">
        <v>108000000000</v>
      </c>
      <c r="F648" s="3">
        <v>97900000000</v>
      </c>
      <c r="G648" s="3">
        <v>9270000000</v>
      </c>
      <c r="H648" s="3">
        <v>9500000000</v>
      </c>
      <c r="I648" s="2"/>
      <c r="J648" s="7">
        <f t="shared" si="185"/>
        <v>0.496</v>
      </c>
      <c r="K648" s="7">
        <f t="shared" si="186"/>
        <v>33.630000000000003</v>
      </c>
      <c r="L648" s="7">
        <f t="shared" si="187"/>
        <v>108</v>
      </c>
      <c r="M648" s="7">
        <f t="shared" si="188"/>
        <v>222</v>
      </c>
      <c r="O648">
        <f t="shared" si="189"/>
        <v>0.38238513513513511</v>
      </c>
      <c r="P648">
        <f t="shared" si="190"/>
        <v>382.3851351351351</v>
      </c>
      <c r="V648">
        <f t="shared" si="191"/>
        <v>890.7156388467597</v>
      </c>
      <c r="W648">
        <f t="shared" si="192"/>
        <v>124.61889649059663</v>
      </c>
      <c r="AE648">
        <f t="shared" si="176"/>
        <v>0.80823513339596054</v>
      </c>
      <c r="AF648">
        <f t="shared" si="177"/>
        <v>0.78942860637551204</v>
      </c>
      <c r="AG648">
        <f t="shared" si="178"/>
        <v>0.79384873234486719</v>
      </c>
      <c r="AI648">
        <f t="shared" si="179"/>
        <v>0.25570116681059829</v>
      </c>
      <c r="AJ648">
        <f t="shared" si="180"/>
        <v>16.387092738181089</v>
      </c>
      <c r="AL648">
        <f t="shared" si="181"/>
        <v>0.26179272577355822</v>
      </c>
      <c r="AM648">
        <f t="shared" si="182"/>
        <v>17.177171109245428</v>
      </c>
      <c r="AO648">
        <f t="shared" si="183"/>
        <v>0.26033507171601261</v>
      </c>
      <c r="AP648">
        <f t="shared" si="184"/>
        <v>16.986419692186193</v>
      </c>
    </row>
    <row r="649" spans="1:42" x14ac:dyDescent="0.2">
      <c r="A649" s="3">
        <v>650</v>
      </c>
      <c r="B649" s="3">
        <v>4.9599999999999999E-7</v>
      </c>
      <c r="C649" s="2">
        <v>3.3680000000000002E-2</v>
      </c>
      <c r="D649" s="3">
        <v>201000</v>
      </c>
      <c r="E649" s="3">
        <v>98500000000</v>
      </c>
      <c r="F649" s="3">
        <v>90200000000</v>
      </c>
      <c r="G649" s="3">
        <v>8780000000</v>
      </c>
      <c r="H649" s="3">
        <v>9800000000</v>
      </c>
      <c r="I649" s="2"/>
      <c r="J649" s="7">
        <f t="shared" si="185"/>
        <v>0.496</v>
      </c>
      <c r="K649" s="7">
        <f t="shared" si="186"/>
        <v>33.68</v>
      </c>
      <c r="L649" s="7">
        <f t="shared" si="187"/>
        <v>98.5</v>
      </c>
      <c r="M649" s="7">
        <f t="shared" si="188"/>
        <v>201</v>
      </c>
      <c r="O649">
        <f t="shared" si="189"/>
        <v>0.37032835820895521</v>
      </c>
      <c r="P649">
        <f t="shared" si="190"/>
        <v>370.32835820895519</v>
      </c>
      <c r="V649">
        <f t="shared" si="191"/>
        <v>878.16249154718309</v>
      </c>
      <c r="W649">
        <f t="shared" si="192"/>
        <v>114.44351241070993</v>
      </c>
      <c r="AE649">
        <f t="shared" si="176"/>
        <v>0.73178045861526153</v>
      </c>
      <c r="AF649">
        <f t="shared" si="177"/>
        <v>0.71475292739404461</v>
      </c>
      <c r="AG649">
        <f t="shared" si="178"/>
        <v>0.71875493333927165</v>
      </c>
      <c r="AI649">
        <f t="shared" si="179"/>
        <v>0.28241621408931755</v>
      </c>
      <c r="AJ649">
        <f t="shared" si="180"/>
        <v>20.019856540446995</v>
      </c>
      <c r="AL649">
        <f t="shared" si="181"/>
        <v>0.28914420458572104</v>
      </c>
      <c r="AM649">
        <f t="shared" si="182"/>
        <v>20.98508300844426</v>
      </c>
      <c r="AO649">
        <f t="shared" si="183"/>
        <v>0.28753425831320789</v>
      </c>
      <c r="AP649">
        <f t="shared" si="184"/>
        <v>20.752044966527567</v>
      </c>
    </row>
    <row r="650" spans="1:42" x14ac:dyDescent="0.2">
      <c r="A650" s="3">
        <v>650</v>
      </c>
      <c r="B650" s="3">
        <v>4.9699999999999996E-7</v>
      </c>
      <c r="C650" s="2">
        <v>3.3739999999999999E-2</v>
      </c>
      <c r="D650" s="3">
        <v>208000</v>
      </c>
      <c r="E650" s="3">
        <v>101000000000</v>
      </c>
      <c r="F650" s="3">
        <v>92700000000</v>
      </c>
      <c r="G650" s="2">
        <v>0</v>
      </c>
      <c r="H650" s="3">
        <v>9700000000</v>
      </c>
      <c r="I650" s="2"/>
      <c r="J650" s="7">
        <f t="shared" si="185"/>
        <v>0.49699999999999994</v>
      </c>
      <c r="K650" s="7">
        <f t="shared" si="186"/>
        <v>33.74</v>
      </c>
      <c r="L650" s="7">
        <f t="shared" si="187"/>
        <v>101</v>
      </c>
      <c r="M650" s="7">
        <f t="shared" si="188"/>
        <v>208</v>
      </c>
      <c r="O650">
        <f t="shared" si="189"/>
        <v>0.37534134615384607</v>
      </c>
      <c r="P650">
        <f t="shared" si="190"/>
        <v>375.34134615384608</v>
      </c>
      <c r="V650">
        <f t="shared" si="191"/>
        <v>883.40910480376954</v>
      </c>
      <c r="W650">
        <f t="shared" si="192"/>
        <v>117.72575065671457</v>
      </c>
      <c r="AE650">
        <f t="shared" si="176"/>
        <v>0.7572653502088279</v>
      </c>
      <c r="AF650">
        <f t="shared" si="177"/>
        <v>0.73964482038786705</v>
      </c>
      <c r="AG650">
        <f t="shared" si="178"/>
        <v>0.74378619967447013</v>
      </c>
      <c r="AI650">
        <f t="shared" si="179"/>
        <v>0.2734620477171269</v>
      </c>
      <c r="AJ650">
        <f t="shared" si="180"/>
        <v>18.728345016390019</v>
      </c>
      <c r="AL650">
        <f t="shared" si="181"/>
        <v>0.2799767234559144</v>
      </c>
      <c r="AM650">
        <f t="shared" si="182"/>
        <v>19.63130325063522</v>
      </c>
      <c r="AO650">
        <f t="shared" si="183"/>
        <v>0.27841782144380556</v>
      </c>
      <c r="AP650">
        <f t="shared" si="184"/>
        <v>19.413298848748418</v>
      </c>
    </row>
    <row r="651" spans="1:42" x14ac:dyDescent="0.2">
      <c r="A651" s="3">
        <v>650</v>
      </c>
      <c r="B651" s="3">
        <v>4.9699999999999996E-7</v>
      </c>
      <c r="C651" s="2">
        <v>3.3790000000000001E-2</v>
      </c>
      <c r="D651" s="3">
        <v>224000</v>
      </c>
      <c r="E651" s="3">
        <v>109000000000</v>
      </c>
      <c r="F651" s="3">
        <v>98600000000</v>
      </c>
      <c r="G651" s="3">
        <v>11600000000</v>
      </c>
      <c r="H651" s="3">
        <v>9500000000</v>
      </c>
      <c r="I651" s="2"/>
      <c r="J651" s="7">
        <f t="shared" si="185"/>
        <v>0.49699999999999994</v>
      </c>
      <c r="K651" s="7">
        <f t="shared" si="186"/>
        <v>33.79</v>
      </c>
      <c r="L651" s="7">
        <f t="shared" si="187"/>
        <v>109</v>
      </c>
      <c r="M651" s="7">
        <f t="shared" si="188"/>
        <v>224</v>
      </c>
      <c r="O651">
        <f t="shared" si="189"/>
        <v>0.38386383928571421</v>
      </c>
      <c r="P651">
        <f t="shared" si="190"/>
        <v>383.86383928571422</v>
      </c>
      <c r="V651">
        <f t="shared" si="191"/>
        <v>892.23995720126754</v>
      </c>
      <c r="W651">
        <f t="shared" si="192"/>
        <v>125.52677012058039</v>
      </c>
      <c r="AE651">
        <f t="shared" si="176"/>
        <v>0.81551653099412236</v>
      </c>
      <c r="AF651">
        <f t="shared" si="177"/>
        <v>0.79654057580231841</v>
      </c>
      <c r="AG651">
        <f t="shared" si="178"/>
        <v>0.80100052272635247</v>
      </c>
      <c r="AI651">
        <f t="shared" si="179"/>
        <v>0.25392904430876073</v>
      </c>
      <c r="AJ651">
        <f t="shared" si="180"/>
        <v>16.172350613264904</v>
      </c>
      <c r="AL651">
        <f t="shared" si="181"/>
        <v>0.25997838606620621</v>
      </c>
      <c r="AM651">
        <f t="shared" si="182"/>
        <v>16.952075524385901</v>
      </c>
      <c r="AO651">
        <f t="shared" si="183"/>
        <v>0.25853083419781941</v>
      </c>
      <c r="AP651">
        <f t="shared" si="184"/>
        <v>16.763823779799658</v>
      </c>
    </row>
    <row r="652" spans="1:42" x14ac:dyDescent="0.2">
      <c r="A652" s="3">
        <v>650</v>
      </c>
      <c r="B652" s="3">
        <v>4.9800000000000004E-7</v>
      </c>
      <c r="C652" s="2">
        <v>3.3840000000000002E-2</v>
      </c>
      <c r="D652" s="3">
        <v>216000</v>
      </c>
      <c r="E652" s="3">
        <v>105000000000</v>
      </c>
      <c r="F652" s="3">
        <v>95500000000</v>
      </c>
      <c r="G652" s="3">
        <v>4340000000</v>
      </c>
      <c r="H652" s="3">
        <v>9590000000</v>
      </c>
      <c r="I652" s="2"/>
      <c r="J652" s="7">
        <f t="shared" si="185"/>
        <v>0.49800000000000005</v>
      </c>
      <c r="K652" s="7">
        <f t="shared" si="186"/>
        <v>33.840000000000003</v>
      </c>
      <c r="L652" s="7">
        <f t="shared" si="187"/>
        <v>105</v>
      </c>
      <c r="M652" s="7">
        <f t="shared" si="188"/>
        <v>216</v>
      </c>
      <c r="O652">
        <f t="shared" si="189"/>
        <v>0.38050000000000006</v>
      </c>
      <c r="P652">
        <f t="shared" si="190"/>
        <v>380.50000000000006</v>
      </c>
      <c r="V652">
        <f t="shared" si="191"/>
        <v>888.76758356964569</v>
      </c>
      <c r="W652">
        <f t="shared" si="192"/>
        <v>121.51658318390602</v>
      </c>
      <c r="AE652">
        <f t="shared" si="176"/>
        <v>0.78639094060147507</v>
      </c>
      <c r="AF652">
        <f t="shared" si="177"/>
        <v>0.76809269809509273</v>
      </c>
      <c r="AG652">
        <f t="shared" si="178"/>
        <v>0.77239336120041135</v>
      </c>
      <c r="AI652">
        <f t="shared" si="179"/>
        <v>0.26386367045542591</v>
      </c>
      <c r="AJ652">
        <f t="shared" si="180"/>
        <v>17.418222949958469</v>
      </c>
      <c r="AL652">
        <f t="shared" si="181"/>
        <v>0.270149684425604</v>
      </c>
      <c r="AM652">
        <f t="shared" si="182"/>
        <v>18.258015671889826</v>
      </c>
      <c r="AO652">
        <f t="shared" si="183"/>
        <v>0.26864549907253854</v>
      </c>
      <c r="AP652">
        <f t="shared" si="184"/>
        <v>18.055261543171376</v>
      </c>
    </row>
    <row r="653" spans="1:42" x14ac:dyDescent="0.2">
      <c r="A653" s="3">
        <v>650</v>
      </c>
      <c r="B653" s="3">
        <v>4.9900000000000001E-7</v>
      </c>
      <c r="C653" s="2">
        <v>3.3890000000000003E-2</v>
      </c>
      <c r="D653" s="3">
        <v>213000</v>
      </c>
      <c r="E653" s="3">
        <v>103000000000</v>
      </c>
      <c r="F653" s="3">
        <v>94200000000</v>
      </c>
      <c r="G653" s="3">
        <v>5400000000</v>
      </c>
      <c r="H653" s="3">
        <v>9640000000</v>
      </c>
      <c r="I653" s="2"/>
      <c r="J653" s="7">
        <f t="shared" si="185"/>
        <v>0.499</v>
      </c>
      <c r="K653" s="7">
        <f t="shared" si="186"/>
        <v>33.89</v>
      </c>
      <c r="L653" s="7">
        <f t="shared" si="187"/>
        <v>103</v>
      </c>
      <c r="M653" s="7">
        <f t="shared" si="188"/>
        <v>213</v>
      </c>
      <c r="O653">
        <f t="shared" si="189"/>
        <v>0.37966901408450704</v>
      </c>
      <c r="P653">
        <f t="shared" si="190"/>
        <v>379.66901408450701</v>
      </c>
      <c r="V653">
        <f t="shared" si="191"/>
        <v>887.90715484768214</v>
      </c>
      <c r="W653">
        <f t="shared" si="192"/>
        <v>119.94497332130381</v>
      </c>
      <c r="AE653">
        <f t="shared" ref="AE653:AE716" si="193">M653/(2*$Y$5)</f>
        <v>0.77546884420423234</v>
      </c>
      <c r="AF653">
        <f t="shared" ref="AF653:AF716" si="194">M653/(2*$Y$8)</f>
        <v>0.75742474395488313</v>
      </c>
      <c r="AG653">
        <f t="shared" ref="AG653:AG716" si="195">M653/(2*$Y$11)</f>
        <v>0.76166567562818333</v>
      </c>
      <c r="AI653">
        <f t="shared" ref="AI653:AI716" si="196">J653/(2.4*AE653)</f>
        <v>0.26811736953794163</v>
      </c>
      <c r="AJ653">
        <f t="shared" ref="AJ653:AJ716" si="197">K653/(3.14159*(AE653^2))</f>
        <v>17.938798640819602</v>
      </c>
      <c r="AL653">
        <f t="shared" ref="AL653:AL716" si="198">J653/(2.4*AF653)</f>
        <v>0.27450471921610664</v>
      </c>
      <c r="AM653">
        <f t="shared" ref="AM653:AM716" si="199">K653/(3.14159*(AF653^2))</f>
        <v>18.803690115801459</v>
      </c>
      <c r="AO653">
        <f t="shared" ref="AO653:AO716" si="200">J653/(2.4*AG653)</f>
        <v>0.2729762851597422</v>
      </c>
      <c r="AP653">
        <f t="shared" ref="AP653:AP716" si="201">K653/(3.14159*(AG653^2))</f>
        <v>18.59487630631444</v>
      </c>
    </row>
    <row r="654" spans="1:42" x14ac:dyDescent="0.2">
      <c r="A654" s="3">
        <v>650</v>
      </c>
      <c r="B654" s="3">
        <v>4.9999999999999998E-7</v>
      </c>
      <c r="C654" s="2">
        <v>3.3939999999999998E-2</v>
      </c>
      <c r="D654" s="3">
        <v>208000</v>
      </c>
      <c r="E654" s="3">
        <v>101000000000</v>
      </c>
      <c r="F654" s="3">
        <v>92400000000</v>
      </c>
      <c r="G654" s="3">
        <v>4460000000</v>
      </c>
      <c r="H654" s="3">
        <v>9710000000</v>
      </c>
      <c r="I654" s="2"/>
      <c r="J654" s="7">
        <f t="shared" ref="J654:J717" si="202">B654*(10^6)</f>
        <v>0.5</v>
      </c>
      <c r="K654" s="7">
        <f t="shared" ref="K654:K717" si="203">C654*1000</f>
        <v>33.94</v>
      </c>
      <c r="L654" s="7">
        <f t="shared" ref="L654:L717" si="204">E654*(10^-9)</f>
        <v>101</v>
      </c>
      <c r="M654" s="7">
        <f t="shared" ref="M654:M717" si="205">D654*(10^-3)</f>
        <v>208</v>
      </c>
      <c r="O654">
        <f t="shared" ref="O654:O717" si="206">J654-(0.75*(K654/M654))</f>
        <v>0.37762019230769228</v>
      </c>
      <c r="P654">
        <f t="shared" ref="P654:P717" si="207">O654*1000</f>
        <v>377.62019230769226</v>
      </c>
      <c r="V654">
        <f t="shared" si="191"/>
        <v>885.7812494927133</v>
      </c>
      <c r="W654">
        <f t="shared" si="192"/>
        <v>117.4104781056957</v>
      </c>
      <c r="AE654">
        <f t="shared" si="193"/>
        <v>0.7572653502088279</v>
      </c>
      <c r="AF654">
        <f t="shared" si="194"/>
        <v>0.73964482038786705</v>
      </c>
      <c r="AG654">
        <f t="shared" si="195"/>
        <v>0.74378619967447013</v>
      </c>
      <c r="AI654">
        <f t="shared" si="196"/>
        <v>0.27511272406149589</v>
      </c>
      <c r="AJ654">
        <f t="shared" si="197"/>
        <v>18.839360695206793</v>
      </c>
      <c r="AL654">
        <f t="shared" si="198"/>
        <v>0.28166672379870666</v>
      </c>
      <c r="AM654">
        <f t="shared" si="199"/>
        <v>19.747671378973305</v>
      </c>
      <c r="AO654">
        <f t="shared" si="200"/>
        <v>0.28009841191529739</v>
      </c>
      <c r="AP654">
        <f t="shared" si="201"/>
        <v>19.5283747162573</v>
      </c>
    </row>
    <row r="655" spans="1:42" x14ac:dyDescent="0.2">
      <c r="A655" s="3">
        <v>650</v>
      </c>
      <c r="B655" s="3">
        <v>5.0100000000000005E-7</v>
      </c>
      <c r="C655" s="2">
        <v>3.4000000000000002E-2</v>
      </c>
      <c r="D655" s="3">
        <v>213000</v>
      </c>
      <c r="E655" s="3">
        <v>103000000000</v>
      </c>
      <c r="F655" s="3">
        <v>94100000000</v>
      </c>
      <c r="G655" s="2">
        <v>0</v>
      </c>
      <c r="H655" s="3">
        <v>9640000000</v>
      </c>
      <c r="I655" s="2"/>
      <c r="J655" s="7">
        <f t="shared" si="202"/>
        <v>0.501</v>
      </c>
      <c r="K655" s="7">
        <f t="shared" si="203"/>
        <v>34</v>
      </c>
      <c r="L655" s="7">
        <f t="shared" si="204"/>
        <v>103</v>
      </c>
      <c r="M655" s="7">
        <f t="shared" si="205"/>
        <v>213</v>
      </c>
      <c r="O655">
        <f t="shared" si="206"/>
        <v>0.38128169014084506</v>
      </c>
      <c r="P655">
        <f t="shared" si="207"/>
        <v>381.28169014084506</v>
      </c>
      <c r="V655">
        <f t="shared" si="191"/>
        <v>889.57601508554171</v>
      </c>
      <c r="W655">
        <f t="shared" si="192"/>
        <v>119.71995444341982</v>
      </c>
      <c r="AE655">
        <f t="shared" si="193"/>
        <v>0.77546884420423234</v>
      </c>
      <c r="AF655">
        <f t="shared" si="194"/>
        <v>0.75742474395488313</v>
      </c>
      <c r="AG655">
        <f t="shared" si="195"/>
        <v>0.76166567562818333</v>
      </c>
      <c r="AI655">
        <f t="shared" si="196"/>
        <v>0.26919198825352458</v>
      </c>
      <c r="AJ655">
        <f t="shared" si="197"/>
        <v>17.997024307697448</v>
      </c>
      <c r="AL655">
        <f t="shared" si="198"/>
        <v>0.27560493853160206</v>
      </c>
      <c r="AM655">
        <f t="shared" si="199"/>
        <v>18.864723043294468</v>
      </c>
      <c r="AO655">
        <f t="shared" si="200"/>
        <v>0.27407037848703575</v>
      </c>
      <c r="AP655">
        <f t="shared" si="201"/>
        <v>18.655231466942784</v>
      </c>
    </row>
    <row r="656" spans="1:42" x14ac:dyDescent="0.2">
      <c r="A656" s="3">
        <v>650</v>
      </c>
      <c r="B656" s="3">
        <v>5.0100000000000005E-7</v>
      </c>
      <c r="C656" s="2">
        <v>3.4049999999999997E-2</v>
      </c>
      <c r="D656" s="3">
        <v>199000</v>
      </c>
      <c r="E656" s="3">
        <v>97000000000</v>
      </c>
      <c r="F656" s="3">
        <v>88900000000</v>
      </c>
      <c r="G656" s="3">
        <v>13300000000</v>
      </c>
      <c r="H656" s="3">
        <v>9860000000</v>
      </c>
      <c r="I656" s="2"/>
      <c r="J656" s="7">
        <f t="shared" si="202"/>
        <v>0.501</v>
      </c>
      <c r="K656" s="7">
        <f t="shared" si="203"/>
        <v>34.049999999999997</v>
      </c>
      <c r="L656" s="7">
        <f t="shared" si="204"/>
        <v>97</v>
      </c>
      <c r="M656" s="7">
        <f t="shared" si="205"/>
        <v>199</v>
      </c>
      <c r="O656">
        <f t="shared" si="206"/>
        <v>0.37267085427135682</v>
      </c>
      <c r="P656">
        <f t="shared" si="207"/>
        <v>372.6708542713568</v>
      </c>
      <c r="V656">
        <f t="shared" si="191"/>
        <v>880.6190488782654</v>
      </c>
      <c r="W656">
        <f t="shared" si="192"/>
        <v>112.98869826486644</v>
      </c>
      <c r="AE656">
        <f t="shared" si="193"/>
        <v>0.72449906101709971</v>
      </c>
      <c r="AF656">
        <f t="shared" si="194"/>
        <v>0.70764095796723825</v>
      </c>
      <c r="AG656">
        <f t="shared" si="195"/>
        <v>0.71160314295778637</v>
      </c>
      <c r="AI656">
        <f t="shared" si="196"/>
        <v>0.28813011808040573</v>
      </c>
      <c r="AJ656">
        <f t="shared" si="197"/>
        <v>20.648663957930552</v>
      </c>
      <c r="AL656">
        <f t="shared" si="198"/>
        <v>0.29499423068960423</v>
      </c>
      <c r="AM656">
        <f t="shared" si="199"/>
        <v>21.644207404543607</v>
      </c>
      <c r="AO656">
        <f t="shared" si="200"/>
        <v>0.29335171164692769</v>
      </c>
      <c r="AP656">
        <f t="shared" si="201"/>
        <v>21.403849827193834</v>
      </c>
    </row>
    <row r="657" spans="1:42" x14ac:dyDescent="0.2">
      <c r="A657" s="3">
        <v>660</v>
      </c>
      <c r="B657" s="3">
        <v>5.0200000000000002E-7</v>
      </c>
      <c r="C657" s="2">
        <v>3.4099999999999998E-2</v>
      </c>
      <c r="D657" s="3">
        <v>197000</v>
      </c>
      <c r="E657" s="3">
        <v>95900000000</v>
      </c>
      <c r="F657" s="3">
        <v>88100000000</v>
      </c>
      <c r="G657" s="2">
        <v>0</v>
      </c>
      <c r="H657" s="3">
        <v>9900000000</v>
      </c>
      <c r="I657" s="2"/>
      <c r="J657" s="7">
        <f t="shared" si="202"/>
        <v>0.502</v>
      </c>
      <c r="K657" s="7">
        <f t="shared" si="203"/>
        <v>34.1</v>
      </c>
      <c r="L657" s="7">
        <f t="shared" si="204"/>
        <v>95.9</v>
      </c>
      <c r="M657" s="7">
        <f t="shared" si="205"/>
        <v>197</v>
      </c>
      <c r="O657">
        <f t="shared" si="206"/>
        <v>0.37217766497461929</v>
      </c>
      <c r="P657">
        <f t="shared" si="207"/>
        <v>372.17766497461929</v>
      </c>
      <c r="V657">
        <f t="shared" si="191"/>
        <v>880.10256144089692</v>
      </c>
      <c r="W657">
        <f t="shared" si="192"/>
        <v>111.9187743741327</v>
      </c>
      <c r="AE657">
        <f t="shared" si="193"/>
        <v>0.71721766341893789</v>
      </c>
      <c r="AF657">
        <f t="shared" si="194"/>
        <v>0.70052898854043177</v>
      </c>
      <c r="AG657">
        <f t="shared" si="195"/>
        <v>0.70445135257630109</v>
      </c>
      <c r="AI657">
        <f t="shared" si="196"/>
        <v>0.29163624564066154</v>
      </c>
      <c r="AJ657">
        <f t="shared" si="197"/>
        <v>21.100994279164372</v>
      </c>
      <c r="AL657">
        <f t="shared" si="198"/>
        <v>0.29858388459051527</v>
      </c>
      <c r="AM657">
        <f t="shared" si="199"/>
        <v>22.118346133717345</v>
      </c>
      <c r="AO657">
        <f t="shared" si="200"/>
        <v>0.29692137846241307</v>
      </c>
      <c r="AP657">
        <f t="shared" si="201"/>
        <v>21.872723275262935</v>
      </c>
    </row>
    <row r="658" spans="1:42" x14ac:dyDescent="0.2">
      <c r="A658" s="3">
        <v>660</v>
      </c>
      <c r="B658" s="3">
        <v>5.0200000000000002E-7</v>
      </c>
      <c r="C658" s="2">
        <v>3.415E-2</v>
      </c>
      <c r="D658" s="3">
        <v>217000</v>
      </c>
      <c r="E658" s="3">
        <v>105000000000</v>
      </c>
      <c r="F658" s="3">
        <v>95500000000</v>
      </c>
      <c r="G658" s="3">
        <v>6670000000</v>
      </c>
      <c r="H658" s="3">
        <v>9600000000</v>
      </c>
      <c r="I658" s="2"/>
      <c r="J658" s="7">
        <f t="shared" si="202"/>
        <v>0.502</v>
      </c>
      <c r="K658" s="7">
        <f t="shared" si="203"/>
        <v>34.15</v>
      </c>
      <c r="L658" s="7">
        <f t="shared" si="204"/>
        <v>105</v>
      </c>
      <c r="M658" s="7">
        <f t="shared" si="205"/>
        <v>217</v>
      </c>
      <c r="O658">
        <f t="shared" si="206"/>
        <v>0.38397004608294932</v>
      </c>
      <c r="P658">
        <f t="shared" si="207"/>
        <v>383.9700460829493</v>
      </c>
      <c r="V658">
        <f t="shared" si="191"/>
        <v>892.34931421724218</v>
      </c>
      <c r="W658">
        <f t="shared" si="192"/>
        <v>121.58915603042163</v>
      </c>
      <c r="AE658">
        <f t="shared" si="193"/>
        <v>0.79003163940055599</v>
      </c>
      <c r="AF658">
        <f t="shared" si="194"/>
        <v>0.77164868280849597</v>
      </c>
      <c r="AG658">
        <f t="shared" si="195"/>
        <v>0.77596925639115399</v>
      </c>
      <c r="AI658">
        <f t="shared" si="196"/>
        <v>0.26475732899175264</v>
      </c>
      <c r="AJ658">
        <f t="shared" si="197"/>
        <v>17.416153083781182</v>
      </c>
      <c r="AL658">
        <f t="shared" si="198"/>
        <v>0.27106463255452307</v>
      </c>
      <c r="AM658">
        <f t="shared" si="199"/>
        <v>18.255846010311135</v>
      </c>
      <c r="AO658">
        <f t="shared" si="200"/>
        <v>0.26955535279767456</v>
      </c>
      <c r="AP658">
        <f t="shared" si="201"/>
        <v>18.053115975549602</v>
      </c>
    </row>
    <row r="659" spans="1:42" x14ac:dyDescent="0.2">
      <c r="A659" s="3">
        <v>660</v>
      </c>
      <c r="B659" s="3">
        <v>5.0299999999999999E-7</v>
      </c>
      <c r="C659" s="2">
        <v>3.4200000000000001E-2</v>
      </c>
      <c r="D659" s="3">
        <v>228000</v>
      </c>
      <c r="E659" s="3">
        <v>110000000000</v>
      </c>
      <c r="F659" s="3">
        <v>99600000000</v>
      </c>
      <c r="G659" s="3">
        <v>7650000000</v>
      </c>
      <c r="H659" s="3">
        <v>9470000000</v>
      </c>
      <c r="I659" s="2"/>
      <c r="J659" s="7">
        <f t="shared" si="202"/>
        <v>0.503</v>
      </c>
      <c r="K659" s="7">
        <f t="shared" si="203"/>
        <v>34.200000000000003</v>
      </c>
      <c r="L659" s="7">
        <f t="shared" si="204"/>
        <v>110</v>
      </c>
      <c r="M659" s="7">
        <f t="shared" si="205"/>
        <v>228</v>
      </c>
      <c r="O659">
        <f t="shared" si="206"/>
        <v>0.39049999999999996</v>
      </c>
      <c r="P659">
        <f t="shared" si="207"/>
        <v>390.49999999999994</v>
      </c>
      <c r="V659">
        <f t="shared" si="191"/>
        <v>899.04087283083629</v>
      </c>
      <c r="W659">
        <f t="shared" si="192"/>
        <v>126.80179894496327</v>
      </c>
      <c r="AE659">
        <f t="shared" si="193"/>
        <v>0.83007932619044589</v>
      </c>
      <c r="AF659">
        <f t="shared" si="194"/>
        <v>0.81076451465593125</v>
      </c>
      <c r="AG659">
        <f t="shared" si="195"/>
        <v>0.81530410348932303</v>
      </c>
      <c r="AI659">
        <f t="shared" si="196"/>
        <v>0.2524859091421926</v>
      </c>
      <c r="AJ659">
        <f t="shared" si="197"/>
        <v>15.799283974766361</v>
      </c>
      <c r="AL659">
        <f t="shared" si="198"/>
        <v>0.25850087114663056</v>
      </c>
      <c r="AM659">
        <f t="shared" si="199"/>
        <v>16.561022054009808</v>
      </c>
      <c r="AO659">
        <f t="shared" si="200"/>
        <v>0.25706154603707082</v>
      </c>
      <c r="AP659">
        <f t="shared" si="201"/>
        <v>16.377112933895649</v>
      </c>
    </row>
    <row r="660" spans="1:42" x14ac:dyDescent="0.2">
      <c r="A660" s="3">
        <v>660</v>
      </c>
      <c r="B660" s="3">
        <v>5.0299999999999999E-7</v>
      </c>
      <c r="C660" s="2">
        <v>3.4259999999999999E-2</v>
      </c>
      <c r="D660" s="3">
        <v>197000</v>
      </c>
      <c r="E660" s="3">
        <v>96100000000</v>
      </c>
      <c r="F660" s="3">
        <v>88200000000</v>
      </c>
      <c r="G660" s="3">
        <v>3850000000</v>
      </c>
      <c r="H660" s="3">
        <v>9900000000</v>
      </c>
      <c r="I660" s="2"/>
      <c r="J660" s="7">
        <f t="shared" si="202"/>
        <v>0.503</v>
      </c>
      <c r="K660" s="7">
        <f t="shared" si="203"/>
        <v>34.26</v>
      </c>
      <c r="L660" s="7">
        <f t="shared" si="204"/>
        <v>96.100000000000009</v>
      </c>
      <c r="M660" s="7">
        <f t="shared" si="205"/>
        <v>197</v>
      </c>
      <c r="O660">
        <f t="shared" si="206"/>
        <v>0.3725685279187817</v>
      </c>
      <c r="P660">
        <f t="shared" si="207"/>
        <v>372.56852791878168</v>
      </c>
      <c r="V660">
        <f t="shared" si="191"/>
        <v>880.51191996833916</v>
      </c>
      <c r="W660">
        <f t="shared" si="192"/>
        <v>111.86674225096442</v>
      </c>
      <c r="AE660">
        <f t="shared" si="193"/>
        <v>0.71721766341893789</v>
      </c>
      <c r="AF660">
        <f t="shared" si="194"/>
        <v>0.70052898854043177</v>
      </c>
      <c r="AG660">
        <f t="shared" si="195"/>
        <v>0.70445135257630109</v>
      </c>
      <c r="AI660">
        <f t="shared" si="196"/>
        <v>0.29221719433715687</v>
      </c>
      <c r="AJ660">
        <f t="shared" si="197"/>
        <v>21.20000187695517</v>
      </c>
      <c r="AL660">
        <f t="shared" si="198"/>
        <v>0.29917867320523744</v>
      </c>
      <c r="AM660">
        <f t="shared" si="199"/>
        <v>22.222127229945929</v>
      </c>
      <c r="AO660">
        <f t="shared" si="200"/>
        <v>0.29751285531193977</v>
      </c>
      <c r="AP660">
        <f t="shared" si="201"/>
        <v>21.975351888871202</v>
      </c>
    </row>
    <row r="661" spans="1:42" x14ac:dyDescent="0.2">
      <c r="A661" s="3">
        <v>660</v>
      </c>
      <c r="B661" s="3">
        <v>5.0500000000000004E-7</v>
      </c>
      <c r="C661" s="2">
        <v>3.431E-2</v>
      </c>
      <c r="D661" s="3">
        <v>232000</v>
      </c>
      <c r="E661" s="3">
        <v>111000000000</v>
      </c>
      <c r="F661" s="3">
        <v>101000000000</v>
      </c>
      <c r="G661" s="3">
        <v>7490000000</v>
      </c>
      <c r="H661" s="3">
        <v>9410000000</v>
      </c>
      <c r="I661" s="2"/>
      <c r="J661" s="7">
        <f t="shared" si="202"/>
        <v>0.505</v>
      </c>
      <c r="K661" s="7">
        <f t="shared" si="203"/>
        <v>34.31</v>
      </c>
      <c r="L661" s="7">
        <f t="shared" si="204"/>
        <v>111</v>
      </c>
      <c r="M661" s="7">
        <f t="shared" si="205"/>
        <v>232</v>
      </c>
      <c r="O661">
        <f t="shared" si="206"/>
        <v>0.39408405172413791</v>
      </c>
      <c r="P661">
        <f t="shared" si="207"/>
        <v>394.08405172413791</v>
      </c>
      <c r="V661">
        <f t="shared" si="191"/>
        <v>902.68715091373531</v>
      </c>
      <c r="W661">
        <f t="shared" si="192"/>
        <v>128.50520790351371</v>
      </c>
      <c r="AE661">
        <f t="shared" si="193"/>
        <v>0.84464212138676953</v>
      </c>
      <c r="AF661">
        <f t="shared" si="194"/>
        <v>0.82498845350954408</v>
      </c>
      <c r="AG661">
        <f t="shared" si="195"/>
        <v>0.82960768425229359</v>
      </c>
      <c r="AI661">
        <f t="shared" si="196"/>
        <v>0.24911931496051323</v>
      </c>
      <c r="AJ661">
        <f t="shared" si="197"/>
        <v>15.308256882149886</v>
      </c>
      <c r="AL661">
        <f t="shared" si="198"/>
        <v>0.25505407472255298</v>
      </c>
      <c r="AM661">
        <f t="shared" si="199"/>
        <v>16.046320848377608</v>
      </c>
      <c r="AO661">
        <f t="shared" si="200"/>
        <v>0.25363394127226585</v>
      </c>
      <c r="AP661">
        <f t="shared" si="201"/>
        <v>15.868127453146901</v>
      </c>
    </row>
    <row r="662" spans="1:42" x14ac:dyDescent="0.2">
      <c r="A662" s="3">
        <v>660</v>
      </c>
      <c r="B662" s="3">
        <v>5.0500000000000004E-7</v>
      </c>
      <c r="C662" s="2">
        <v>3.4360000000000002E-2</v>
      </c>
      <c r="D662" s="3">
        <v>213000</v>
      </c>
      <c r="E662" s="3">
        <v>103000000000</v>
      </c>
      <c r="F662" s="3">
        <v>93900000000</v>
      </c>
      <c r="G662" s="3">
        <v>6220000000</v>
      </c>
      <c r="H662" s="3">
        <v>9650000000</v>
      </c>
      <c r="I662" s="2"/>
      <c r="J662" s="7">
        <f t="shared" si="202"/>
        <v>0.505</v>
      </c>
      <c r="K662" s="7">
        <f t="shared" si="203"/>
        <v>34.36</v>
      </c>
      <c r="L662" s="7">
        <f t="shared" si="204"/>
        <v>103</v>
      </c>
      <c r="M662" s="7">
        <f t="shared" si="205"/>
        <v>213</v>
      </c>
      <c r="O662">
        <f t="shared" si="206"/>
        <v>0.38401408450704227</v>
      </c>
      <c r="P662">
        <f t="shared" si="207"/>
        <v>384.0140845070423</v>
      </c>
      <c r="V662">
        <f t="shared" si="191"/>
        <v>892.3946539315707</v>
      </c>
      <c r="W662">
        <f t="shared" si="192"/>
        <v>119.34181758126766</v>
      </c>
      <c r="AE662">
        <f t="shared" si="193"/>
        <v>0.77546884420423234</v>
      </c>
      <c r="AF662">
        <f t="shared" si="194"/>
        <v>0.75742474395488313</v>
      </c>
      <c r="AG662">
        <f t="shared" si="195"/>
        <v>0.76166567562818333</v>
      </c>
      <c r="AI662">
        <f t="shared" si="196"/>
        <v>0.27134122568469043</v>
      </c>
      <c r="AJ662">
        <f t="shared" si="197"/>
        <v>18.187581035661303</v>
      </c>
      <c r="AL662">
        <f t="shared" si="198"/>
        <v>0.2778053771625929</v>
      </c>
      <c r="AM662">
        <f t="shared" si="199"/>
        <v>19.064467169635233</v>
      </c>
      <c r="AO662">
        <f t="shared" si="200"/>
        <v>0.27625856514162289</v>
      </c>
      <c r="AP662">
        <f t="shared" si="201"/>
        <v>18.852757447181002</v>
      </c>
    </row>
    <row r="663" spans="1:42" x14ac:dyDescent="0.2">
      <c r="A663" s="3">
        <v>660</v>
      </c>
      <c r="B663" s="3">
        <v>5.06E-7</v>
      </c>
      <c r="C663" s="2">
        <v>3.4410000000000003E-2</v>
      </c>
      <c r="D663" s="3">
        <v>208000</v>
      </c>
      <c r="E663" s="3">
        <v>101000000000</v>
      </c>
      <c r="F663" s="3">
        <v>91900000000</v>
      </c>
      <c r="G663" s="3">
        <v>5850000000</v>
      </c>
      <c r="H663" s="3">
        <v>9740000000</v>
      </c>
      <c r="I663" s="2"/>
      <c r="J663" s="7">
        <f t="shared" si="202"/>
        <v>0.50600000000000001</v>
      </c>
      <c r="K663" s="7">
        <f t="shared" si="203"/>
        <v>34.410000000000004</v>
      </c>
      <c r="L663" s="7">
        <f t="shared" si="204"/>
        <v>101</v>
      </c>
      <c r="M663" s="7">
        <f t="shared" si="205"/>
        <v>208</v>
      </c>
      <c r="O663">
        <f t="shared" si="206"/>
        <v>0.38192548076923072</v>
      </c>
      <c r="P663">
        <f t="shared" si="207"/>
        <v>381.92548076923072</v>
      </c>
      <c r="V663">
        <f t="shared" si="191"/>
        <v>890.24113662346997</v>
      </c>
      <c r="W663">
        <f t="shared" si="192"/>
        <v>116.82228075244191</v>
      </c>
      <c r="AE663">
        <f t="shared" si="193"/>
        <v>0.7572653502088279</v>
      </c>
      <c r="AF663">
        <f t="shared" si="194"/>
        <v>0.73964482038786705</v>
      </c>
      <c r="AG663">
        <f t="shared" si="195"/>
        <v>0.74378619967447013</v>
      </c>
      <c r="AI663">
        <f t="shared" si="196"/>
        <v>0.27841407675023389</v>
      </c>
      <c r="AJ663">
        <f t="shared" si="197"/>
        <v>19.100247540426217</v>
      </c>
      <c r="AL663">
        <f t="shared" si="198"/>
        <v>0.28504672448429114</v>
      </c>
      <c r="AM663">
        <f t="shared" si="199"/>
        <v>20.021136480567812</v>
      </c>
      <c r="AO663">
        <f t="shared" si="200"/>
        <v>0.28345959285828093</v>
      </c>
      <c r="AP663">
        <f t="shared" si="201"/>
        <v>19.798803004903174</v>
      </c>
    </row>
    <row r="664" spans="1:42" x14ac:dyDescent="0.2">
      <c r="A664" s="3">
        <v>660</v>
      </c>
      <c r="B664" s="3">
        <v>5.0699999999999997E-7</v>
      </c>
      <c r="C664" s="2">
        <v>3.4459999999999998E-2</v>
      </c>
      <c r="D664" s="3">
        <v>236000</v>
      </c>
      <c r="E664" s="3">
        <v>113000000000</v>
      </c>
      <c r="F664" s="3">
        <v>102000000000</v>
      </c>
      <c r="G664" s="3">
        <v>7160000000</v>
      </c>
      <c r="H664" s="3">
        <v>9380000000</v>
      </c>
      <c r="I664" s="2"/>
      <c r="J664" s="7">
        <f t="shared" si="202"/>
        <v>0.50700000000000001</v>
      </c>
      <c r="K664" s="7">
        <f t="shared" si="203"/>
        <v>34.46</v>
      </c>
      <c r="L664" s="7">
        <f t="shared" si="204"/>
        <v>113</v>
      </c>
      <c r="M664" s="7">
        <f t="shared" si="205"/>
        <v>236</v>
      </c>
      <c r="O664">
        <f t="shared" si="206"/>
        <v>0.3974872881355932</v>
      </c>
      <c r="P664">
        <f t="shared" si="207"/>
        <v>397.48728813559319</v>
      </c>
      <c r="V664">
        <f t="shared" si="191"/>
        <v>906.13241715539516</v>
      </c>
      <c r="W664">
        <f t="shared" si="192"/>
        <v>130.2237926443855</v>
      </c>
      <c r="AE664">
        <f t="shared" si="193"/>
        <v>0.85920491658309317</v>
      </c>
      <c r="AF664">
        <f t="shared" si="194"/>
        <v>0.83921239236315692</v>
      </c>
      <c r="AG664">
        <f t="shared" si="195"/>
        <v>0.84391126501526426</v>
      </c>
      <c r="AI664">
        <f t="shared" si="196"/>
        <v>0.24586684261550096</v>
      </c>
      <c r="AJ664">
        <f t="shared" si="197"/>
        <v>14.858407339325661</v>
      </c>
      <c r="AL664">
        <f t="shared" si="198"/>
        <v>0.25172411885522378</v>
      </c>
      <c r="AM664">
        <f t="shared" si="199"/>
        <v>15.574782504513617</v>
      </c>
      <c r="AO664">
        <f t="shared" si="200"/>
        <v>0.25032252649948811</v>
      </c>
      <c r="AP664">
        <f t="shared" si="201"/>
        <v>15.401825513270376</v>
      </c>
    </row>
    <row r="665" spans="1:42" x14ac:dyDescent="0.2">
      <c r="A665" s="3">
        <v>660</v>
      </c>
      <c r="B665" s="3">
        <v>5.0699999999999997E-7</v>
      </c>
      <c r="C665" s="2">
        <v>3.4520000000000002E-2</v>
      </c>
      <c r="D665" s="3">
        <v>224000</v>
      </c>
      <c r="E665" s="3">
        <v>108000000000</v>
      </c>
      <c r="F665" s="3">
        <v>97700000000</v>
      </c>
      <c r="G665" s="3">
        <v>1050000000</v>
      </c>
      <c r="H665" s="3">
        <v>9520000000</v>
      </c>
      <c r="I665" s="2"/>
      <c r="J665" s="7">
        <f t="shared" si="202"/>
        <v>0.50700000000000001</v>
      </c>
      <c r="K665" s="7">
        <f t="shared" si="203"/>
        <v>34.520000000000003</v>
      </c>
      <c r="L665" s="7">
        <f t="shared" si="204"/>
        <v>108</v>
      </c>
      <c r="M665" s="7">
        <f t="shared" si="205"/>
        <v>224</v>
      </c>
      <c r="O665">
        <f t="shared" si="206"/>
        <v>0.39141964285714287</v>
      </c>
      <c r="P665">
        <f t="shared" si="207"/>
        <v>391.41964285714289</v>
      </c>
      <c r="V665">
        <f t="shared" si="191"/>
        <v>899.97825427706107</v>
      </c>
      <c r="W665">
        <f t="shared" si="192"/>
        <v>124.44745133310795</v>
      </c>
      <c r="AE665">
        <f t="shared" si="193"/>
        <v>0.81551653099412236</v>
      </c>
      <c r="AF665">
        <f t="shared" si="194"/>
        <v>0.79654057580231841</v>
      </c>
      <c r="AG665">
        <f t="shared" si="195"/>
        <v>0.80100052272635247</v>
      </c>
      <c r="AI665">
        <f t="shared" si="196"/>
        <v>0.25903828061275996</v>
      </c>
      <c r="AJ665">
        <f t="shared" si="197"/>
        <v>16.521738477949231</v>
      </c>
      <c r="AL665">
        <f t="shared" si="198"/>
        <v>0.26520933950818221</v>
      </c>
      <c r="AM665">
        <f t="shared" si="199"/>
        <v>17.318308585433599</v>
      </c>
      <c r="AO665">
        <f t="shared" si="200"/>
        <v>0.26373266184767497</v>
      </c>
      <c r="AP665">
        <f t="shared" si="201"/>
        <v>17.125989845477488</v>
      </c>
    </row>
    <row r="666" spans="1:42" x14ac:dyDescent="0.2">
      <c r="A666" s="3">
        <v>660</v>
      </c>
      <c r="B666" s="3">
        <v>5.0800000000000005E-7</v>
      </c>
      <c r="C666" s="2">
        <v>3.458E-2</v>
      </c>
      <c r="D666" s="3">
        <v>212000</v>
      </c>
      <c r="E666" s="3">
        <v>102000000000</v>
      </c>
      <c r="F666" s="3">
        <v>93200000000</v>
      </c>
      <c r="G666" s="3">
        <v>9870000000</v>
      </c>
      <c r="H666" s="3">
        <v>9680000000</v>
      </c>
      <c r="I666" s="2"/>
      <c r="J666" s="7">
        <f t="shared" si="202"/>
        <v>0.50800000000000001</v>
      </c>
      <c r="K666" s="7">
        <f t="shared" si="203"/>
        <v>34.58</v>
      </c>
      <c r="L666" s="7">
        <f t="shared" si="204"/>
        <v>102</v>
      </c>
      <c r="M666" s="7">
        <f t="shared" si="205"/>
        <v>212</v>
      </c>
      <c r="O666">
        <f t="shared" si="206"/>
        <v>0.38566509433962265</v>
      </c>
      <c r="P666">
        <f t="shared" si="207"/>
        <v>385.66509433962267</v>
      </c>
      <c r="V666">
        <f t="shared" si="191"/>
        <v>894.09236450812261</v>
      </c>
      <c r="W666">
        <f t="shared" si="192"/>
        <v>118.5559839316098</v>
      </c>
      <c r="AE666">
        <f t="shared" si="193"/>
        <v>0.77182814540515143</v>
      </c>
      <c r="AF666">
        <f t="shared" si="194"/>
        <v>0.75386875924147989</v>
      </c>
      <c r="AG666">
        <f t="shared" si="195"/>
        <v>0.75808978043744069</v>
      </c>
      <c r="AI666">
        <f t="shared" si="196"/>
        <v>0.27424066863428215</v>
      </c>
      <c r="AJ666">
        <f t="shared" si="197"/>
        <v>18.477119183163037</v>
      </c>
      <c r="AL666">
        <f t="shared" si="198"/>
        <v>0.28077389342892967</v>
      </c>
      <c r="AM666">
        <f t="shared" si="199"/>
        <v>19.367964951807625</v>
      </c>
      <c r="AO666">
        <f t="shared" si="200"/>
        <v>0.27921055279828283</v>
      </c>
      <c r="AP666">
        <f t="shared" si="201"/>
        <v>19.152884905354433</v>
      </c>
    </row>
    <row r="667" spans="1:42" x14ac:dyDescent="0.2">
      <c r="A667" s="3">
        <v>670</v>
      </c>
      <c r="B667" s="3">
        <v>5.0900000000000002E-7</v>
      </c>
      <c r="C667" s="2">
        <v>3.4630000000000001E-2</v>
      </c>
      <c r="D667" s="3">
        <v>216000</v>
      </c>
      <c r="E667" s="3">
        <v>104000000000</v>
      </c>
      <c r="F667" s="3">
        <v>94600000000</v>
      </c>
      <c r="G667" s="3">
        <v>11800000000</v>
      </c>
      <c r="H667" s="3">
        <v>9620000000</v>
      </c>
      <c r="I667" s="2"/>
      <c r="J667" s="7">
        <f t="shared" si="202"/>
        <v>0.50900000000000001</v>
      </c>
      <c r="K667" s="7">
        <f t="shared" si="203"/>
        <v>34.630000000000003</v>
      </c>
      <c r="L667" s="7">
        <f t="shared" si="204"/>
        <v>104</v>
      </c>
      <c r="M667" s="7">
        <f t="shared" si="205"/>
        <v>216</v>
      </c>
      <c r="O667">
        <f t="shared" si="206"/>
        <v>0.38875694444444442</v>
      </c>
      <c r="P667">
        <f t="shared" si="207"/>
        <v>388.7569444444444</v>
      </c>
      <c r="V667">
        <f t="shared" si="191"/>
        <v>897.2608165189273</v>
      </c>
      <c r="W667">
        <f t="shared" si="192"/>
        <v>120.36633943183207</v>
      </c>
      <c r="AE667">
        <f t="shared" si="193"/>
        <v>0.78639094060147507</v>
      </c>
      <c r="AF667">
        <f t="shared" si="194"/>
        <v>0.76809269809509273</v>
      </c>
      <c r="AG667">
        <f t="shared" si="195"/>
        <v>0.77239336120041135</v>
      </c>
      <c r="AI667">
        <f t="shared" si="196"/>
        <v>0.26969198446146947</v>
      </c>
      <c r="AJ667">
        <f t="shared" si="197"/>
        <v>17.824854041284333</v>
      </c>
      <c r="AL667">
        <f t="shared" si="198"/>
        <v>0.27611684612978399</v>
      </c>
      <c r="AM667">
        <f t="shared" si="199"/>
        <v>18.684251853355342</v>
      </c>
      <c r="AO667">
        <f t="shared" si="200"/>
        <v>0.27457943579904037</v>
      </c>
      <c r="AP667">
        <f t="shared" si="201"/>
        <v>18.476764398345885</v>
      </c>
    </row>
    <row r="668" spans="1:42" x14ac:dyDescent="0.2">
      <c r="A668" s="3">
        <v>670</v>
      </c>
      <c r="B668" s="3">
        <v>5.0900000000000002E-7</v>
      </c>
      <c r="C668" s="2">
        <v>3.4680000000000002E-2</v>
      </c>
      <c r="D668" s="3">
        <v>214000</v>
      </c>
      <c r="E668" s="3">
        <v>103000000000</v>
      </c>
      <c r="F668" s="3">
        <v>93800000000</v>
      </c>
      <c r="G668" s="3">
        <v>6150000000</v>
      </c>
      <c r="H668" s="3">
        <v>9670000000</v>
      </c>
      <c r="I668" s="2"/>
      <c r="J668" s="7">
        <f t="shared" si="202"/>
        <v>0.50900000000000001</v>
      </c>
      <c r="K668" s="7">
        <f t="shared" si="203"/>
        <v>34.68</v>
      </c>
      <c r="L668" s="7">
        <f t="shared" si="204"/>
        <v>103</v>
      </c>
      <c r="M668" s="7">
        <f t="shared" si="205"/>
        <v>214</v>
      </c>
      <c r="O668">
        <f t="shared" si="206"/>
        <v>0.38745794392523364</v>
      </c>
      <c r="P668">
        <f t="shared" si="207"/>
        <v>387.45794392523362</v>
      </c>
      <c r="V668">
        <f t="shared" si="191"/>
        <v>895.93134864456954</v>
      </c>
      <c r="W668">
        <f t="shared" si="192"/>
        <v>119.42879346936283</v>
      </c>
      <c r="AE668">
        <f t="shared" si="193"/>
        <v>0.77910954300331325</v>
      </c>
      <c r="AF668">
        <f t="shared" si="194"/>
        <v>0.76098072866828637</v>
      </c>
      <c r="AG668">
        <f t="shared" si="195"/>
        <v>0.76524157081892608</v>
      </c>
      <c r="AI668">
        <f t="shared" si="196"/>
        <v>0.27221247029755796</v>
      </c>
      <c r="AJ668">
        <f t="shared" si="197"/>
        <v>18.185805217316879</v>
      </c>
      <c r="AL668">
        <f t="shared" si="198"/>
        <v>0.27869737740202494</v>
      </c>
      <c r="AM668">
        <f t="shared" si="199"/>
        <v>19.062605732951596</v>
      </c>
      <c r="AO668">
        <f t="shared" si="200"/>
        <v>0.27714559875043326</v>
      </c>
      <c r="AP668">
        <f t="shared" si="201"/>
        <v>18.850916681635987</v>
      </c>
    </row>
    <row r="669" spans="1:42" x14ac:dyDescent="0.2">
      <c r="A669" s="3">
        <v>670</v>
      </c>
      <c r="B669" s="3">
        <v>5.0999999999999999E-7</v>
      </c>
      <c r="C669" s="2">
        <v>3.4729999999999997E-2</v>
      </c>
      <c r="D669" s="3">
        <v>218000</v>
      </c>
      <c r="E669" s="3">
        <v>105000000000</v>
      </c>
      <c r="F669" s="3">
        <v>95300000000</v>
      </c>
      <c r="G669" s="3">
        <v>8750000000</v>
      </c>
      <c r="H669" s="3">
        <v>9610000000</v>
      </c>
      <c r="I669" s="2"/>
      <c r="J669" s="7">
        <f t="shared" si="202"/>
        <v>0.51</v>
      </c>
      <c r="K669" s="7">
        <f t="shared" si="203"/>
        <v>34.729999999999997</v>
      </c>
      <c r="L669" s="7">
        <f t="shared" si="204"/>
        <v>105</v>
      </c>
      <c r="M669" s="7">
        <f t="shared" si="205"/>
        <v>218</v>
      </c>
      <c r="O669">
        <f t="shared" si="206"/>
        <v>0.39051605504587156</v>
      </c>
      <c r="P669">
        <f t="shared" si="207"/>
        <v>390.51605504587155</v>
      </c>
      <c r="V669">
        <f t="shared" si="191"/>
        <v>899.05724809479</v>
      </c>
      <c r="W669">
        <f t="shared" si="192"/>
        <v>121.23810828618984</v>
      </c>
      <c r="AE669">
        <f t="shared" si="193"/>
        <v>0.7936723381996369</v>
      </c>
      <c r="AF669">
        <f t="shared" si="194"/>
        <v>0.7752046675218992</v>
      </c>
      <c r="AG669">
        <f t="shared" si="195"/>
        <v>0.77954515158189663</v>
      </c>
      <c r="AI669">
        <f t="shared" si="196"/>
        <v>0.26774273182058245</v>
      </c>
      <c r="AJ669">
        <f t="shared" si="197"/>
        <v>17.549824958217449</v>
      </c>
      <c r="AL669">
        <f t="shared" si="198"/>
        <v>0.27412115651896146</v>
      </c>
      <c r="AM669">
        <f t="shared" si="199"/>
        <v>18.395962667754315</v>
      </c>
      <c r="AO669">
        <f t="shared" si="200"/>
        <v>0.27259485812820866</v>
      </c>
      <c r="AP669">
        <f t="shared" si="201"/>
        <v>18.191676646224593</v>
      </c>
    </row>
    <row r="670" spans="1:42" x14ac:dyDescent="0.2">
      <c r="A670" s="3">
        <v>670</v>
      </c>
      <c r="B670" s="3">
        <v>5.1099999999999996E-7</v>
      </c>
      <c r="C670" s="2">
        <v>3.4779999999999998E-2</v>
      </c>
      <c r="D670" s="3">
        <v>220000</v>
      </c>
      <c r="E670" s="3">
        <v>105000000000</v>
      </c>
      <c r="F670" s="3">
        <v>96000000000</v>
      </c>
      <c r="G670" s="3">
        <v>2250000000</v>
      </c>
      <c r="H670" s="3">
        <v>9570000000</v>
      </c>
      <c r="I670" s="2"/>
      <c r="J670" s="7">
        <f t="shared" si="202"/>
        <v>0.51100000000000001</v>
      </c>
      <c r="K670" s="7">
        <f t="shared" si="203"/>
        <v>34.78</v>
      </c>
      <c r="L670" s="7">
        <f t="shared" si="204"/>
        <v>105</v>
      </c>
      <c r="M670" s="7">
        <f t="shared" si="205"/>
        <v>220</v>
      </c>
      <c r="O670">
        <f t="shared" si="206"/>
        <v>0.39243181818181816</v>
      </c>
      <c r="P670">
        <f t="shared" si="207"/>
        <v>392.43181818181819</v>
      </c>
      <c r="V670">
        <f t="shared" si="191"/>
        <v>901.00853607614795</v>
      </c>
      <c r="W670">
        <f t="shared" si="192"/>
        <v>122.08541383974574</v>
      </c>
      <c r="AE670">
        <f t="shared" si="193"/>
        <v>0.80095373579779872</v>
      </c>
      <c r="AF670">
        <f t="shared" si="194"/>
        <v>0.78231663694870557</v>
      </c>
      <c r="AG670">
        <f t="shared" si="195"/>
        <v>0.78669694196338191</v>
      </c>
      <c r="AI670">
        <f t="shared" si="196"/>
        <v>0.26582892013680254</v>
      </c>
      <c r="AJ670">
        <f t="shared" si="197"/>
        <v>17.256996423479514</v>
      </c>
      <c r="AL670">
        <f t="shared" si="198"/>
        <v>0.27216175217379029</v>
      </c>
      <c r="AM670">
        <f t="shared" si="199"/>
        <v>18.089015857406217</v>
      </c>
      <c r="AO670">
        <f t="shared" si="200"/>
        <v>0.27064636368775569</v>
      </c>
      <c r="AP670">
        <f t="shared" si="201"/>
        <v>17.888138461118881</v>
      </c>
    </row>
    <row r="671" spans="1:42" x14ac:dyDescent="0.2">
      <c r="A671" s="3">
        <v>670</v>
      </c>
      <c r="B671" s="3">
        <v>5.1099999999999996E-7</v>
      </c>
      <c r="C671" s="2">
        <v>3.483E-2</v>
      </c>
      <c r="D671" s="3">
        <v>202000</v>
      </c>
      <c r="E671" s="3">
        <v>97100000000</v>
      </c>
      <c r="F671" s="3">
        <v>89000000000</v>
      </c>
      <c r="G671" s="3">
        <v>4220000000</v>
      </c>
      <c r="H671" s="3">
        <v>9850000000</v>
      </c>
      <c r="I671" s="2"/>
      <c r="J671" s="7">
        <f t="shared" si="202"/>
        <v>0.51100000000000001</v>
      </c>
      <c r="K671" s="7">
        <f t="shared" si="203"/>
        <v>34.83</v>
      </c>
      <c r="L671" s="7">
        <f t="shared" si="204"/>
        <v>97.100000000000009</v>
      </c>
      <c r="M671" s="7">
        <f t="shared" si="205"/>
        <v>202</v>
      </c>
      <c r="O671">
        <f t="shared" si="206"/>
        <v>0.38168069306930696</v>
      </c>
      <c r="P671">
        <f t="shared" si="207"/>
        <v>381.68069306930698</v>
      </c>
      <c r="V671">
        <f t="shared" si="191"/>
        <v>889.98831193187846</v>
      </c>
      <c r="W671">
        <f t="shared" si="192"/>
        <v>113.4846364226531</v>
      </c>
      <c r="AE671">
        <f t="shared" si="193"/>
        <v>0.73542115741434244</v>
      </c>
      <c r="AF671">
        <f t="shared" si="194"/>
        <v>0.71830891210744785</v>
      </c>
      <c r="AG671">
        <f t="shared" si="195"/>
        <v>0.72233082853001429</v>
      </c>
      <c r="AI671">
        <f t="shared" si="196"/>
        <v>0.28951664569354735</v>
      </c>
      <c r="AJ671">
        <f t="shared" si="197"/>
        <v>20.498955310226709</v>
      </c>
      <c r="AL671">
        <f t="shared" si="198"/>
        <v>0.29641378949620723</v>
      </c>
      <c r="AM671">
        <f t="shared" si="199"/>
        <v>21.4872807855741</v>
      </c>
      <c r="AO671">
        <f t="shared" si="200"/>
        <v>0.2947633663926052</v>
      </c>
      <c r="AP671">
        <f t="shared" si="201"/>
        <v>21.24866586856999</v>
      </c>
    </row>
    <row r="672" spans="1:42" x14ac:dyDescent="0.2">
      <c r="A672" s="3">
        <v>670</v>
      </c>
      <c r="B672" s="3">
        <v>5.1200000000000003E-7</v>
      </c>
      <c r="C672" s="2">
        <v>3.4880000000000001E-2</v>
      </c>
      <c r="D672" s="3">
        <v>224000</v>
      </c>
      <c r="E672" s="3">
        <v>107000000000</v>
      </c>
      <c r="F672" s="3">
        <v>97100000000</v>
      </c>
      <c r="G672" s="2">
        <v>0</v>
      </c>
      <c r="H672" s="3">
        <v>9540000000</v>
      </c>
      <c r="I672" s="2"/>
      <c r="J672" s="7">
        <f t="shared" si="202"/>
        <v>0.51200000000000001</v>
      </c>
      <c r="K672" s="7">
        <f t="shared" si="203"/>
        <v>34.880000000000003</v>
      </c>
      <c r="L672" s="7">
        <f t="shared" si="204"/>
        <v>107</v>
      </c>
      <c r="M672" s="7">
        <f t="shared" si="205"/>
        <v>224</v>
      </c>
      <c r="O672">
        <f t="shared" si="206"/>
        <v>0.39521428571428574</v>
      </c>
      <c r="P672">
        <f t="shared" si="207"/>
        <v>395.21428571428572</v>
      </c>
      <c r="V672">
        <f t="shared" si="191"/>
        <v>903.8331746150443</v>
      </c>
      <c r="W672">
        <f t="shared" si="192"/>
        <v>123.91667306049308</v>
      </c>
      <c r="AE672">
        <f t="shared" si="193"/>
        <v>0.81551653099412236</v>
      </c>
      <c r="AF672">
        <f t="shared" si="194"/>
        <v>0.79654057580231841</v>
      </c>
      <c r="AG672">
        <f t="shared" si="195"/>
        <v>0.80100052272635247</v>
      </c>
      <c r="AI672">
        <f t="shared" si="196"/>
        <v>0.26159289876475955</v>
      </c>
      <c r="AJ672">
        <f t="shared" si="197"/>
        <v>16.694039342725063</v>
      </c>
      <c r="AL672">
        <f t="shared" si="198"/>
        <v>0.2678248162291702</v>
      </c>
      <c r="AM672">
        <f t="shared" si="199"/>
        <v>17.498916670333834</v>
      </c>
      <c r="AO672">
        <f t="shared" si="200"/>
        <v>0.26633357567260274</v>
      </c>
      <c r="AP672">
        <f t="shared" si="201"/>
        <v>17.304592288825457</v>
      </c>
    </row>
    <row r="673" spans="1:42" x14ac:dyDescent="0.2">
      <c r="A673" s="3">
        <v>670</v>
      </c>
      <c r="B673" s="3">
        <v>5.13E-7</v>
      </c>
      <c r="C673" s="2">
        <v>3.4930000000000003E-2</v>
      </c>
      <c r="D673" s="3">
        <v>216000</v>
      </c>
      <c r="E673" s="3">
        <v>103000000000</v>
      </c>
      <c r="F673" s="3">
        <v>94100000000</v>
      </c>
      <c r="G673" s="2">
        <v>0</v>
      </c>
      <c r="H673" s="3">
        <v>9630000000</v>
      </c>
      <c r="I673" s="2"/>
      <c r="J673" s="7">
        <f t="shared" si="202"/>
        <v>0.51300000000000001</v>
      </c>
      <c r="K673" s="7">
        <f t="shared" si="203"/>
        <v>34.93</v>
      </c>
      <c r="L673" s="7">
        <f t="shared" si="204"/>
        <v>103</v>
      </c>
      <c r="M673" s="7">
        <f t="shared" si="205"/>
        <v>216</v>
      </c>
      <c r="O673">
        <f t="shared" si="206"/>
        <v>0.39171527777777781</v>
      </c>
      <c r="P673">
        <f t="shared" si="207"/>
        <v>391.71527777777783</v>
      </c>
      <c r="V673">
        <f t="shared" si="191"/>
        <v>900.27933097261325</v>
      </c>
      <c r="W673">
        <f t="shared" si="192"/>
        <v>119.96276742610831</v>
      </c>
      <c r="AE673">
        <f t="shared" si="193"/>
        <v>0.78639094060147507</v>
      </c>
      <c r="AF673">
        <f t="shared" si="194"/>
        <v>0.76809269809509273</v>
      </c>
      <c r="AG673">
        <f t="shared" si="195"/>
        <v>0.77239336120041135</v>
      </c>
      <c r="AI673">
        <f t="shared" si="196"/>
        <v>0.27181137137275801</v>
      </c>
      <c r="AJ673">
        <f t="shared" si="197"/>
        <v>17.979270911408076</v>
      </c>
      <c r="AL673">
        <f t="shared" si="198"/>
        <v>0.27828672311312219</v>
      </c>
      <c r="AM673">
        <f t="shared" si="199"/>
        <v>18.846113694418193</v>
      </c>
      <c r="AO673">
        <f t="shared" si="200"/>
        <v>0.27673723097231373</v>
      </c>
      <c r="AP673">
        <f t="shared" si="201"/>
        <v>18.636828773728606</v>
      </c>
    </row>
    <row r="674" spans="1:42" x14ac:dyDescent="0.2">
      <c r="A674" s="3">
        <v>670</v>
      </c>
      <c r="B674" s="3">
        <v>5.13E-7</v>
      </c>
      <c r="C674" s="2">
        <v>3.499E-2</v>
      </c>
      <c r="D674" s="3">
        <v>225000</v>
      </c>
      <c r="E674" s="3">
        <v>107000000000</v>
      </c>
      <c r="F674" s="3">
        <v>97500000000</v>
      </c>
      <c r="G674" s="2">
        <v>0</v>
      </c>
      <c r="H674" s="3">
        <v>9520000000</v>
      </c>
      <c r="I674" s="2"/>
      <c r="J674" s="7">
        <f t="shared" si="202"/>
        <v>0.51300000000000001</v>
      </c>
      <c r="K674" s="7">
        <f t="shared" si="203"/>
        <v>34.99</v>
      </c>
      <c r="L674" s="7">
        <f t="shared" si="204"/>
        <v>107</v>
      </c>
      <c r="M674" s="7">
        <f t="shared" si="205"/>
        <v>225</v>
      </c>
      <c r="O674">
        <f t="shared" si="206"/>
        <v>0.39636666666666664</v>
      </c>
      <c r="P674">
        <f t="shared" si="207"/>
        <v>396.36666666666662</v>
      </c>
      <c r="V674">
        <f t="shared" si="191"/>
        <v>904.999776774971</v>
      </c>
      <c r="W674">
        <f t="shared" si="192"/>
        <v>124.30942292704368</v>
      </c>
      <c r="AE674">
        <f t="shared" si="193"/>
        <v>0.81915722979320327</v>
      </c>
      <c r="AF674">
        <f t="shared" si="194"/>
        <v>0.80009656051572164</v>
      </c>
      <c r="AG674">
        <f t="shared" si="195"/>
        <v>0.80457641791709511</v>
      </c>
      <c r="AI674">
        <f t="shared" si="196"/>
        <v>0.26093891651784767</v>
      </c>
      <c r="AJ674">
        <f t="shared" si="197"/>
        <v>16.598158189454889</v>
      </c>
      <c r="AL674">
        <f t="shared" si="198"/>
        <v>0.26715525418859726</v>
      </c>
      <c r="AM674">
        <f t="shared" si="199"/>
        <v>17.398412755320511</v>
      </c>
      <c r="AO674">
        <f t="shared" si="200"/>
        <v>0.26566774173342123</v>
      </c>
      <c r="AP674">
        <f t="shared" si="201"/>
        <v>17.205204463538831</v>
      </c>
    </row>
    <row r="675" spans="1:42" x14ac:dyDescent="0.2">
      <c r="A675" s="3">
        <v>670</v>
      </c>
      <c r="B675" s="3">
        <v>5.1399999999999997E-7</v>
      </c>
      <c r="C675" s="2">
        <v>3.5040000000000002E-2</v>
      </c>
      <c r="D675" s="3">
        <v>214000</v>
      </c>
      <c r="E675" s="3">
        <v>102000000000</v>
      </c>
      <c r="F675" s="3">
        <v>93200000000</v>
      </c>
      <c r="G675" s="3">
        <v>9580000000</v>
      </c>
      <c r="H675" s="3">
        <v>9670000000</v>
      </c>
      <c r="I675" s="2"/>
      <c r="J675" s="7">
        <f t="shared" si="202"/>
        <v>0.51400000000000001</v>
      </c>
      <c r="K675" s="7">
        <f t="shared" si="203"/>
        <v>35.04</v>
      </c>
      <c r="L675" s="7">
        <f t="shared" si="204"/>
        <v>102</v>
      </c>
      <c r="M675" s="7">
        <f t="shared" si="205"/>
        <v>214</v>
      </c>
      <c r="O675">
        <f t="shared" si="206"/>
        <v>0.39119626168224297</v>
      </c>
      <c r="P675">
        <f t="shared" si="207"/>
        <v>391.19626168224295</v>
      </c>
      <c r="V675">
        <f t="shared" si="191"/>
        <v>899.75067729085526</v>
      </c>
      <c r="W675">
        <f t="shared" si="192"/>
        <v>118.9218332373769</v>
      </c>
      <c r="AE675">
        <f t="shared" si="193"/>
        <v>0.77910954300331325</v>
      </c>
      <c r="AF675">
        <f t="shared" si="194"/>
        <v>0.76098072866828637</v>
      </c>
      <c r="AG675">
        <f t="shared" si="195"/>
        <v>0.76524157081892608</v>
      </c>
      <c r="AI675">
        <f t="shared" si="196"/>
        <v>0.27488646312955756</v>
      </c>
      <c r="AJ675">
        <f t="shared" si="197"/>
        <v>18.374585202271728</v>
      </c>
      <c r="AL675">
        <f t="shared" si="198"/>
        <v>0.28143507266137685</v>
      </c>
      <c r="AM675">
        <f t="shared" si="199"/>
        <v>19.26048745336286</v>
      </c>
      <c r="AO675">
        <f t="shared" si="200"/>
        <v>0.27986805060456327</v>
      </c>
      <c r="AP675">
        <f t="shared" si="201"/>
        <v>19.04660093784674</v>
      </c>
    </row>
    <row r="676" spans="1:42" x14ac:dyDescent="0.2">
      <c r="A676" s="3">
        <v>670</v>
      </c>
      <c r="B676" s="3">
        <v>5.1500000000000005E-7</v>
      </c>
      <c r="C676" s="2">
        <v>3.5090000000000003E-2</v>
      </c>
      <c r="D676" s="3">
        <v>206000</v>
      </c>
      <c r="E676" s="3">
        <v>98500000000</v>
      </c>
      <c r="F676" s="3">
        <v>90200000000</v>
      </c>
      <c r="G676" s="3">
        <v>892000000</v>
      </c>
      <c r="H676" s="3">
        <v>9790000000</v>
      </c>
      <c r="I676" s="2"/>
      <c r="J676" s="7">
        <f t="shared" si="202"/>
        <v>0.51500000000000001</v>
      </c>
      <c r="K676" s="7">
        <f t="shared" si="203"/>
        <v>35.090000000000003</v>
      </c>
      <c r="L676" s="7">
        <f t="shared" si="204"/>
        <v>98.5</v>
      </c>
      <c r="M676" s="7">
        <f t="shared" si="205"/>
        <v>206</v>
      </c>
      <c r="O676">
        <f t="shared" si="206"/>
        <v>0.38724514563106793</v>
      </c>
      <c r="P676">
        <f t="shared" si="207"/>
        <v>387.24514563106794</v>
      </c>
      <c r="V676">
        <f t="shared" si="191"/>
        <v>895.71332274951124</v>
      </c>
      <c r="W676">
        <f t="shared" si="192"/>
        <v>114.99214914413442</v>
      </c>
      <c r="AE676">
        <f t="shared" si="193"/>
        <v>0.74998395261066608</v>
      </c>
      <c r="AF676">
        <f t="shared" si="194"/>
        <v>0.73253285096106069</v>
      </c>
      <c r="AG676">
        <f t="shared" si="195"/>
        <v>0.73663440929298485</v>
      </c>
      <c r="AI676">
        <f t="shared" si="196"/>
        <v>0.28611723302395575</v>
      </c>
      <c r="AJ676">
        <f t="shared" si="197"/>
        <v>19.857744591981298</v>
      </c>
      <c r="AL676">
        <f t="shared" si="198"/>
        <v>0.29293339275065489</v>
      </c>
      <c r="AM676">
        <f t="shared" si="199"/>
        <v>20.815155082720104</v>
      </c>
      <c r="AO676">
        <f t="shared" si="200"/>
        <v>0.29130234839190922</v>
      </c>
      <c r="AP676">
        <f t="shared" si="201"/>
        <v>20.584004079852143</v>
      </c>
    </row>
    <row r="677" spans="1:42" x14ac:dyDescent="0.2">
      <c r="A677" s="3">
        <v>680</v>
      </c>
      <c r="B677" s="3">
        <v>5.1600000000000001E-7</v>
      </c>
      <c r="C677" s="2">
        <v>3.5139999999999998E-2</v>
      </c>
      <c r="D677" s="3">
        <v>203000</v>
      </c>
      <c r="E677" s="3">
        <v>97100000000</v>
      </c>
      <c r="F677" s="3">
        <v>89100000000</v>
      </c>
      <c r="G677" s="3">
        <v>4800000000</v>
      </c>
      <c r="H677" s="3">
        <v>9830000000</v>
      </c>
      <c r="I677" s="2"/>
      <c r="J677" s="7">
        <f t="shared" si="202"/>
        <v>0.51600000000000001</v>
      </c>
      <c r="K677" s="7">
        <f t="shared" si="203"/>
        <v>35.14</v>
      </c>
      <c r="L677" s="7">
        <f t="shared" si="204"/>
        <v>97.100000000000009</v>
      </c>
      <c r="M677" s="7">
        <f t="shared" si="205"/>
        <v>203</v>
      </c>
      <c r="O677">
        <f t="shared" si="206"/>
        <v>0.38617241379310346</v>
      </c>
      <c r="P677">
        <f t="shared" si="207"/>
        <v>386.17241379310349</v>
      </c>
      <c r="V677">
        <f t="shared" si="191"/>
        <v>894.61322076115425</v>
      </c>
      <c r="W677">
        <f t="shared" si="192"/>
        <v>113.45685224016904</v>
      </c>
      <c r="AE677">
        <f t="shared" si="193"/>
        <v>0.73906185621342335</v>
      </c>
      <c r="AF677">
        <f t="shared" si="194"/>
        <v>0.72186489682085109</v>
      </c>
      <c r="AG677">
        <f t="shared" si="195"/>
        <v>0.72590672372075693</v>
      </c>
      <c r="AI677">
        <f t="shared" si="196"/>
        <v>0.29090934431598264</v>
      </c>
      <c r="AJ677">
        <f t="shared" si="197"/>
        <v>20.478147858171774</v>
      </c>
      <c r="AL677">
        <f t="shared" si="198"/>
        <v>0.29783966632381859</v>
      </c>
      <c r="AM677">
        <f t="shared" si="199"/>
        <v>21.465470134349655</v>
      </c>
      <c r="AO677">
        <f t="shared" si="200"/>
        <v>0.29618130398073927</v>
      </c>
      <c r="AP677">
        <f t="shared" si="201"/>
        <v>21.227097423271168</v>
      </c>
    </row>
    <row r="678" spans="1:42" x14ac:dyDescent="0.2">
      <c r="A678" s="3">
        <v>680</v>
      </c>
      <c r="B678" s="3">
        <v>5.1600000000000001E-7</v>
      </c>
      <c r="C678" s="2">
        <v>3.5189999999999999E-2</v>
      </c>
      <c r="D678" s="3">
        <v>226000</v>
      </c>
      <c r="E678" s="3">
        <v>107000000000</v>
      </c>
      <c r="F678" s="3">
        <v>97600000000</v>
      </c>
      <c r="G678" s="3">
        <v>14900000000</v>
      </c>
      <c r="H678" s="3">
        <v>9520000000</v>
      </c>
      <c r="I678" s="2"/>
      <c r="J678" s="7">
        <f t="shared" si="202"/>
        <v>0.51600000000000001</v>
      </c>
      <c r="K678" s="7">
        <f t="shared" si="203"/>
        <v>35.19</v>
      </c>
      <c r="L678" s="7">
        <f t="shared" si="204"/>
        <v>107</v>
      </c>
      <c r="M678" s="7">
        <f t="shared" si="205"/>
        <v>226</v>
      </c>
      <c r="O678">
        <f t="shared" si="206"/>
        <v>0.39921902654867258</v>
      </c>
      <c r="P678">
        <f t="shared" si="207"/>
        <v>399.21902654867256</v>
      </c>
      <c r="V678">
        <f t="shared" si="191"/>
        <v>907.87923647418609</v>
      </c>
      <c r="W678">
        <f t="shared" si="192"/>
        <v>124.46589310583154</v>
      </c>
      <c r="AE678">
        <f t="shared" si="193"/>
        <v>0.82279792859228407</v>
      </c>
      <c r="AF678">
        <f t="shared" si="194"/>
        <v>0.80365254522912477</v>
      </c>
      <c r="AG678">
        <f t="shared" si="195"/>
        <v>0.80815231310783775</v>
      </c>
      <c r="AI678">
        <f t="shared" si="196"/>
        <v>0.26130352608913487</v>
      </c>
      <c r="AJ678">
        <f t="shared" si="197"/>
        <v>16.545632795627746</v>
      </c>
      <c r="AL678">
        <f t="shared" si="198"/>
        <v>0.26752854983953622</v>
      </c>
      <c r="AM678">
        <f t="shared" si="199"/>
        <v>17.343354930740851</v>
      </c>
      <c r="AO678">
        <f t="shared" si="200"/>
        <v>0.26603895888535428</v>
      </c>
      <c r="AP678">
        <f t="shared" si="201"/>
        <v>17.150758052677531</v>
      </c>
    </row>
    <row r="679" spans="1:42" x14ac:dyDescent="0.2">
      <c r="A679" s="3">
        <v>680</v>
      </c>
      <c r="B679" s="3">
        <v>5.1699999999999998E-7</v>
      </c>
      <c r="C679" s="2">
        <v>3.524E-2</v>
      </c>
      <c r="D679" s="3">
        <v>213000</v>
      </c>
      <c r="E679" s="3">
        <v>102000000000</v>
      </c>
      <c r="F679" s="3">
        <v>92800000000</v>
      </c>
      <c r="G679" s="2">
        <v>0</v>
      </c>
      <c r="H679" s="3">
        <v>9700000000</v>
      </c>
      <c r="I679" s="2"/>
      <c r="J679" s="7">
        <f t="shared" si="202"/>
        <v>0.51700000000000002</v>
      </c>
      <c r="K679" s="7">
        <f t="shared" si="203"/>
        <v>35.24</v>
      </c>
      <c r="L679" s="7">
        <f t="shared" si="204"/>
        <v>102</v>
      </c>
      <c r="M679" s="7">
        <f t="shared" si="205"/>
        <v>213</v>
      </c>
      <c r="O679">
        <f t="shared" si="206"/>
        <v>0.39291549295774647</v>
      </c>
      <c r="P679">
        <f t="shared" si="207"/>
        <v>392.91549295774649</v>
      </c>
      <c r="V679">
        <f t="shared" si="191"/>
        <v>901.50034054080459</v>
      </c>
      <c r="W679">
        <f t="shared" si="192"/>
        <v>118.13639464197128</v>
      </c>
      <c r="AE679">
        <f t="shared" si="193"/>
        <v>0.77546884420423234</v>
      </c>
      <c r="AF679">
        <f t="shared" si="194"/>
        <v>0.75742474395488313</v>
      </c>
      <c r="AG679">
        <f t="shared" si="195"/>
        <v>0.76166567562818333</v>
      </c>
      <c r="AI679">
        <f t="shared" si="196"/>
        <v>0.27778893797818804</v>
      </c>
      <c r="AJ679">
        <f t="shared" si="197"/>
        <v>18.653386370684061</v>
      </c>
      <c r="AL679">
        <f t="shared" si="198"/>
        <v>0.28440669305556543</v>
      </c>
      <c r="AM679">
        <f t="shared" si="199"/>
        <v>19.552730589579326</v>
      </c>
      <c r="AO679">
        <f t="shared" si="200"/>
        <v>0.28282312510538421</v>
      </c>
      <c r="AP679">
        <f t="shared" si="201"/>
        <v>19.335598732207757</v>
      </c>
    </row>
    <row r="680" spans="1:42" x14ac:dyDescent="0.2">
      <c r="A680" s="3">
        <v>680</v>
      </c>
      <c r="B680" s="3">
        <v>5.1799999999999995E-7</v>
      </c>
      <c r="C680" s="2">
        <v>3.5299999999999998E-2</v>
      </c>
      <c r="D680" s="3">
        <v>234000</v>
      </c>
      <c r="E680" s="3">
        <v>111000000000</v>
      </c>
      <c r="F680" s="3">
        <v>101000000000</v>
      </c>
      <c r="G680" s="2">
        <v>0</v>
      </c>
      <c r="H680" s="3">
        <v>9420000000</v>
      </c>
      <c r="I680" s="2"/>
      <c r="J680" s="7">
        <f t="shared" si="202"/>
        <v>0.5179999999999999</v>
      </c>
      <c r="K680" s="7">
        <f t="shared" si="203"/>
        <v>35.299999999999997</v>
      </c>
      <c r="L680" s="7">
        <f t="shared" si="204"/>
        <v>111</v>
      </c>
      <c r="M680" s="7">
        <f t="shared" si="205"/>
        <v>234</v>
      </c>
      <c r="O680">
        <f t="shared" si="206"/>
        <v>0.40485897435897428</v>
      </c>
      <c r="P680">
        <f t="shared" si="207"/>
        <v>404.85897435897425</v>
      </c>
      <c r="V680">
        <f t="shared" si="191"/>
        <v>913.53922690389868</v>
      </c>
      <c r="W680">
        <f t="shared" si="192"/>
        <v>128.0733180955217</v>
      </c>
      <c r="AE680">
        <f t="shared" si="193"/>
        <v>0.85192351898493135</v>
      </c>
      <c r="AF680">
        <f t="shared" si="194"/>
        <v>0.83210042293635045</v>
      </c>
      <c r="AG680">
        <f t="shared" si="195"/>
        <v>0.83675947463377898</v>
      </c>
      <c r="AI680">
        <f t="shared" si="196"/>
        <v>0.25334825078018641</v>
      </c>
      <c r="AJ680">
        <f t="shared" si="197"/>
        <v>15.481890221164139</v>
      </c>
      <c r="AL680">
        <f t="shared" si="198"/>
        <v>0.25938375631596444</v>
      </c>
      <c r="AM680">
        <f t="shared" si="199"/>
        <v>16.228325650704036</v>
      </c>
      <c r="AO680">
        <f t="shared" si="200"/>
        <v>0.2579395153282204</v>
      </c>
      <c r="AP680">
        <f t="shared" si="201"/>
        <v>16.048111103460897</v>
      </c>
    </row>
    <row r="681" spans="1:42" x14ac:dyDescent="0.2">
      <c r="A681" s="3">
        <v>680</v>
      </c>
      <c r="B681" s="3">
        <v>5.1900000000000003E-7</v>
      </c>
      <c r="C681" s="2">
        <v>3.5349999999999999E-2</v>
      </c>
      <c r="D681" s="3">
        <v>239000</v>
      </c>
      <c r="E681" s="3">
        <v>113000000000</v>
      </c>
      <c r="F681" s="3">
        <v>102000000000</v>
      </c>
      <c r="G681" s="3">
        <v>5410000000</v>
      </c>
      <c r="H681" s="3">
        <v>9370000000</v>
      </c>
      <c r="I681" s="2"/>
      <c r="J681" s="7">
        <f t="shared" si="202"/>
        <v>0.51900000000000002</v>
      </c>
      <c r="K681" s="7">
        <f t="shared" si="203"/>
        <v>35.35</v>
      </c>
      <c r="L681" s="7">
        <f t="shared" si="204"/>
        <v>113</v>
      </c>
      <c r="M681" s="7">
        <f t="shared" si="205"/>
        <v>239</v>
      </c>
      <c r="O681">
        <f t="shared" si="206"/>
        <v>0.40806903765690378</v>
      </c>
      <c r="P681">
        <f t="shared" si="207"/>
        <v>408.06903765690379</v>
      </c>
      <c r="V681">
        <f t="shared" si="191"/>
        <v>916.74110111553136</v>
      </c>
      <c r="W681">
        <f t="shared" si="192"/>
        <v>130.35305153721927</v>
      </c>
      <c r="AE681">
        <f t="shared" si="193"/>
        <v>0.8701270129803359</v>
      </c>
      <c r="AF681">
        <f t="shared" si="194"/>
        <v>0.84988034650336652</v>
      </c>
      <c r="AG681">
        <f t="shared" si="195"/>
        <v>0.85463895058749217</v>
      </c>
      <c r="AI681">
        <f t="shared" si="196"/>
        <v>0.24852693546348625</v>
      </c>
      <c r="AJ681">
        <f t="shared" si="197"/>
        <v>14.861909394656008</v>
      </c>
      <c r="AL681">
        <f t="shared" si="198"/>
        <v>0.25444758299178227</v>
      </c>
      <c r="AM681">
        <f t="shared" si="199"/>
        <v>15.578453406033768</v>
      </c>
      <c r="AO681">
        <f t="shared" si="200"/>
        <v>0.2530308264692902</v>
      </c>
      <c r="AP681">
        <f t="shared" si="201"/>
        <v>15.40545564965741</v>
      </c>
    </row>
    <row r="682" spans="1:42" x14ac:dyDescent="0.2">
      <c r="A682" s="3">
        <v>680</v>
      </c>
      <c r="B682" s="3">
        <v>5.1900000000000003E-7</v>
      </c>
      <c r="C682" s="2">
        <v>3.5400000000000001E-2</v>
      </c>
      <c r="D682" s="3">
        <v>229000</v>
      </c>
      <c r="E682" s="3">
        <v>108000000000</v>
      </c>
      <c r="F682" s="3">
        <v>98300000000</v>
      </c>
      <c r="G682" s="3">
        <v>901000000</v>
      </c>
      <c r="H682" s="3">
        <v>9490000000</v>
      </c>
      <c r="I682" s="2"/>
      <c r="J682" s="7">
        <f t="shared" si="202"/>
        <v>0.51900000000000002</v>
      </c>
      <c r="K682" s="7">
        <f t="shared" si="203"/>
        <v>35.4</v>
      </c>
      <c r="L682" s="7">
        <f t="shared" si="204"/>
        <v>108</v>
      </c>
      <c r="M682" s="7">
        <f t="shared" si="205"/>
        <v>229</v>
      </c>
      <c r="O682">
        <f t="shared" si="206"/>
        <v>0.40306113537117905</v>
      </c>
      <c r="P682">
        <f t="shared" si="207"/>
        <v>403.06113537117903</v>
      </c>
      <c r="V682">
        <f t="shared" si="191"/>
        <v>911.7397944569251</v>
      </c>
      <c r="W682">
        <f t="shared" si="192"/>
        <v>125.58407639561412</v>
      </c>
      <c r="AE682">
        <f t="shared" si="193"/>
        <v>0.8337200249895268</v>
      </c>
      <c r="AF682">
        <f t="shared" si="194"/>
        <v>0.81432049936933448</v>
      </c>
      <c r="AG682">
        <f t="shared" si="195"/>
        <v>0.81887999868006567</v>
      </c>
      <c r="AI682">
        <f t="shared" si="196"/>
        <v>0.2593796400688787</v>
      </c>
      <c r="AJ682">
        <f t="shared" si="197"/>
        <v>16.211130072161634</v>
      </c>
      <c r="AL682">
        <f t="shared" si="198"/>
        <v>0.26555883115736229</v>
      </c>
      <c r="AM682">
        <f t="shared" si="199"/>
        <v>16.992724675009239</v>
      </c>
      <c r="AO682">
        <f t="shared" si="200"/>
        <v>0.26408020753781819</v>
      </c>
      <c r="AP682">
        <f t="shared" si="201"/>
        <v>16.80402152413297</v>
      </c>
    </row>
    <row r="683" spans="1:42" x14ac:dyDescent="0.2">
      <c r="A683" s="3">
        <v>680</v>
      </c>
      <c r="B683" s="3">
        <v>5.2E-7</v>
      </c>
      <c r="C683" s="2">
        <v>3.5459999999999998E-2</v>
      </c>
      <c r="D683" s="3">
        <v>197000</v>
      </c>
      <c r="E683" s="3">
        <v>94400000000</v>
      </c>
      <c r="F683" s="3">
        <v>86800000000</v>
      </c>
      <c r="G683" s="2">
        <v>0</v>
      </c>
      <c r="H683" s="3">
        <v>9950000000</v>
      </c>
      <c r="I683" s="2"/>
      <c r="J683" s="7">
        <f t="shared" si="202"/>
        <v>0.52</v>
      </c>
      <c r="K683" s="7">
        <f t="shared" si="203"/>
        <v>35.46</v>
      </c>
      <c r="L683" s="7">
        <f t="shared" si="204"/>
        <v>94.4</v>
      </c>
      <c r="M683" s="7">
        <f t="shared" si="205"/>
        <v>197</v>
      </c>
      <c r="O683">
        <f t="shared" si="206"/>
        <v>0.38500000000000001</v>
      </c>
      <c r="P683">
        <f t="shared" si="207"/>
        <v>385</v>
      </c>
      <c r="V683">
        <f t="shared" si="191"/>
        <v>893.40894503259346</v>
      </c>
      <c r="W683">
        <f t="shared" si="192"/>
        <v>110.25186231642947</v>
      </c>
      <c r="AE683">
        <f t="shared" si="193"/>
        <v>0.71721766341893789</v>
      </c>
      <c r="AF683">
        <f t="shared" si="194"/>
        <v>0.70052898854043177</v>
      </c>
      <c r="AG683">
        <f t="shared" si="195"/>
        <v>0.70445135257630109</v>
      </c>
      <c r="AI683">
        <f t="shared" si="196"/>
        <v>0.30209332217757773</v>
      </c>
      <c r="AJ683">
        <f t="shared" si="197"/>
        <v>21.942558860386175</v>
      </c>
      <c r="AL683">
        <f t="shared" si="198"/>
        <v>0.30929007965551386</v>
      </c>
      <c r="AM683">
        <f t="shared" si="199"/>
        <v>23.000485451660325</v>
      </c>
      <c r="AO683">
        <f t="shared" si="200"/>
        <v>0.307567961753894</v>
      </c>
      <c r="AP683">
        <f t="shared" si="201"/>
        <v>22.745066490933244</v>
      </c>
    </row>
    <row r="684" spans="1:42" x14ac:dyDescent="0.2">
      <c r="A684" s="3">
        <v>680</v>
      </c>
      <c r="B684" s="3">
        <v>5.2E-7</v>
      </c>
      <c r="C684" s="2">
        <v>3.551E-2</v>
      </c>
      <c r="D684" s="3">
        <v>223000</v>
      </c>
      <c r="E684" s="3">
        <v>106000000000</v>
      </c>
      <c r="F684" s="3">
        <v>96200000000</v>
      </c>
      <c r="G684" s="3">
        <v>9880000000</v>
      </c>
      <c r="H684" s="3">
        <v>9570000000</v>
      </c>
      <c r="I684" s="2"/>
      <c r="J684" s="7">
        <f t="shared" si="202"/>
        <v>0.52</v>
      </c>
      <c r="K684" s="7">
        <f t="shared" si="203"/>
        <v>35.51</v>
      </c>
      <c r="L684" s="7">
        <f t="shared" si="204"/>
        <v>106</v>
      </c>
      <c r="M684" s="7">
        <f t="shared" si="205"/>
        <v>223</v>
      </c>
      <c r="O684">
        <f t="shared" si="206"/>
        <v>0.40057174887892377</v>
      </c>
      <c r="P684">
        <f t="shared" si="207"/>
        <v>400.57174887892376</v>
      </c>
      <c r="V684">
        <f t="shared" si="191"/>
        <v>909.24080515301671</v>
      </c>
      <c r="W684">
        <f t="shared" si="192"/>
        <v>122.62978010675135</v>
      </c>
      <c r="AE684">
        <f t="shared" si="193"/>
        <v>0.81187583219504145</v>
      </c>
      <c r="AF684">
        <f t="shared" si="194"/>
        <v>0.79298459108891517</v>
      </c>
      <c r="AG684">
        <f t="shared" si="195"/>
        <v>0.79742462753560983</v>
      </c>
      <c r="AI684">
        <f t="shared" si="196"/>
        <v>0.26687167923310673</v>
      </c>
      <c r="AJ684">
        <f t="shared" si="197"/>
        <v>17.14833421936514</v>
      </c>
      <c r="AL684">
        <f t="shared" si="198"/>
        <v>0.27322935287953465</v>
      </c>
      <c r="AM684">
        <f t="shared" si="199"/>
        <v>17.975114672919023</v>
      </c>
      <c r="AO684">
        <f t="shared" si="200"/>
        <v>0.27170802002474048</v>
      </c>
      <c r="AP684">
        <f t="shared" si="201"/>
        <v>17.775502142202825</v>
      </c>
    </row>
    <row r="685" spans="1:42" x14ac:dyDescent="0.2">
      <c r="A685" s="3">
        <v>680</v>
      </c>
      <c r="B685" s="3">
        <v>5.2099999999999997E-7</v>
      </c>
      <c r="C685" s="2">
        <v>3.5560000000000001E-2</v>
      </c>
      <c r="D685" s="3">
        <v>229000</v>
      </c>
      <c r="E685" s="3">
        <v>108000000000</v>
      </c>
      <c r="F685" s="3">
        <v>98100000000</v>
      </c>
      <c r="G685" s="2">
        <v>0</v>
      </c>
      <c r="H685" s="3">
        <v>9500000000</v>
      </c>
      <c r="I685" s="2"/>
      <c r="J685" s="7">
        <f t="shared" si="202"/>
        <v>0.52100000000000002</v>
      </c>
      <c r="K685" s="7">
        <f t="shared" si="203"/>
        <v>35.56</v>
      </c>
      <c r="L685" s="7">
        <f t="shared" si="204"/>
        <v>108</v>
      </c>
      <c r="M685" s="7">
        <f t="shared" si="205"/>
        <v>229</v>
      </c>
      <c r="O685">
        <f t="shared" si="206"/>
        <v>0.4045371179039301</v>
      </c>
      <c r="P685">
        <f t="shared" si="207"/>
        <v>404.5371179039301</v>
      </c>
      <c r="V685">
        <f t="shared" si="191"/>
        <v>913.21741273158329</v>
      </c>
      <c r="W685">
        <f t="shared" si="192"/>
        <v>125.38087689054427</v>
      </c>
      <c r="AE685">
        <f t="shared" si="193"/>
        <v>0.8337200249895268</v>
      </c>
      <c r="AF685">
        <f t="shared" si="194"/>
        <v>0.81432049936933448</v>
      </c>
      <c r="AG685">
        <f t="shared" si="195"/>
        <v>0.81887999868006567</v>
      </c>
      <c r="AI685">
        <f t="shared" si="196"/>
        <v>0.26037917625411522</v>
      </c>
      <c r="AJ685">
        <f t="shared" si="197"/>
        <v>16.284400716555584</v>
      </c>
      <c r="AL685">
        <f t="shared" si="198"/>
        <v>0.26658217925430777</v>
      </c>
      <c r="AM685">
        <f t="shared" si="199"/>
        <v>17.069527950376514</v>
      </c>
      <c r="AO685">
        <f t="shared" si="200"/>
        <v>0.26509785766320476</v>
      </c>
      <c r="AP685">
        <f t="shared" si="201"/>
        <v>16.879971903903062</v>
      </c>
    </row>
    <row r="686" spans="1:42" x14ac:dyDescent="0.2">
      <c r="A686" s="3">
        <v>680</v>
      </c>
      <c r="B686" s="3">
        <v>5.2200000000000004E-7</v>
      </c>
      <c r="C686" s="2">
        <v>3.5610000000000003E-2</v>
      </c>
      <c r="D686" s="3">
        <v>222000</v>
      </c>
      <c r="E686" s="3">
        <v>105000000000</v>
      </c>
      <c r="F686" s="3">
        <v>95600000000</v>
      </c>
      <c r="G686" s="3">
        <v>17000000000</v>
      </c>
      <c r="H686" s="3">
        <v>9580000000</v>
      </c>
      <c r="I686" s="2"/>
      <c r="J686" s="7">
        <f t="shared" si="202"/>
        <v>0.52200000000000002</v>
      </c>
      <c r="K686" s="7">
        <f t="shared" si="203"/>
        <v>35.61</v>
      </c>
      <c r="L686" s="7">
        <f t="shared" si="204"/>
        <v>105</v>
      </c>
      <c r="M686" s="7">
        <f t="shared" si="205"/>
        <v>222</v>
      </c>
      <c r="O686">
        <f t="shared" si="206"/>
        <v>0.40169594594594593</v>
      </c>
      <c r="P686">
        <f t="shared" si="207"/>
        <v>401.69594594594594</v>
      </c>
      <c r="V686">
        <f t="shared" si="191"/>
        <v>910.37040677840048</v>
      </c>
      <c r="W686">
        <f t="shared" si="192"/>
        <v>121.92839219456226</v>
      </c>
      <c r="AE686">
        <f t="shared" si="193"/>
        <v>0.80823513339596054</v>
      </c>
      <c r="AF686">
        <f t="shared" si="194"/>
        <v>0.78942860637551204</v>
      </c>
      <c r="AG686">
        <f t="shared" si="195"/>
        <v>0.79384873234486719</v>
      </c>
      <c r="AI686">
        <f t="shared" si="196"/>
        <v>0.26910485700631515</v>
      </c>
      <c r="AJ686">
        <f t="shared" si="197"/>
        <v>17.35189926870736</v>
      </c>
      <c r="AL686">
        <f t="shared" si="198"/>
        <v>0.27551573156007542</v>
      </c>
      <c r="AM686">
        <f t="shared" si="199"/>
        <v>18.188494296765672</v>
      </c>
      <c r="AO686">
        <f t="shared" si="200"/>
        <v>0.27398166821725523</v>
      </c>
      <c r="AP686">
        <f t="shared" si="201"/>
        <v>17.986512198595012</v>
      </c>
    </row>
    <row r="687" spans="1:42" x14ac:dyDescent="0.2">
      <c r="A687" s="3">
        <v>690</v>
      </c>
      <c r="B687" s="3">
        <v>5.2300000000000001E-7</v>
      </c>
      <c r="C687" s="2">
        <v>3.5659999999999997E-2</v>
      </c>
      <c r="D687" s="3">
        <v>232000</v>
      </c>
      <c r="E687" s="3">
        <v>110000000000</v>
      </c>
      <c r="F687" s="3">
        <v>99400000000</v>
      </c>
      <c r="G687" s="2">
        <v>0</v>
      </c>
      <c r="H687" s="3">
        <v>9460000000</v>
      </c>
      <c r="I687" s="2"/>
      <c r="J687" s="7">
        <f t="shared" si="202"/>
        <v>0.52300000000000002</v>
      </c>
      <c r="K687" s="7">
        <f t="shared" si="203"/>
        <v>35.659999999999997</v>
      </c>
      <c r="L687" s="7">
        <f t="shared" si="204"/>
        <v>110</v>
      </c>
      <c r="M687" s="7">
        <f t="shared" si="205"/>
        <v>232</v>
      </c>
      <c r="O687">
        <f t="shared" si="206"/>
        <v>0.40771982758620695</v>
      </c>
      <c r="P687">
        <f t="shared" si="207"/>
        <v>407.71982758620697</v>
      </c>
      <c r="V687">
        <f t="shared" si="191"/>
        <v>916.39346356058661</v>
      </c>
      <c r="W687">
        <f t="shared" si="192"/>
        <v>126.58318136544713</v>
      </c>
      <c r="AE687">
        <f t="shared" si="193"/>
        <v>0.84464212138676953</v>
      </c>
      <c r="AF687">
        <f t="shared" si="194"/>
        <v>0.82498845350954408</v>
      </c>
      <c r="AG687">
        <f t="shared" si="195"/>
        <v>0.82960768425229359</v>
      </c>
      <c r="AI687">
        <f t="shared" si="196"/>
        <v>0.25799881529573948</v>
      </c>
      <c r="AJ687">
        <f t="shared" si="197"/>
        <v>15.910592842246134</v>
      </c>
      <c r="AL687">
        <f t="shared" si="198"/>
        <v>0.26414511104929744</v>
      </c>
      <c r="AM687">
        <f t="shared" si="199"/>
        <v>16.67769750664953</v>
      </c>
      <c r="AO687">
        <f t="shared" si="200"/>
        <v>0.26267435898098024</v>
      </c>
      <c r="AP687">
        <f t="shared" si="201"/>
        <v>16.492492712888907</v>
      </c>
    </row>
    <row r="688" spans="1:42" x14ac:dyDescent="0.2">
      <c r="A688" s="3">
        <v>690</v>
      </c>
      <c r="B688" s="3">
        <v>5.2399999999999998E-7</v>
      </c>
      <c r="C688" s="2">
        <v>3.5720000000000002E-2</v>
      </c>
      <c r="D688" s="3">
        <v>223000</v>
      </c>
      <c r="E688" s="3">
        <v>105000000000</v>
      </c>
      <c r="F688" s="3">
        <v>95700000000</v>
      </c>
      <c r="G688" s="2">
        <v>0</v>
      </c>
      <c r="H688" s="3">
        <v>9570000000</v>
      </c>
      <c r="I688" s="2"/>
      <c r="J688" s="7">
        <f t="shared" si="202"/>
        <v>0.52400000000000002</v>
      </c>
      <c r="K688" s="7">
        <f t="shared" si="203"/>
        <v>35.72</v>
      </c>
      <c r="L688" s="7">
        <f t="shared" si="204"/>
        <v>105</v>
      </c>
      <c r="M688" s="7">
        <f t="shared" si="205"/>
        <v>223</v>
      </c>
      <c r="O688">
        <f t="shared" si="206"/>
        <v>0.40386547085201796</v>
      </c>
      <c r="P688">
        <f t="shared" si="207"/>
        <v>403.86547085201795</v>
      </c>
      <c r="V688">
        <f t="shared" si="191"/>
        <v>912.54539429792806</v>
      </c>
      <c r="W688">
        <f t="shared" si="192"/>
        <v>122.18570242829745</v>
      </c>
      <c r="AE688">
        <f t="shared" si="193"/>
        <v>0.81187583219504145</v>
      </c>
      <c r="AF688">
        <f t="shared" si="194"/>
        <v>0.79298459108891517</v>
      </c>
      <c r="AG688">
        <f t="shared" si="195"/>
        <v>0.79742462753560983</v>
      </c>
      <c r="AI688">
        <f t="shared" si="196"/>
        <v>0.2689245383041306</v>
      </c>
      <c r="AJ688">
        <f t="shared" si="197"/>
        <v>17.249746502836462</v>
      </c>
      <c r="AL688">
        <f t="shared" si="198"/>
        <v>0.27533111713245412</v>
      </c>
      <c r="AM688">
        <f t="shared" si="199"/>
        <v>18.08141639303485</v>
      </c>
      <c r="AO688">
        <f t="shared" si="200"/>
        <v>0.27379808171723846</v>
      </c>
      <c r="AP688">
        <f t="shared" si="201"/>
        <v>17.880623388326807</v>
      </c>
    </row>
    <row r="689" spans="1:42" x14ac:dyDescent="0.2">
      <c r="A689" s="3">
        <v>690</v>
      </c>
      <c r="B689" s="3">
        <v>5.2399999999999998E-7</v>
      </c>
      <c r="C689" s="2">
        <v>3.5770000000000003E-2</v>
      </c>
      <c r="D689" s="3">
        <v>213000</v>
      </c>
      <c r="E689" s="3">
        <v>101000000000</v>
      </c>
      <c r="F689" s="3">
        <v>92100000000</v>
      </c>
      <c r="G689" s="3">
        <v>8830000000</v>
      </c>
      <c r="H689" s="3">
        <v>9720000000</v>
      </c>
      <c r="I689" s="2"/>
      <c r="J689" s="7">
        <f t="shared" si="202"/>
        <v>0.52400000000000002</v>
      </c>
      <c r="K689" s="7">
        <f t="shared" si="203"/>
        <v>35.770000000000003</v>
      </c>
      <c r="L689" s="7">
        <f t="shared" si="204"/>
        <v>101</v>
      </c>
      <c r="M689" s="7">
        <f t="shared" si="205"/>
        <v>213</v>
      </c>
      <c r="O689">
        <f t="shared" si="206"/>
        <v>0.39804929577464787</v>
      </c>
      <c r="P689">
        <f t="shared" si="207"/>
        <v>398.04929577464787</v>
      </c>
      <c r="V689">
        <f t="shared" si="191"/>
        <v>906.69978283322803</v>
      </c>
      <c r="W689">
        <f t="shared" si="192"/>
        <v>117.45894508457036</v>
      </c>
      <c r="AE689">
        <f t="shared" si="193"/>
        <v>0.77546884420423234</v>
      </c>
      <c r="AF689">
        <f t="shared" si="194"/>
        <v>0.75742474395488313</v>
      </c>
      <c r="AG689">
        <f t="shared" si="195"/>
        <v>0.76166567562818333</v>
      </c>
      <c r="AI689">
        <f t="shared" si="196"/>
        <v>0.2815501034827283</v>
      </c>
      <c r="AJ689">
        <f t="shared" si="197"/>
        <v>18.933928220186402</v>
      </c>
      <c r="AL689">
        <f t="shared" si="198"/>
        <v>0.2882574606597994</v>
      </c>
      <c r="AM689">
        <f t="shared" si="199"/>
        <v>19.846798331136565</v>
      </c>
      <c r="AO689">
        <f t="shared" si="200"/>
        <v>0.28665245175091164</v>
      </c>
      <c r="AP689">
        <f t="shared" si="201"/>
        <v>19.626400869780692</v>
      </c>
    </row>
    <row r="690" spans="1:42" x14ac:dyDescent="0.2">
      <c r="A690" s="3">
        <v>690</v>
      </c>
      <c r="B690" s="3">
        <v>5.2499999999999995E-7</v>
      </c>
      <c r="C690" s="2">
        <v>3.5819999999999998E-2</v>
      </c>
      <c r="D690" s="3">
        <v>221000</v>
      </c>
      <c r="E690" s="3">
        <v>104000000000</v>
      </c>
      <c r="F690" s="3">
        <v>94900000000</v>
      </c>
      <c r="G690" s="3">
        <v>11100000000</v>
      </c>
      <c r="H690" s="3">
        <v>9610000000</v>
      </c>
      <c r="I690" s="2"/>
      <c r="J690" s="7">
        <f t="shared" si="202"/>
        <v>0.52499999999999991</v>
      </c>
      <c r="K690" s="7">
        <f t="shared" si="203"/>
        <v>35.82</v>
      </c>
      <c r="L690" s="7">
        <f t="shared" si="204"/>
        <v>104</v>
      </c>
      <c r="M690" s="7">
        <f t="shared" si="205"/>
        <v>221</v>
      </c>
      <c r="O690">
        <f t="shared" si="206"/>
        <v>0.40343891402714921</v>
      </c>
      <c r="P690">
        <f t="shared" si="207"/>
        <v>403.43891402714922</v>
      </c>
      <c r="V690">
        <f t="shared" si="191"/>
        <v>912.11827836284431</v>
      </c>
      <c r="W690">
        <f t="shared" si="192"/>
        <v>121.14656905937221</v>
      </c>
      <c r="AE690">
        <f t="shared" si="193"/>
        <v>0.80459443459687963</v>
      </c>
      <c r="AF690">
        <f t="shared" si="194"/>
        <v>0.78587262166210881</v>
      </c>
      <c r="AG690">
        <f t="shared" si="195"/>
        <v>0.79027283715412455</v>
      </c>
      <c r="AI690">
        <f t="shared" si="196"/>
        <v>0.27187610377841948</v>
      </c>
      <c r="AJ690">
        <f t="shared" si="197"/>
        <v>17.612541409957188</v>
      </c>
      <c r="AL690">
        <f t="shared" si="198"/>
        <v>0.27835299763636884</v>
      </c>
      <c r="AM690">
        <f t="shared" si="199"/>
        <v>18.461702896366564</v>
      </c>
      <c r="AO690">
        <f t="shared" si="200"/>
        <v>0.27680313648099969</v>
      </c>
      <c r="AP690">
        <f t="shared" si="201"/>
        <v>18.256686833685958</v>
      </c>
    </row>
    <row r="691" spans="1:42" x14ac:dyDescent="0.2">
      <c r="A691" s="3">
        <v>690</v>
      </c>
      <c r="B691" s="3">
        <v>5.2499999999999995E-7</v>
      </c>
      <c r="C691" s="2">
        <v>3.5869999999999999E-2</v>
      </c>
      <c r="D691" s="3">
        <v>206000</v>
      </c>
      <c r="E691" s="3">
        <v>97700000000</v>
      </c>
      <c r="F691" s="3">
        <v>89500000000</v>
      </c>
      <c r="G691" s="3">
        <v>5480000000</v>
      </c>
      <c r="H691" s="3">
        <v>9810000000</v>
      </c>
      <c r="I691" s="2"/>
      <c r="J691" s="7">
        <f t="shared" si="202"/>
        <v>0.52499999999999991</v>
      </c>
      <c r="K691" s="7">
        <f t="shared" si="203"/>
        <v>35.869999999999997</v>
      </c>
      <c r="L691" s="7">
        <f t="shared" si="204"/>
        <v>97.7</v>
      </c>
      <c r="M691" s="7">
        <f t="shared" si="205"/>
        <v>206</v>
      </c>
      <c r="O691">
        <f t="shared" si="206"/>
        <v>0.39440533980582515</v>
      </c>
      <c r="P691">
        <f t="shared" si="207"/>
        <v>394.40533980582518</v>
      </c>
      <c r="V691">
        <f t="shared" si="191"/>
        <v>903.01311351475692</v>
      </c>
      <c r="W691">
        <f t="shared" si="192"/>
        <v>114.06257390781157</v>
      </c>
      <c r="AE691">
        <f t="shared" si="193"/>
        <v>0.74998395261066608</v>
      </c>
      <c r="AF691">
        <f t="shared" si="194"/>
        <v>0.73253285096106069</v>
      </c>
      <c r="AG691">
        <f t="shared" si="195"/>
        <v>0.73663440929298485</v>
      </c>
      <c r="AI691">
        <f t="shared" si="196"/>
        <v>0.29167290745160535</v>
      </c>
      <c r="AJ691">
        <f t="shared" si="197"/>
        <v>20.29915356267794</v>
      </c>
      <c r="AL691">
        <f t="shared" si="198"/>
        <v>0.29862141979435686</v>
      </c>
      <c r="AM691">
        <f t="shared" si="199"/>
        <v>21.277845905305501</v>
      </c>
      <c r="AO691">
        <f t="shared" si="200"/>
        <v>0.2969587046713637</v>
      </c>
      <c r="AP691">
        <f t="shared" si="201"/>
        <v>21.041556749623719</v>
      </c>
    </row>
    <row r="692" spans="1:42" x14ac:dyDescent="0.2">
      <c r="A692" s="3">
        <v>690</v>
      </c>
      <c r="B692" s="3">
        <v>5.2600000000000002E-7</v>
      </c>
      <c r="C692" s="2">
        <v>3.5920000000000001E-2</v>
      </c>
      <c r="D692" s="3">
        <v>211000</v>
      </c>
      <c r="E692" s="3">
        <v>99700000000</v>
      </c>
      <c r="F692" s="3">
        <v>91300000000</v>
      </c>
      <c r="G692" s="3">
        <v>1230000000</v>
      </c>
      <c r="H692" s="3">
        <v>9750000000</v>
      </c>
      <c r="I692" s="2"/>
      <c r="J692" s="7">
        <f t="shared" si="202"/>
        <v>0.52600000000000002</v>
      </c>
      <c r="K692" s="7">
        <f t="shared" si="203"/>
        <v>35.92</v>
      </c>
      <c r="L692" s="7">
        <f t="shared" si="204"/>
        <v>99.7</v>
      </c>
      <c r="M692" s="7">
        <f t="shared" si="205"/>
        <v>211</v>
      </c>
      <c r="O692">
        <f t="shared" si="206"/>
        <v>0.39832227488151661</v>
      </c>
      <c r="P692">
        <f t="shared" si="207"/>
        <v>398.32227488151659</v>
      </c>
      <c r="V692">
        <f t="shared" si="191"/>
        <v>906.97520346513909</v>
      </c>
      <c r="W692">
        <f t="shared" si="192"/>
        <v>116.32071041957109</v>
      </c>
      <c r="AE692">
        <f t="shared" si="193"/>
        <v>0.76818744660607052</v>
      </c>
      <c r="AF692">
        <f t="shared" si="194"/>
        <v>0.75031277452807676</v>
      </c>
      <c r="AG692">
        <f t="shared" si="195"/>
        <v>0.75451388524669805</v>
      </c>
      <c r="AI692">
        <f t="shared" si="196"/>
        <v>0.28530362951772659</v>
      </c>
      <c r="AJ692">
        <f t="shared" si="197"/>
        <v>19.375477329078048</v>
      </c>
      <c r="AL692">
        <f t="shared" si="198"/>
        <v>0.29210040679970517</v>
      </c>
      <c r="AM692">
        <f t="shared" si="199"/>
        <v>20.309636048463624</v>
      </c>
      <c r="AO692">
        <f t="shared" si="200"/>
        <v>0.29047400048179012</v>
      </c>
      <c r="AP692">
        <f t="shared" si="201"/>
        <v>20.084098803036955</v>
      </c>
    </row>
    <row r="693" spans="1:42" x14ac:dyDescent="0.2">
      <c r="A693" s="3">
        <v>690</v>
      </c>
      <c r="B693" s="3">
        <v>5.2600000000000002E-7</v>
      </c>
      <c r="C693" s="2">
        <v>3.5979999999999998E-2</v>
      </c>
      <c r="D693" s="3">
        <v>222000</v>
      </c>
      <c r="E693" s="3">
        <v>105000000000</v>
      </c>
      <c r="F693" s="3">
        <v>95500000000</v>
      </c>
      <c r="G693" s="3">
        <v>1770000000</v>
      </c>
      <c r="H693" s="3">
        <v>9600000000</v>
      </c>
      <c r="I693" s="2"/>
      <c r="J693" s="7">
        <f t="shared" si="202"/>
        <v>0.52600000000000002</v>
      </c>
      <c r="K693" s="7">
        <f t="shared" si="203"/>
        <v>35.979999999999997</v>
      </c>
      <c r="L693" s="7">
        <f t="shared" si="204"/>
        <v>105</v>
      </c>
      <c r="M693" s="7">
        <f t="shared" si="205"/>
        <v>222</v>
      </c>
      <c r="O693">
        <f t="shared" si="206"/>
        <v>0.40444594594594596</v>
      </c>
      <c r="P693">
        <f t="shared" si="207"/>
        <v>404.44594594594594</v>
      </c>
      <c r="V693">
        <f t="shared" si="191"/>
        <v>913.1262268328893</v>
      </c>
      <c r="W693">
        <f t="shared" si="192"/>
        <v>121.56041162566896</v>
      </c>
      <c r="AE693">
        <f t="shared" si="193"/>
        <v>0.80823513339596054</v>
      </c>
      <c r="AF693">
        <f t="shared" si="194"/>
        <v>0.78942860637551204</v>
      </c>
      <c r="AG693">
        <f t="shared" si="195"/>
        <v>0.79384873234486719</v>
      </c>
      <c r="AI693">
        <f t="shared" si="196"/>
        <v>0.27116696319027161</v>
      </c>
      <c r="AJ693">
        <f t="shared" si="197"/>
        <v>17.532191398149138</v>
      </c>
      <c r="AL693">
        <f t="shared" si="198"/>
        <v>0.27762696321953961</v>
      </c>
      <c r="AM693">
        <f t="shared" si="199"/>
        <v>18.377478932817436</v>
      </c>
      <c r="AO693">
        <f t="shared" si="200"/>
        <v>0.27608114460206173</v>
      </c>
      <c r="AP693">
        <f t="shared" si="201"/>
        <v>18.173398172014839</v>
      </c>
    </row>
    <row r="694" spans="1:42" x14ac:dyDescent="0.2">
      <c r="A694" s="3">
        <v>690</v>
      </c>
      <c r="B694" s="3">
        <v>5.2699999999999999E-7</v>
      </c>
      <c r="C694" s="2">
        <v>3.603E-2</v>
      </c>
      <c r="D694" s="3">
        <v>216000</v>
      </c>
      <c r="E694" s="3">
        <v>102000000000</v>
      </c>
      <c r="F694" s="3">
        <v>92900000000</v>
      </c>
      <c r="G694" s="3">
        <v>1350000000</v>
      </c>
      <c r="H694" s="3">
        <v>9680000000</v>
      </c>
      <c r="I694" s="2"/>
      <c r="J694" s="7">
        <f t="shared" si="202"/>
        <v>0.52700000000000002</v>
      </c>
      <c r="K694" s="7">
        <f t="shared" si="203"/>
        <v>36.03</v>
      </c>
      <c r="L694" s="7">
        <f t="shared" si="204"/>
        <v>102</v>
      </c>
      <c r="M694" s="7">
        <f t="shared" si="205"/>
        <v>216</v>
      </c>
      <c r="O694">
        <f t="shared" si="206"/>
        <v>0.40189583333333334</v>
      </c>
      <c r="P694">
        <f t="shared" si="207"/>
        <v>401.89583333333331</v>
      </c>
      <c r="V694">
        <f t="shared" si="191"/>
        <v>910.57107067191566</v>
      </c>
      <c r="W694">
        <f t="shared" si="192"/>
        <v>118.60688690703316</v>
      </c>
      <c r="AE694">
        <f t="shared" si="193"/>
        <v>0.78639094060147507</v>
      </c>
      <c r="AF694">
        <f t="shared" si="194"/>
        <v>0.76809269809509273</v>
      </c>
      <c r="AG694">
        <f t="shared" si="195"/>
        <v>0.77239336120041135</v>
      </c>
      <c r="AI694">
        <f t="shared" si="196"/>
        <v>0.27922922556226798</v>
      </c>
      <c r="AJ694">
        <f t="shared" si="197"/>
        <v>18.545466101861809</v>
      </c>
      <c r="AL694">
        <f t="shared" si="198"/>
        <v>0.28588129255480582</v>
      </c>
      <c r="AM694">
        <f t="shared" si="199"/>
        <v>19.439607111648655</v>
      </c>
      <c r="AO694">
        <f t="shared" si="200"/>
        <v>0.28428951407877068</v>
      </c>
      <c r="AP694">
        <f t="shared" si="201"/>
        <v>19.223731483465265</v>
      </c>
    </row>
    <row r="695" spans="1:42" x14ac:dyDescent="0.2">
      <c r="A695" s="3">
        <v>690</v>
      </c>
      <c r="B695" s="3">
        <v>5.2900000000000004E-7</v>
      </c>
      <c r="C695" s="2">
        <v>3.6080000000000001E-2</v>
      </c>
      <c r="D695" s="3">
        <v>216000</v>
      </c>
      <c r="E695" s="3">
        <v>101000000000</v>
      </c>
      <c r="F695" s="3">
        <v>92700000000</v>
      </c>
      <c r="G695" s="3">
        <v>4610000000</v>
      </c>
      <c r="H695" s="3">
        <v>9670000000</v>
      </c>
      <c r="I695" s="2"/>
      <c r="J695" s="7">
        <f t="shared" si="202"/>
        <v>0.52900000000000003</v>
      </c>
      <c r="K695" s="7">
        <f t="shared" si="203"/>
        <v>36.08</v>
      </c>
      <c r="L695" s="7">
        <f t="shared" si="204"/>
        <v>101</v>
      </c>
      <c r="M695" s="7">
        <f t="shared" si="205"/>
        <v>216</v>
      </c>
      <c r="O695">
        <f t="shared" si="206"/>
        <v>0.40372222222222226</v>
      </c>
      <c r="P695">
        <f t="shared" si="207"/>
        <v>403.72222222222229</v>
      </c>
      <c r="V695">
        <f t="shared" si="191"/>
        <v>912.40198593848629</v>
      </c>
      <c r="W695">
        <f t="shared" si="192"/>
        <v>118.3688787008858</v>
      </c>
      <c r="AE695">
        <f t="shared" si="193"/>
        <v>0.78639094060147507</v>
      </c>
      <c r="AF695">
        <f t="shared" si="194"/>
        <v>0.76809269809509273</v>
      </c>
      <c r="AG695">
        <f t="shared" si="195"/>
        <v>0.77239336120041135</v>
      </c>
      <c r="AI695">
        <f t="shared" si="196"/>
        <v>0.28028891901791225</v>
      </c>
      <c r="AJ695">
        <f t="shared" si="197"/>
        <v>18.571202246882432</v>
      </c>
      <c r="AL695">
        <f t="shared" si="198"/>
        <v>0.2869662310464749</v>
      </c>
      <c r="AM695">
        <f t="shared" si="199"/>
        <v>19.466584085159127</v>
      </c>
      <c r="AO695">
        <f t="shared" si="200"/>
        <v>0.28536841166540738</v>
      </c>
      <c r="AP695">
        <f t="shared" si="201"/>
        <v>19.250408879362386</v>
      </c>
    </row>
    <row r="696" spans="1:42" x14ac:dyDescent="0.2">
      <c r="A696" s="3">
        <v>690</v>
      </c>
      <c r="B696" s="3">
        <v>5.3000000000000001E-7</v>
      </c>
      <c r="C696" s="2">
        <v>3.6130000000000002E-2</v>
      </c>
      <c r="D696" s="3">
        <v>221000</v>
      </c>
      <c r="E696" s="3">
        <v>104000000000</v>
      </c>
      <c r="F696" s="3">
        <v>94700000000</v>
      </c>
      <c r="G696" s="3">
        <v>3990000000</v>
      </c>
      <c r="H696" s="3">
        <v>9580000000</v>
      </c>
      <c r="I696" s="2"/>
      <c r="J696" s="7">
        <f t="shared" si="202"/>
        <v>0.53</v>
      </c>
      <c r="K696" s="7">
        <f t="shared" si="203"/>
        <v>36.130000000000003</v>
      </c>
      <c r="L696" s="7">
        <f t="shared" si="204"/>
        <v>104</v>
      </c>
      <c r="M696" s="7">
        <f t="shared" si="205"/>
        <v>221</v>
      </c>
      <c r="O696">
        <f t="shared" si="206"/>
        <v>0.40738687782805427</v>
      </c>
      <c r="P696">
        <f t="shared" si="207"/>
        <v>407.38687782805425</v>
      </c>
      <c r="V696">
        <f t="shared" si="191"/>
        <v>916.06185862584607</v>
      </c>
      <c r="W696">
        <f t="shared" si="192"/>
        <v>120.62504181295941</v>
      </c>
      <c r="AE696">
        <f t="shared" si="193"/>
        <v>0.80459443459687963</v>
      </c>
      <c r="AF696">
        <f t="shared" si="194"/>
        <v>0.78587262166210881</v>
      </c>
      <c r="AG696">
        <f t="shared" si="195"/>
        <v>0.79027283715412455</v>
      </c>
      <c r="AI696">
        <f t="shared" si="196"/>
        <v>0.27446540000488068</v>
      </c>
      <c r="AJ696">
        <f t="shared" si="197"/>
        <v>17.764967089384513</v>
      </c>
      <c r="AL696">
        <f t="shared" si="198"/>
        <v>0.2810039785662391</v>
      </c>
      <c r="AM696">
        <f t="shared" si="199"/>
        <v>18.621477544548409</v>
      </c>
      <c r="AO696">
        <f t="shared" si="200"/>
        <v>0.27943935682843785</v>
      </c>
      <c r="AP696">
        <f t="shared" si="201"/>
        <v>18.414687194334832</v>
      </c>
    </row>
    <row r="697" spans="1:42" x14ac:dyDescent="0.2">
      <c r="A697" s="3">
        <v>700</v>
      </c>
      <c r="B697" s="3">
        <v>5.3099999999999998E-7</v>
      </c>
      <c r="C697" s="2">
        <v>3.6179999999999997E-2</v>
      </c>
      <c r="D697" s="3">
        <v>229000</v>
      </c>
      <c r="E697" s="3">
        <v>107000000000</v>
      </c>
      <c r="F697" s="3">
        <v>97400000000</v>
      </c>
      <c r="G697" s="3">
        <v>12800000000</v>
      </c>
      <c r="H697" s="3">
        <v>9490000000</v>
      </c>
      <c r="I697" s="2"/>
      <c r="J697" s="7">
        <f t="shared" si="202"/>
        <v>0.53100000000000003</v>
      </c>
      <c r="K697" s="7">
        <f t="shared" si="203"/>
        <v>36.18</v>
      </c>
      <c r="L697" s="7">
        <f t="shared" si="204"/>
        <v>107</v>
      </c>
      <c r="M697" s="7">
        <f t="shared" si="205"/>
        <v>229</v>
      </c>
      <c r="O697">
        <f t="shared" si="206"/>
        <v>0.4125065502183406</v>
      </c>
      <c r="P697">
        <f t="shared" si="207"/>
        <v>412.50655021834058</v>
      </c>
      <c r="V697">
        <f t="shared" si="191"/>
        <v>921.14427829341207</v>
      </c>
      <c r="W697">
        <f t="shared" si="192"/>
        <v>124.301917406611</v>
      </c>
      <c r="AE697">
        <f t="shared" si="193"/>
        <v>0.8337200249895268</v>
      </c>
      <c r="AF697">
        <f t="shared" si="194"/>
        <v>0.81432049936933448</v>
      </c>
      <c r="AG697">
        <f t="shared" si="195"/>
        <v>0.81887999868006567</v>
      </c>
      <c r="AI697">
        <f t="shared" si="196"/>
        <v>0.26537685718029785</v>
      </c>
      <c r="AJ697">
        <f t="shared" si="197"/>
        <v>16.568324463582144</v>
      </c>
      <c r="AL697">
        <f t="shared" si="198"/>
        <v>0.27169891973903537</v>
      </c>
      <c r="AM697">
        <f t="shared" si="199"/>
        <v>17.367140642424697</v>
      </c>
      <c r="AO697">
        <f t="shared" si="200"/>
        <v>0.27018610829013767</v>
      </c>
      <c r="AP697">
        <f t="shared" si="201"/>
        <v>17.17427962551217</v>
      </c>
    </row>
    <row r="698" spans="1:42" x14ac:dyDescent="0.2">
      <c r="A698" s="3">
        <v>700</v>
      </c>
      <c r="B698" s="3">
        <v>5.3200000000000005E-7</v>
      </c>
      <c r="C698" s="2">
        <v>3.6240000000000001E-2</v>
      </c>
      <c r="D698" s="3">
        <v>236000</v>
      </c>
      <c r="E698" s="3">
        <v>110000000000</v>
      </c>
      <c r="F698" s="3">
        <v>99700000000</v>
      </c>
      <c r="G698" s="3">
        <v>5610000000</v>
      </c>
      <c r="H698" s="3">
        <v>9410000000</v>
      </c>
      <c r="I698" s="2"/>
      <c r="J698" s="7">
        <f t="shared" si="202"/>
        <v>0.53200000000000003</v>
      </c>
      <c r="K698" s="7">
        <f t="shared" si="203"/>
        <v>36.24</v>
      </c>
      <c r="L698" s="7">
        <f t="shared" si="204"/>
        <v>110</v>
      </c>
      <c r="M698" s="7">
        <f t="shared" si="205"/>
        <v>236</v>
      </c>
      <c r="O698">
        <f t="shared" si="206"/>
        <v>0.41683050847457626</v>
      </c>
      <c r="P698">
        <f t="shared" si="207"/>
        <v>416.83050847457628</v>
      </c>
      <c r="V698">
        <f t="shared" si="191"/>
        <v>925.40947308431851</v>
      </c>
      <c r="W698">
        <f t="shared" si="192"/>
        <v>127.51112175966287</v>
      </c>
      <c r="AE698">
        <f t="shared" si="193"/>
        <v>0.85920491658309317</v>
      </c>
      <c r="AF698">
        <f t="shared" si="194"/>
        <v>0.83921239236315692</v>
      </c>
      <c r="AG698">
        <f t="shared" si="195"/>
        <v>0.84391126501526426</v>
      </c>
      <c r="AI698">
        <f t="shared" si="196"/>
        <v>0.25799045418431266</v>
      </c>
      <c r="AJ698">
        <f t="shared" si="197"/>
        <v>15.625904874554903</v>
      </c>
      <c r="AL698">
        <f t="shared" si="198"/>
        <v>0.26413655075143799</v>
      </c>
      <c r="AM698">
        <f t="shared" si="199"/>
        <v>16.379283748217457</v>
      </c>
      <c r="AO698">
        <f t="shared" si="200"/>
        <v>0.26266584634660295</v>
      </c>
      <c r="AP698">
        <f t="shared" si="201"/>
        <v>16.19739282068829</v>
      </c>
    </row>
    <row r="699" spans="1:42" x14ac:dyDescent="0.2">
      <c r="A699" s="3">
        <v>700</v>
      </c>
      <c r="B699" s="3">
        <v>5.3200000000000005E-7</v>
      </c>
      <c r="C699" s="2">
        <v>3.6290000000000003E-2</v>
      </c>
      <c r="D699" s="3">
        <v>226000</v>
      </c>
      <c r="E699" s="3">
        <v>106000000000</v>
      </c>
      <c r="F699" s="3">
        <v>96200000000</v>
      </c>
      <c r="G699" s="3">
        <v>6630000000</v>
      </c>
      <c r="H699" s="3">
        <v>9520000000</v>
      </c>
      <c r="I699" s="2"/>
      <c r="J699" s="7">
        <f t="shared" si="202"/>
        <v>0.53200000000000003</v>
      </c>
      <c r="K699" s="7">
        <f t="shared" si="203"/>
        <v>36.290000000000006</v>
      </c>
      <c r="L699" s="7">
        <f t="shared" si="204"/>
        <v>106</v>
      </c>
      <c r="M699" s="7">
        <f t="shared" si="205"/>
        <v>226</v>
      </c>
      <c r="O699">
        <f t="shared" si="206"/>
        <v>0.41156858407079644</v>
      </c>
      <c r="P699">
        <f t="shared" si="207"/>
        <v>411.56858407079642</v>
      </c>
      <c r="V699">
        <f t="shared" si="191"/>
        <v>920.21577690880554</v>
      </c>
      <c r="W699">
        <f t="shared" si="192"/>
        <v>122.79728606652485</v>
      </c>
      <c r="AE699">
        <f t="shared" si="193"/>
        <v>0.82279792859228407</v>
      </c>
      <c r="AF699">
        <f t="shared" si="194"/>
        <v>0.80365254522912477</v>
      </c>
      <c r="AG699">
        <f t="shared" si="195"/>
        <v>0.80815231310783775</v>
      </c>
      <c r="AI699">
        <f t="shared" si="196"/>
        <v>0.26940596100662739</v>
      </c>
      <c r="AJ699">
        <f t="shared" si="197"/>
        <v>17.062830751728647</v>
      </c>
      <c r="AL699">
        <f t="shared" si="198"/>
        <v>0.27582400874928925</v>
      </c>
      <c r="AM699">
        <f t="shared" si="199"/>
        <v>17.885488787626759</v>
      </c>
      <c r="AO699">
        <f t="shared" si="200"/>
        <v>0.27428822892831101</v>
      </c>
      <c r="AP699">
        <f t="shared" si="201"/>
        <v>17.686871546793629</v>
      </c>
    </row>
    <row r="700" spans="1:42" x14ac:dyDescent="0.2">
      <c r="A700" s="3">
        <v>700</v>
      </c>
      <c r="B700" s="3">
        <v>5.3300000000000002E-7</v>
      </c>
      <c r="C700" s="2">
        <v>3.6339999999999997E-2</v>
      </c>
      <c r="D700" s="3">
        <v>232000</v>
      </c>
      <c r="E700" s="3">
        <v>108000000000</v>
      </c>
      <c r="F700" s="3">
        <v>98200000000</v>
      </c>
      <c r="G700" s="3">
        <v>11700000000</v>
      </c>
      <c r="H700" s="3">
        <v>9450000000</v>
      </c>
      <c r="I700" s="2"/>
      <c r="J700" s="7">
        <f t="shared" si="202"/>
        <v>0.53300000000000003</v>
      </c>
      <c r="K700" s="7">
        <f t="shared" si="203"/>
        <v>36.339999999999996</v>
      </c>
      <c r="L700" s="7">
        <f t="shared" si="204"/>
        <v>108</v>
      </c>
      <c r="M700" s="7">
        <f t="shared" si="205"/>
        <v>232</v>
      </c>
      <c r="O700">
        <f t="shared" si="206"/>
        <v>0.41552155172413796</v>
      </c>
      <c r="P700">
        <f t="shared" si="207"/>
        <v>415.52155172413796</v>
      </c>
      <c r="V700">
        <f t="shared" si="191"/>
        <v>924.12091698631752</v>
      </c>
      <c r="W700">
        <f t="shared" si="192"/>
        <v>125.52469906026107</v>
      </c>
      <c r="AE700">
        <f t="shared" si="193"/>
        <v>0.84464212138676953</v>
      </c>
      <c r="AF700">
        <f t="shared" si="194"/>
        <v>0.82498845350954408</v>
      </c>
      <c r="AG700">
        <f t="shared" si="195"/>
        <v>0.82960768425229359</v>
      </c>
      <c r="AI700">
        <f t="shared" si="196"/>
        <v>0.26293187103753179</v>
      </c>
      <c r="AJ700">
        <f t="shared" si="197"/>
        <v>16.213991696220539</v>
      </c>
      <c r="AL700">
        <f t="shared" si="198"/>
        <v>0.26919568678637773</v>
      </c>
      <c r="AM700">
        <f t="shared" si="199"/>
        <v>16.995724267853166</v>
      </c>
      <c r="AO700">
        <f t="shared" si="200"/>
        <v>0.2676968132635994</v>
      </c>
      <c r="AP700">
        <f t="shared" si="201"/>
        <v>16.806987806684884</v>
      </c>
    </row>
    <row r="701" spans="1:42" x14ac:dyDescent="0.2">
      <c r="A701" s="3">
        <v>700</v>
      </c>
      <c r="B701" s="3">
        <v>5.3399999999999999E-7</v>
      </c>
      <c r="C701" s="2">
        <v>3.6389999999999999E-2</v>
      </c>
      <c r="D701" s="3">
        <v>247000</v>
      </c>
      <c r="E701" s="3">
        <v>115000000000</v>
      </c>
      <c r="F701" s="3">
        <v>104000000000</v>
      </c>
      <c r="G701" s="2">
        <v>0</v>
      </c>
      <c r="H701" s="3">
        <v>9280000000</v>
      </c>
      <c r="I701" s="2"/>
      <c r="J701" s="7">
        <f t="shared" si="202"/>
        <v>0.53400000000000003</v>
      </c>
      <c r="K701" s="7">
        <f t="shared" si="203"/>
        <v>36.39</v>
      </c>
      <c r="L701" s="7">
        <f t="shared" si="204"/>
        <v>115.00000000000001</v>
      </c>
      <c r="M701" s="7">
        <f t="shared" si="205"/>
        <v>247</v>
      </c>
      <c r="O701">
        <f t="shared" si="206"/>
        <v>0.42350404858299595</v>
      </c>
      <c r="P701">
        <f t="shared" si="207"/>
        <v>423.50404858299595</v>
      </c>
      <c r="V701">
        <f t="shared" si="191"/>
        <v>931.94422851339675</v>
      </c>
      <c r="W701">
        <f t="shared" si="192"/>
        <v>132.51865961657671</v>
      </c>
      <c r="AE701">
        <f t="shared" si="193"/>
        <v>0.89925260337298307</v>
      </c>
      <c r="AF701">
        <f t="shared" si="194"/>
        <v>0.8783282242105922</v>
      </c>
      <c r="AG701">
        <f t="shared" si="195"/>
        <v>0.88324611211343329</v>
      </c>
      <c r="AI701">
        <f t="shared" si="196"/>
        <v>0.24742769625067593</v>
      </c>
      <c r="AJ701">
        <f t="shared" si="197"/>
        <v>14.324159298455257</v>
      </c>
      <c r="AL701">
        <f t="shared" si="198"/>
        <v>0.25332215664591046</v>
      </c>
      <c r="AM701">
        <f t="shared" si="199"/>
        <v>15.014776519350155</v>
      </c>
      <c r="AO701">
        <f t="shared" si="200"/>
        <v>0.25191166646361057</v>
      </c>
      <c r="AP701">
        <f t="shared" si="201"/>
        <v>14.848038359749927</v>
      </c>
    </row>
    <row r="702" spans="1:42" x14ac:dyDescent="0.2">
      <c r="A702" s="3">
        <v>700</v>
      </c>
      <c r="B702" s="3">
        <v>5.3499999999999996E-7</v>
      </c>
      <c r="C702" s="2">
        <v>3.644E-2</v>
      </c>
      <c r="D702" s="3">
        <v>205000</v>
      </c>
      <c r="E702" s="3">
        <v>96100000000</v>
      </c>
      <c r="F702" s="3">
        <v>88200000000</v>
      </c>
      <c r="G702" s="3">
        <v>8530000000</v>
      </c>
      <c r="H702" s="3">
        <v>9810000000</v>
      </c>
      <c r="I702" s="2"/>
      <c r="J702" s="7">
        <f t="shared" si="202"/>
        <v>0.53499999999999992</v>
      </c>
      <c r="K702" s="7">
        <f t="shared" si="203"/>
        <v>36.44</v>
      </c>
      <c r="L702" s="7">
        <f t="shared" si="204"/>
        <v>96.100000000000009</v>
      </c>
      <c r="M702" s="7">
        <f t="shared" si="205"/>
        <v>205</v>
      </c>
      <c r="O702">
        <f t="shared" si="206"/>
        <v>0.40168292682926821</v>
      </c>
      <c r="P702">
        <f t="shared" si="207"/>
        <v>401.68292682926818</v>
      </c>
      <c r="V702">
        <f t="shared" si="191"/>
        <v>910.35733515717277</v>
      </c>
      <c r="W702">
        <f t="shared" si="192"/>
        <v>112.59315000993915</v>
      </c>
      <c r="AE702">
        <f t="shared" si="193"/>
        <v>0.74634325381158517</v>
      </c>
      <c r="AF702">
        <f t="shared" si="194"/>
        <v>0.72897686624765745</v>
      </c>
      <c r="AG702">
        <f t="shared" si="195"/>
        <v>0.73305851410224221</v>
      </c>
      <c r="AI702">
        <f t="shared" si="196"/>
        <v>0.2986784774006172</v>
      </c>
      <c r="AJ702">
        <f t="shared" si="197"/>
        <v>20.823399886294794</v>
      </c>
      <c r="AL702">
        <f t="shared" si="198"/>
        <v>0.30579388316409822</v>
      </c>
      <c r="AM702">
        <f t="shared" si="199"/>
        <v>21.827367955862901</v>
      </c>
      <c r="AO702">
        <f t="shared" si="200"/>
        <v>0.30409123197984667</v>
      </c>
      <c r="AP702">
        <f t="shared" si="201"/>
        <v>21.584976391979996</v>
      </c>
    </row>
    <row r="703" spans="1:42" x14ac:dyDescent="0.2">
      <c r="A703" s="3">
        <v>700</v>
      </c>
      <c r="B703" s="3">
        <v>5.3600000000000004E-7</v>
      </c>
      <c r="C703" s="2">
        <v>3.6490000000000002E-2</v>
      </c>
      <c r="D703" s="3">
        <v>213000</v>
      </c>
      <c r="E703" s="3">
        <v>99500000000</v>
      </c>
      <c r="F703" s="3">
        <v>91000000000</v>
      </c>
      <c r="G703" s="3">
        <v>6410000000</v>
      </c>
      <c r="H703" s="3">
        <v>9690000000</v>
      </c>
      <c r="I703" s="2"/>
      <c r="J703" s="7">
        <f t="shared" si="202"/>
        <v>0.53600000000000003</v>
      </c>
      <c r="K703" s="7">
        <f t="shared" si="203"/>
        <v>36.49</v>
      </c>
      <c r="L703" s="7">
        <f t="shared" si="204"/>
        <v>99.5</v>
      </c>
      <c r="M703" s="7">
        <f t="shared" si="205"/>
        <v>213</v>
      </c>
      <c r="O703">
        <f t="shared" si="206"/>
        <v>0.4075140845070423</v>
      </c>
      <c r="P703">
        <f t="shared" si="207"/>
        <v>407.5140845070423</v>
      </c>
      <c r="V703">
        <f t="shared" si="191"/>
        <v>916.18856931450398</v>
      </c>
      <c r="W703">
        <f t="shared" si="192"/>
        <v>116.24244567871408</v>
      </c>
      <c r="AE703">
        <f t="shared" si="193"/>
        <v>0.77546884420423234</v>
      </c>
      <c r="AF703">
        <f t="shared" si="194"/>
        <v>0.75742474395488313</v>
      </c>
      <c r="AG703">
        <f t="shared" si="195"/>
        <v>0.76166567562818333</v>
      </c>
      <c r="AI703">
        <f t="shared" si="196"/>
        <v>0.28799781577622591</v>
      </c>
      <c r="AJ703">
        <f t="shared" si="197"/>
        <v>19.315041676114113</v>
      </c>
      <c r="AL703">
        <f t="shared" si="198"/>
        <v>0.29485877655277187</v>
      </c>
      <c r="AM703">
        <f t="shared" si="199"/>
        <v>20.246286583818094</v>
      </c>
      <c r="AO703">
        <f t="shared" si="200"/>
        <v>0.29321701171467301</v>
      </c>
      <c r="AP703">
        <f t="shared" si="201"/>
        <v>20.021452830257125</v>
      </c>
    </row>
    <row r="704" spans="1:42" x14ac:dyDescent="0.2">
      <c r="A704" s="3">
        <v>700</v>
      </c>
      <c r="B704" s="3">
        <v>5.3600000000000004E-7</v>
      </c>
      <c r="C704" s="2">
        <v>3.6549999999999999E-2</v>
      </c>
      <c r="D704" s="3">
        <v>242000</v>
      </c>
      <c r="E704" s="3">
        <v>112000000000</v>
      </c>
      <c r="F704" s="3">
        <v>102000000000</v>
      </c>
      <c r="G704" s="2">
        <v>0</v>
      </c>
      <c r="H704" s="3">
        <v>9350000000</v>
      </c>
      <c r="I704" s="2"/>
      <c r="J704" s="7">
        <f t="shared" si="202"/>
        <v>0.53600000000000003</v>
      </c>
      <c r="K704" s="7">
        <f t="shared" si="203"/>
        <v>36.549999999999997</v>
      </c>
      <c r="L704" s="7">
        <f t="shared" si="204"/>
        <v>112</v>
      </c>
      <c r="M704" s="7">
        <f t="shared" si="205"/>
        <v>242</v>
      </c>
      <c r="O704">
        <f t="shared" si="206"/>
        <v>0.42272520661157031</v>
      </c>
      <c r="P704">
        <f t="shared" si="207"/>
        <v>422.72520661157034</v>
      </c>
      <c r="V704">
        <f t="shared" si="191"/>
        <v>931.18455389141445</v>
      </c>
      <c r="W704">
        <f t="shared" si="192"/>
        <v>129.94201793225818</v>
      </c>
      <c r="AE704">
        <f t="shared" si="193"/>
        <v>0.88104910937757852</v>
      </c>
      <c r="AF704">
        <f t="shared" si="194"/>
        <v>0.86054830064357613</v>
      </c>
      <c r="AG704">
        <f t="shared" si="195"/>
        <v>0.86536663615972009</v>
      </c>
      <c r="AI704">
        <f t="shared" si="196"/>
        <v>0.25348568082783524</v>
      </c>
      <c r="AJ704">
        <f t="shared" si="197"/>
        <v>14.987791484565943</v>
      </c>
      <c r="AL704">
        <f t="shared" si="198"/>
        <v>0.25952446035429927</v>
      </c>
      <c r="AM704">
        <f t="shared" si="199"/>
        <v>15.71040470651883</v>
      </c>
      <c r="AO704">
        <f t="shared" si="200"/>
        <v>0.25807943593068322</v>
      </c>
      <c r="AP704">
        <f t="shared" si="201"/>
        <v>15.535941639155565</v>
      </c>
    </row>
    <row r="705" spans="1:42" x14ac:dyDescent="0.2">
      <c r="A705" s="3">
        <v>700</v>
      </c>
      <c r="B705" s="3">
        <v>5.37E-7</v>
      </c>
      <c r="C705" s="2">
        <v>3.6600000000000001E-2</v>
      </c>
      <c r="D705" s="3">
        <v>233000</v>
      </c>
      <c r="E705" s="3">
        <v>108000000000</v>
      </c>
      <c r="F705" s="3">
        <v>98200000000</v>
      </c>
      <c r="G705" s="2">
        <v>0</v>
      </c>
      <c r="H705" s="3">
        <v>9450000000</v>
      </c>
      <c r="I705" s="2"/>
      <c r="J705" s="7">
        <f t="shared" si="202"/>
        <v>0.53700000000000003</v>
      </c>
      <c r="K705" s="7">
        <f t="shared" si="203"/>
        <v>36.6</v>
      </c>
      <c r="L705" s="7">
        <f t="shared" si="204"/>
        <v>108</v>
      </c>
      <c r="M705" s="7">
        <f t="shared" si="205"/>
        <v>233</v>
      </c>
      <c r="O705">
        <f t="shared" si="206"/>
        <v>0.41918884120171673</v>
      </c>
      <c r="P705">
        <f t="shared" si="207"/>
        <v>419.18884120171674</v>
      </c>
      <c r="V705">
        <f t="shared" si="191"/>
        <v>927.72537429636407</v>
      </c>
      <c r="W705">
        <f t="shared" si="192"/>
        <v>125.57595515629801</v>
      </c>
      <c r="AE705">
        <f t="shared" si="193"/>
        <v>0.84828282018585044</v>
      </c>
      <c r="AF705">
        <f t="shared" si="194"/>
        <v>0.82854443822294732</v>
      </c>
      <c r="AG705">
        <f t="shared" si="195"/>
        <v>0.83318357944303623</v>
      </c>
      <c r="AI705">
        <f t="shared" si="196"/>
        <v>0.26376816160320044</v>
      </c>
      <c r="AJ705">
        <f t="shared" si="197"/>
        <v>16.190126288644148</v>
      </c>
      <c r="AL705">
        <f t="shared" si="198"/>
        <v>0.27005190026970244</v>
      </c>
      <c r="AM705">
        <f t="shared" si="199"/>
        <v>16.970708226503962</v>
      </c>
      <c r="AO705">
        <f t="shared" si="200"/>
        <v>0.26854825937588889</v>
      </c>
      <c r="AP705">
        <f t="shared" si="201"/>
        <v>16.782249566919319</v>
      </c>
    </row>
    <row r="706" spans="1:42" x14ac:dyDescent="0.2">
      <c r="A706" s="3">
        <v>700</v>
      </c>
      <c r="B706" s="3">
        <v>5.3799999999999997E-7</v>
      </c>
      <c r="C706" s="2">
        <v>3.6650000000000002E-2</v>
      </c>
      <c r="D706" s="3">
        <v>223000</v>
      </c>
      <c r="E706" s="3">
        <v>104000000000</v>
      </c>
      <c r="F706" s="3">
        <v>94500000000</v>
      </c>
      <c r="G706" s="3">
        <v>933000000</v>
      </c>
      <c r="H706" s="3">
        <v>9560000000</v>
      </c>
      <c r="I706" s="2"/>
      <c r="J706" s="7">
        <f t="shared" si="202"/>
        <v>0.53799999999999992</v>
      </c>
      <c r="K706" s="7">
        <f t="shared" si="203"/>
        <v>36.65</v>
      </c>
      <c r="L706" s="7">
        <f t="shared" si="204"/>
        <v>104</v>
      </c>
      <c r="M706" s="7">
        <f t="shared" si="205"/>
        <v>223</v>
      </c>
      <c r="O706">
        <f t="shared" si="206"/>
        <v>0.41473766816143492</v>
      </c>
      <c r="P706">
        <f t="shared" si="207"/>
        <v>414.7376681614349</v>
      </c>
      <c r="V706">
        <f t="shared" si="191"/>
        <v>923.34816795919414</v>
      </c>
      <c r="W706">
        <f t="shared" si="192"/>
        <v>120.75618262874764</v>
      </c>
      <c r="AE706">
        <f t="shared" si="193"/>
        <v>0.81187583219504145</v>
      </c>
      <c r="AF706">
        <f t="shared" si="194"/>
        <v>0.79298459108891517</v>
      </c>
      <c r="AG706">
        <f t="shared" si="195"/>
        <v>0.79742462753560983</v>
      </c>
      <c r="AI706">
        <f t="shared" si="196"/>
        <v>0.27610954505271418</v>
      </c>
      <c r="AJ706">
        <f t="shared" si="197"/>
        <v>17.69885804392375</v>
      </c>
      <c r="AL706">
        <f t="shared" si="198"/>
        <v>0.28268729201767234</v>
      </c>
      <c r="AM706">
        <f t="shared" si="199"/>
        <v>18.552181153547796</v>
      </c>
      <c r="AO706">
        <f t="shared" si="200"/>
        <v>0.28111329764098142</v>
      </c>
      <c r="AP706">
        <f t="shared" si="201"/>
        <v>18.346160335447298</v>
      </c>
    </row>
    <row r="707" spans="1:42" x14ac:dyDescent="0.2">
      <c r="A707" s="3">
        <v>710</v>
      </c>
      <c r="B707" s="3">
        <v>5.3799999999999997E-7</v>
      </c>
      <c r="C707" s="2">
        <v>3.6700000000000003E-2</v>
      </c>
      <c r="D707" s="3">
        <v>248000</v>
      </c>
      <c r="E707" s="3">
        <v>115000000000</v>
      </c>
      <c r="F707" s="3">
        <v>104000000000</v>
      </c>
      <c r="G707" s="3">
        <v>271000000</v>
      </c>
      <c r="H707" s="3">
        <v>9290000000</v>
      </c>
      <c r="I707" s="2"/>
      <c r="J707" s="7">
        <f t="shared" si="202"/>
        <v>0.53799999999999992</v>
      </c>
      <c r="K707" s="7">
        <f t="shared" si="203"/>
        <v>36.700000000000003</v>
      </c>
      <c r="L707" s="7">
        <f t="shared" si="204"/>
        <v>115.00000000000001</v>
      </c>
      <c r="M707" s="7">
        <f t="shared" si="205"/>
        <v>248</v>
      </c>
      <c r="O707">
        <f t="shared" si="206"/>
        <v>0.42701209677419344</v>
      </c>
      <c r="P707">
        <f t="shared" si="207"/>
        <v>427.01209677419342</v>
      </c>
      <c r="V707">
        <f t="shared" si="191"/>
        <v>935.35633462720091</v>
      </c>
      <c r="W707">
        <f t="shared" si="192"/>
        <v>132.56979763698496</v>
      </c>
      <c r="AE707">
        <f t="shared" si="193"/>
        <v>0.90289330217206398</v>
      </c>
      <c r="AF707">
        <f t="shared" si="194"/>
        <v>0.88188420892399533</v>
      </c>
      <c r="AG707">
        <f t="shared" si="195"/>
        <v>0.88682200730417593</v>
      </c>
      <c r="AI707">
        <f t="shared" si="196"/>
        <v>0.24827592155949704</v>
      </c>
      <c r="AJ707">
        <f t="shared" si="197"/>
        <v>14.329917684189102</v>
      </c>
      <c r="AL707">
        <f t="shared" si="198"/>
        <v>0.25419058919331017</v>
      </c>
      <c r="AM707">
        <f t="shared" si="199"/>
        <v>15.020812536759939</v>
      </c>
      <c r="AO707">
        <f t="shared" si="200"/>
        <v>0.25277526360459218</v>
      </c>
      <c r="AP707">
        <f t="shared" si="201"/>
        <v>14.854007347561703</v>
      </c>
    </row>
    <row r="708" spans="1:42" x14ac:dyDescent="0.2">
      <c r="A708" s="3">
        <v>710</v>
      </c>
      <c r="B708" s="3">
        <v>5.3900000000000005E-7</v>
      </c>
      <c r="C708" s="2">
        <v>3.6760000000000001E-2</v>
      </c>
      <c r="D708" s="3">
        <v>223000</v>
      </c>
      <c r="E708" s="3">
        <v>104000000000</v>
      </c>
      <c r="F708" s="3">
        <v>94500000000</v>
      </c>
      <c r="G708" s="2">
        <v>0</v>
      </c>
      <c r="H708" s="3">
        <v>9580000000</v>
      </c>
      <c r="I708" s="2"/>
      <c r="J708" s="7">
        <f t="shared" si="202"/>
        <v>0.53900000000000003</v>
      </c>
      <c r="K708" s="7">
        <f t="shared" si="203"/>
        <v>36.76</v>
      </c>
      <c r="L708" s="7">
        <f t="shared" si="204"/>
        <v>104</v>
      </c>
      <c r="M708" s="7">
        <f t="shared" si="205"/>
        <v>223</v>
      </c>
      <c r="O708">
        <f t="shared" si="206"/>
        <v>0.41536771300448438</v>
      </c>
      <c r="P708">
        <f t="shared" si="207"/>
        <v>415.36771300448436</v>
      </c>
      <c r="V708">
        <f t="shared" si="191"/>
        <v>923.9693275213192</v>
      </c>
      <c r="W708">
        <f t="shared" si="192"/>
        <v>120.67500151667892</v>
      </c>
      <c r="AE708">
        <f t="shared" si="193"/>
        <v>0.81187583219504145</v>
      </c>
      <c r="AF708">
        <f t="shared" si="194"/>
        <v>0.79298459108891517</v>
      </c>
      <c r="AG708">
        <f t="shared" si="195"/>
        <v>0.79742462753560983</v>
      </c>
      <c r="AI708">
        <f t="shared" si="196"/>
        <v>0.27662275982047024</v>
      </c>
      <c r="AJ708">
        <f t="shared" si="197"/>
        <v>17.7519787638373</v>
      </c>
      <c r="AL708">
        <f t="shared" si="198"/>
        <v>0.28321273308090228</v>
      </c>
      <c r="AM708">
        <f t="shared" si="199"/>
        <v>18.607863006941802</v>
      </c>
      <c r="AO708">
        <f t="shared" si="200"/>
        <v>0.28163581306410601</v>
      </c>
      <c r="AP708">
        <f t="shared" si="201"/>
        <v>18.401223845321766</v>
      </c>
    </row>
    <row r="709" spans="1:42" x14ac:dyDescent="0.2">
      <c r="A709" s="3">
        <v>710</v>
      </c>
      <c r="B709" s="3">
        <v>5.3900000000000005E-7</v>
      </c>
      <c r="C709" s="2">
        <v>3.6810000000000002E-2</v>
      </c>
      <c r="D709" s="3">
        <v>225000</v>
      </c>
      <c r="E709" s="3">
        <v>105000000000</v>
      </c>
      <c r="F709" s="3">
        <v>95400000000</v>
      </c>
      <c r="G709" s="2">
        <v>0</v>
      </c>
      <c r="H709" s="3">
        <v>9540000000</v>
      </c>
      <c r="I709" s="2"/>
      <c r="J709" s="7">
        <f t="shared" si="202"/>
        <v>0.53900000000000003</v>
      </c>
      <c r="K709" s="7">
        <f t="shared" si="203"/>
        <v>36.81</v>
      </c>
      <c r="L709" s="7">
        <f t="shared" si="204"/>
        <v>105</v>
      </c>
      <c r="M709" s="7">
        <f t="shared" si="205"/>
        <v>225</v>
      </c>
      <c r="O709">
        <f t="shared" si="206"/>
        <v>0.4163</v>
      </c>
      <c r="P709">
        <f t="shared" si="207"/>
        <v>416.3</v>
      </c>
      <c r="V709">
        <f t="shared" ref="V709:V772" si="208">$S$3*(P709^$S$4)</f>
        <v>924.88750480989484</v>
      </c>
      <c r="W709">
        <f t="shared" ref="W709:W772" si="209">M709/(2*(V709/1000))</f>
        <v>121.63641460711885</v>
      </c>
      <c r="AE709">
        <f t="shared" si="193"/>
        <v>0.81915722979320327</v>
      </c>
      <c r="AF709">
        <f t="shared" si="194"/>
        <v>0.80009656051572164</v>
      </c>
      <c r="AG709">
        <f t="shared" si="195"/>
        <v>0.80457641791709511</v>
      </c>
      <c r="AI709">
        <f t="shared" si="196"/>
        <v>0.27416389084428827</v>
      </c>
      <c r="AJ709">
        <f t="shared" si="197"/>
        <v>17.461509086991551</v>
      </c>
      <c r="AL709">
        <f t="shared" si="198"/>
        <v>0.28069528656462756</v>
      </c>
      <c r="AM709">
        <f t="shared" si="199"/>
        <v>18.303388783176562</v>
      </c>
      <c r="AO709">
        <f t="shared" si="200"/>
        <v>0.27913238361464726</v>
      </c>
      <c r="AP709">
        <f t="shared" si="201"/>
        <v>18.100130788878662</v>
      </c>
    </row>
    <row r="710" spans="1:42" x14ac:dyDescent="0.2">
      <c r="A710" s="3">
        <v>710</v>
      </c>
      <c r="B710" s="3">
        <v>5.4000000000000002E-7</v>
      </c>
      <c r="C710" s="2">
        <v>3.6859999999999997E-2</v>
      </c>
      <c r="D710" s="3">
        <v>225000</v>
      </c>
      <c r="E710" s="3">
        <v>104000000000</v>
      </c>
      <c r="F710" s="3">
        <v>95100000000</v>
      </c>
      <c r="G710" s="3">
        <v>16700000000</v>
      </c>
      <c r="H710" s="3">
        <v>9560000000</v>
      </c>
      <c r="I710" s="2"/>
      <c r="J710" s="7">
        <f t="shared" si="202"/>
        <v>0.54</v>
      </c>
      <c r="K710" s="7">
        <f t="shared" si="203"/>
        <v>36.86</v>
      </c>
      <c r="L710" s="7">
        <f t="shared" si="204"/>
        <v>104</v>
      </c>
      <c r="M710" s="7">
        <f t="shared" si="205"/>
        <v>225</v>
      </c>
      <c r="O710">
        <f t="shared" si="206"/>
        <v>0.41713333333333336</v>
      </c>
      <c r="P710">
        <f t="shared" si="207"/>
        <v>417.13333333333338</v>
      </c>
      <c r="V710">
        <f t="shared" si="208"/>
        <v>925.7072571506518</v>
      </c>
      <c r="W710">
        <f t="shared" si="209"/>
        <v>121.52870049466564</v>
      </c>
      <c r="AE710">
        <f t="shared" si="193"/>
        <v>0.81915722979320327</v>
      </c>
      <c r="AF710">
        <f t="shared" si="194"/>
        <v>0.80009656051572164</v>
      </c>
      <c r="AG710">
        <f t="shared" si="195"/>
        <v>0.80457641791709511</v>
      </c>
      <c r="AI710">
        <f t="shared" si="196"/>
        <v>0.27467254370299754</v>
      </c>
      <c r="AJ710">
        <f t="shared" si="197"/>
        <v>17.48522751824256</v>
      </c>
      <c r="AL710">
        <f t="shared" si="198"/>
        <v>0.28121605704062874</v>
      </c>
      <c r="AM710">
        <f t="shared" si="199"/>
        <v>18.328250761963815</v>
      </c>
      <c r="AO710">
        <f t="shared" si="200"/>
        <v>0.27965025445623287</v>
      </c>
      <c r="AP710">
        <f t="shared" si="201"/>
        <v>18.124716676937446</v>
      </c>
    </row>
    <row r="711" spans="1:42" x14ac:dyDescent="0.2">
      <c r="A711" s="3">
        <v>710</v>
      </c>
      <c r="B711" s="3">
        <v>5.4099999999999999E-7</v>
      </c>
      <c r="C711" s="2">
        <v>3.6909999999999998E-2</v>
      </c>
      <c r="D711" s="3">
        <v>220000</v>
      </c>
      <c r="E711" s="3">
        <v>102000000000</v>
      </c>
      <c r="F711" s="3">
        <v>93300000000</v>
      </c>
      <c r="G711" s="3">
        <v>4920000000</v>
      </c>
      <c r="H711" s="3">
        <v>9620000000</v>
      </c>
      <c r="I711" s="2"/>
      <c r="J711" s="7">
        <f t="shared" si="202"/>
        <v>0.54100000000000004</v>
      </c>
      <c r="K711" s="7">
        <f t="shared" si="203"/>
        <v>36.909999999999997</v>
      </c>
      <c r="L711" s="7">
        <f t="shared" si="204"/>
        <v>102</v>
      </c>
      <c r="M711" s="7">
        <f t="shared" si="205"/>
        <v>220</v>
      </c>
      <c r="O711">
        <f t="shared" si="206"/>
        <v>0.41517045454545459</v>
      </c>
      <c r="P711">
        <f t="shared" si="207"/>
        <v>415.17045454545462</v>
      </c>
      <c r="V711">
        <f t="shared" si="208"/>
        <v>923.77490738825861</v>
      </c>
      <c r="W711">
        <f t="shared" si="209"/>
        <v>119.07662691444754</v>
      </c>
      <c r="AE711">
        <f t="shared" si="193"/>
        <v>0.80095373579779872</v>
      </c>
      <c r="AF711">
        <f t="shared" si="194"/>
        <v>0.78231663694870557</v>
      </c>
      <c r="AG711">
        <f t="shared" si="195"/>
        <v>0.78669694196338191</v>
      </c>
      <c r="AI711">
        <f t="shared" si="196"/>
        <v>0.28143531466538196</v>
      </c>
      <c r="AJ711">
        <f t="shared" si="197"/>
        <v>18.31385100605603</v>
      </c>
      <c r="AL711">
        <f t="shared" si="198"/>
        <v>0.28813993723291692</v>
      </c>
      <c r="AM711">
        <f t="shared" si="199"/>
        <v>19.196825051663694</v>
      </c>
      <c r="AO711">
        <f t="shared" si="200"/>
        <v>0.28653558269095075</v>
      </c>
      <c r="AP711">
        <f t="shared" si="201"/>
        <v>18.983645503159799</v>
      </c>
    </row>
    <row r="712" spans="1:42" x14ac:dyDescent="0.2">
      <c r="A712" s="3">
        <v>710</v>
      </c>
      <c r="B712" s="3">
        <v>5.4099999999999999E-7</v>
      </c>
      <c r="C712" s="2">
        <v>3.696E-2</v>
      </c>
      <c r="D712" s="3">
        <v>236000</v>
      </c>
      <c r="E712" s="3">
        <v>109000000000</v>
      </c>
      <c r="F712" s="3">
        <v>98900000000</v>
      </c>
      <c r="G712" s="2">
        <v>0</v>
      </c>
      <c r="H712" s="3">
        <v>9440000000</v>
      </c>
      <c r="I712" s="2"/>
      <c r="J712" s="7">
        <f t="shared" si="202"/>
        <v>0.54100000000000004</v>
      </c>
      <c r="K712" s="7">
        <f t="shared" si="203"/>
        <v>36.96</v>
      </c>
      <c r="L712" s="7">
        <f t="shared" si="204"/>
        <v>109</v>
      </c>
      <c r="M712" s="7">
        <f t="shared" si="205"/>
        <v>236</v>
      </c>
      <c r="O712">
        <f t="shared" si="206"/>
        <v>0.42354237288135599</v>
      </c>
      <c r="P712">
        <f t="shared" si="207"/>
        <v>423.54237288135602</v>
      </c>
      <c r="V712">
        <f t="shared" si="208"/>
        <v>931.98158955344377</v>
      </c>
      <c r="W712">
        <f t="shared" si="209"/>
        <v>126.61194311417606</v>
      </c>
      <c r="AE712">
        <f t="shared" si="193"/>
        <v>0.85920491658309317</v>
      </c>
      <c r="AF712">
        <f t="shared" si="194"/>
        <v>0.83921239236315692</v>
      </c>
      <c r="AG712">
        <f t="shared" si="195"/>
        <v>0.84391126501526426</v>
      </c>
      <c r="AI712">
        <f t="shared" si="196"/>
        <v>0.26235495434908485</v>
      </c>
      <c r="AJ712">
        <f t="shared" si="197"/>
        <v>15.936353315771225</v>
      </c>
      <c r="AL712">
        <f t="shared" si="198"/>
        <v>0.26860502623407512</v>
      </c>
      <c r="AM712">
        <f t="shared" si="199"/>
        <v>16.704699981625748</v>
      </c>
      <c r="AO712">
        <f t="shared" si="200"/>
        <v>0.26710944149156424</v>
      </c>
      <c r="AP712">
        <f t="shared" si="201"/>
        <v>16.519195327059577</v>
      </c>
    </row>
    <row r="713" spans="1:42" x14ac:dyDescent="0.2">
      <c r="A713" s="3">
        <v>710</v>
      </c>
      <c r="B713" s="3">
        <v>5.4199999999999996E-7</v>
      </c>
      <c r="C713" s="2">
        <v>3.7019999999999997E-2</v>
      </c>
      <c r="D713" s="3">
        <v>217000</v>
      </c>
      <c r="E713" s="3">
        <v>101000000000</v>
      </c>
      <c r="F713" s="3">
        <v>92200000000</v>
      </c>
      <c r="G713" s="3">
        <v>8530000000</v>
      </c>
      <c r="H713" s="3">
        <v>9670000000</v>
      </c>
      <c r="I713" s="2"/>
      <c r="J713" s="7">
        <f t="shared" si="202"/>
        <v>0.54199999999999993</v>
      </c>
      <c r="K713" s="7">
        <f t="shared" si="203"/>
        <v>37.019999999999996</v>
      </c>
      <c r="L713" s="7">
        <f t="shared" si="204"/>
        <v>101</v>
      </c>
      <c r="M713" s="7">
        <f t="shared" si="205"/>
        <v>217</v>
      </c>
      <c r="O713">
        <f t="shared" si="206"/>
        <v>0.41405069124423954</v>
      </c>
      <c r="P713">
        <f t="shared" si="207"/>
        <v>414.05069124423954</v>
      </c>
      <c r="V713">
        <f t="shared" si="208"/>
        <v>922.67027995058652</v>
      </c>
      <c r="W713">
        <f t="shared" si="209"/>
        <v>117.59347012435548</v>
      </c>
      <c r="AE713">
        <f t="shared" si="193"/>
        <v>0.79003163940055599</v>
      </c>
      <c r="AF713">
        <f t="shared" si="194"/>
        <v>0.77164868280849597</v>
      </c>
      <c r="AG713">
        <f t="shared" si="195"/>
        <v>0.77596925639115399</v>
      </c>
      <c r="AI713">
        <f t="shared" si="196"/>
        <v>0.28585353050503964</v>
      </c>
      <c r="AJ713">
        <f t="shared" si="197"/>
        <v>18.87982392859676</v>
      </c>
      <c r="AL713">
        <f t="shared" si="198"/>
        <v>0.29266340805687546</v>
      </c>
      <c r="AM713">
        <f t="shared" si="199"/>
        <v>19.790085484676958</v>
      </c>
      <c r="AO713">
        <f t="shared" si="200"/>
        <v>0.29103386696481987</v>
      </c>
      <c r="AP713">
        <f t="shared" si="201"/>
        <v>19.570317815954503</v>
      </c>
    </row>
    <row r="714" spans="1:42" x14ac:dyDescent="0.2">
      <c r="A714" s="3">
        <v>710</v>
      </c>
      <c r="B714" s="3">
        <v>5.4199999999999996E-7</v>
      </c>
      <c r="C714" s="2">
        <v>3.7069999999999999E-2</v>
      </c>
      <c r="D714" s="3">
        <v>218000</v>
      </c>
      <c r="E714" s="3">
        <v>101000000000</v>
      </c>
      <c r="F714" s="3">
        <v>92500000000</v>
      </c>
      <c r="G714" s="2">
        <v>0</v>
      </c>
      <c r="H714" s="3">
        <v>9660000000</v>
      </c>
      <c r="I714" s="2"/>
      <c r="J714" s="7">
        <f t="shared" si="202"/>
        <v>0.54199999999999993</v>
      </c>
      <c r="K714" s="7">
        <f t="shared" si="203"/>
        <v>37.07</v>
      </c>
      <c r="L714" s="7">
        <f t="shared" si="204"/>
        <v>101</v>
      </c>
      <c r="M714" s="7">
        <f t="shared" si="205"/>
        <v>218</v>
      </c>
      <c r="O714">
        <f t="shared" si="206"/>
        <v>0.41446559633027513</v>
      </c>
      <c r="P714">
        <f t="shared" si="207"/>
        <v>414.4655963302751</v>
      </c>
      <c r="V714">
        <f t="shared" si="208"/>
        <v>923.07977057147161</v>
      </c>
      <c r="W714">
        <f t="shared" si="209"/>
        <v>118.08296907267173</v>
      </c>
      <c r="AE714">
        <f t="shared" si="193"/>
        <v>0.7936723381996369</v>
      </c>
      <c r="AF714">
        <f t="shared" si="194"/>
        <v>0.7752046675218992</v>
      </c>
      <c r="AG714">
        <f t="shared" si="195"/>
        <v>0.77954515158189663</v>
      </c>
      <c r="AI714">
        <f t="shared" si="196"/>
        <v>0.28454227577795227</v>
      </c>
      <c r="AJ714">
        <f t="shared" si="197"/>
        <v>18.732277892344399</v>
      </c>
      <c r="AL714">
        <f t="shared" si="198"/>
        <v>0.29132091535936688</v>
      </c>
      <c r="AM714">
        <f t="shared" si="199"/>
        <v>19.635425744130508</v>
      </c>
      <c r="AO714">
        <f t="shared" si="200"/>
        <v>0.28969884922644917</v>
      </c>
      <c r="AP714">
        <f t="shared" si="201"/>
        <v>19.417375562209781</v>
      </c>
    </row>
    <row r="715" spans="1:42" x14ac:dyDescent="0.2">
      <c r="A715" s="3">
        <v>710</v>
      </c>
      <c r="B715" s="3">
        <v>5.4300000000000003E-7</v>
      </c>
      <c r="C715" s="2">
        <v>3.712E-2</v>
      </c>
      <c r="D715" s="3">
        <v>215000</v>
      </c>
      <c r="E715" s="3">
        <v>99900000000</v>
      </c>
      <c r="F715" s="3">
        <v>91400000000</v>
      </c>
      <c r="G715" s="3">
        <v>5850000000</v>
      </c>
      <c r="H715" s="3">
        <v>9710000000</v>
      </c>
      <c r="I715" s="2"/>
      <c r="J715" s="7">
        <f t="shared" si="202"/>
        <v>0.54300000000000004</v>
      </c>
      <c r="K715" s="7">
        <f t="shared" si="203"/>
        <v>37.119999999999997</v>
      </c>
      <c r="L715" s="7">
        <f t="shared" si="204"/>
        <v>99.9</v>
      </c>
      <c r="M715" s="7">
        <f t="shared" si="205"/>
        <v>215</v>
      </c>
      <c r="O715">
        <f t="shared" si="206"/>
        <v>0.41351162790697682</v>
      </c>
      <c r="P715">
        <f t="shared" si="207"/>
        <v>413.5116279069768</v>
      </c>
      <c r="V715">
        <f t="shared" si="208"/>
        <v>922.13790981148975</v>
      </c>
      <c r="W715">
        <f t="shared" si="209"/>
        <v>116.57692288345019</v>
      </c>
      <c r="AE715">
        <f t="shared" si="193"/>
        <v>0.78275024180239416</v>
      </c>
      <c r="AF715">
        <f t="shared" si="194"/>
        <v>0.76453671338168949</v>
      </c>
      <c r="AG715">
        <f t="shared" si="195"/>
        <v>0.76881746600966872</v>
      </c>
      <c r="AI715">
        <f t="shared" si="196"/>
        <v>0.28904494424559629</v>
      </c>
      <c r="AJ715">
        <f t="shared" si="197"/>
        <v>19.284662415096971</v>
      </c>
      <c r="AL715">
        <f t="shared" si="198"/>
        <v>0.29593085072298725</v>
      </c>
      <c r="AM715">
        <f t="shared" si="199"/>
        <v>20.21444263364333</v>
      </c>
      <c r="AO715">
        <f t="shared" si="200"/>
        <v>0.29428311660801248</v>
      </c>
      <c r="AP715">
        <f t="shared" si="201"/>
        <v>19.989962505168926</v>
      </c>
    </row>
    <row r="716" spans="1:42" x14ac:dyDescent="0.2">
      <c r="A716" s="3">
        <v>710</v>
      </c>
      <c r="B716" s="3">
        <v>5.44E-7</v>
      </c>
      <c r="C716" s="2">
        <v>3.7170000000000002E-2</v>
      </c>
      <c r="D716" s="3">
        <v>207000</v>
      </c>
      <c r="E716" s="3">
        <v>96300000000</v>
      </c>
      <c r="F716" s="3">
        <v>88400000000</v>
      </c>
      <c r="G716" s="3">
        <v>11200000000</v>
      </c>
      <c r="H716" s="3">
        <v>9830000000</v>
      </c>
      <c r="I716" s="2"/>
      <c r="J716" s="7">
        <f t="shared" si="202"/>
        <v>0.54400000000000004</v>
      </c>
      <c r="K716" s="7">
        <f t="shared" si="203"/>
        <v>37.17</v>
      </c>
      <c r="L716" s="7">
        <f t="shared" si="204"/>
        <v>96.300000000000011</v>
      </c>
      <c r="M716" s="7">
        <f t="shared" si="205"/>
        <v>207</v>
      </c>
      <c r="O716">
        <f t="shared" si="206"/>
        <v>0.40932608695652178</v>
      </c>
      <c r="P716">
        <f t="shared" si="207"/>
        <v>409.32608695652181</v>
      </c>
      <c r="V716">
        <f t="shared" si="208"/>
        <v>917.99111996898637</v>
      </c>
      <c r="W716">
        <f t="shared" si="209"/>
        <v>112.7461886597516</v>
      </c>
      <c r="AE716">
        <f t="shared" si="193"/>
        <v>0.75362465140974699</v>
      </c>
      <c r="AF716">
        <f t="shared" si="194"/>
        <v>0.73608883567446393</v>
      </c>
      <c r="AG716">
        <f t="shared" si="195"/>
        <v>0.74021030448372749</v>
      </c>
      <c r="AI716">
        <f t="shared" si="196"/>
        <v>0.30076864688895061</v>
      </c>
      <c r="AJ716">
        <f t="shared" si="197"/>
        <v>20.832090964081765</v>
      </c>
      <c r="AL716">
        <f t="shared" si="198"/>
        <v>0.3079338466789493</v>
      </c>
      <c r="AM716">
        <f t="shared" si="199"/>
        <v>21.836478060544412</v>
      </c>
      <c r="AO716">
        <f t="shared" si="200"/>
        <v>0.30621928024192974</v>
      </c>
      <c r="AP716">
        <f t="shared" si="201"/>
        <v>21.593985329515508</v>
      </c>
    </row>
    <row r="717" spans="1:42" x14ac:dyDescent="0.2">
      <c r="A717" s="3">
        <v>720</v>
      </c>
      <c r="B717" s="3">
        <v>5.44E-7</v>
      </c>
      <c r="C717" s="2">
        <v>3.7220000000000003E-2</v>
      </c>
      <c r="D717" s="3">
        <v>212000</v>
      </c>
      <c r="E717" s="3">
        <v>98600000000</v>
      </c>
      <c r="F717" s="3">
        <v>90300000000</v>
      </c>
      <c r="G717" s="3">
        <v>3880000000</v>
      </c>
      <c r="H717" s="3">
        <v>9750000000</v>
      </c>
      <c r="I717" s="2"/>
      <c r="J717" s="7">
        <f t="shared" si="202"/>
        <v>0.54400000000000004</v>
      </c>
      <c r="K717" s="7">
        <f t="shared" si="203"/>
        <v>37.220000000000006</v>
      </c>
      <c r="L717" s="7">
        <f t="shared" si="204"/>
        <v>98.600000000000009</v>
      </c>
      <c r="M717" s="7">
        <f t="shared" si="205"/>
        <v>212</v>
      </c>
      <c r="O717">
        <f t="shared" si="206"/>
        <v>0.41232547169811323</v>
      </c>
      <c r="P717">
        <f t="shared" si="207"/>
        <v>412.32547169811323</v>
      </c>
      <c r="V717">
        <f t="shared" si="208"/>
        <v>920.96511865379125</v>
      </c>
      <c r="W717">
        <f t="shared" si="209"/>
        <v>115.0966500826265</v>
      </c>
      <c r="AE717">
        <f t="shared" ref="AE717:AE780" si="210">M717/(2*$Y$5)</f>
        <v>0.77182814540515143</v>
      </c>
      <c r="AF717">
        <f t="shared" ref="AF717:AF780" si="211">M717/(2*$Y$8)</f>
        <v>0.75386875924147989</v>
      </c>
      <c r="AG717">
        <f t="shared" ref="AG717:AG780" si="212">M717/(2*$Y$11)</f>
        <v>0.75808978043744069</v>
      </c>
      <c r="AI717">
        <f t="shared" ref="AI717:AI780" si="213">J717/(2.4*AE717)</f>
        <v>0.29367504672647538</v>
      </c>
      <c r="AJ717">
        <f t="shared" ref="AJ717:AJ780" si="214">K717/(3.14159*(AE717^2))</f>
        <v>19.887749450472192</v>
      </c>
      <c r="AL717">
        <f t="shared" ref="AL717:AL780" si="215">J717/(2.4*AF717)</f>
        <v>0.30067125595538924</v>
      </c>
      <c r="AM717">
        <f t="shared" ref="AM717:AM780" si="216">K717/(3.14159*(AF717^2))</f>
        <v>20.846606579128977</v>
      </c>
      <c r="AO717">
        <f t="shared" ref="AO717:AO780" si="217">J717/(2.4*AG717)</f>
        <v>0.29899712740603518</v>
      </c>
      <c r="AP717">
        <f t="shared" ref="AP717:AP780" si="218">K717/(3.14159*(AG717^2))</f>
        <v>20.615106309349109</v>
      </c>
    </row>
    <row r="718" spans="1:42" x14ac:dyDescent="0.2">
      <c r="A718" s="3">
        <v>720</v>
      </c>
      <c r="B718" s="3">
        <v>5.4499999999999997E-7</v>
      </c>
      <c r="C718" s="2">
        <v>3.7280000000000001E-2</v>
      </c>
      <c r="D718" s="3">
        <v>212000</v>
      </c>
      <c r="E718" s="3">
        <v>98400000000</v>
      </c>
      <c r="F718" s="3">
        <v>90200000000</v>
      </c>
      <c r="G718" s="3">
        <v>9190000000</v>
      </c>
      <c r="H718" s="3">
        <v>9760000000</v>
      </c>
      <c r="I718" s="2"/>
      <c r="J718" s="7">
        <f t="shared" ref="J718:J781" si="219">B718*(10^6)</f>
        <v>0.54499999999999993</v>
      </c>
      <c r="K718" s="7">
        <f t="shared" ref="K718:K781" si="220">C718*1000</f>
        <v>37.28</v>
      </c>
      <c r="L718" s="7">
        <f t="shared" ref="L718:L781" si="221">E718*(10^-9)</f>
        <v>98.4</v>
      </c>
      <c r="M718" s="7">
        <f t="shared" ref="M718:M781" si="222">D718*(10^-3)</f>
        <v>212</v>
      </c>
      <c r="O718">
        <f t="shared" ref="O718:O781" si="223">J718-(0.75*(K718/M718))</f>
        <v>0.41311320754716974</v>
      </c>
      <c r="P718">
        <f t="shared" ref="P718:P781" si="224">O718*1000</f>
        <v>413.11320754716974</v>
      </c>
      <c r="V718">
        <f t="shared" si="208"/>
        <v>921.7441879029717</v>
      </c>
      <c r="W718">
        <f t="shared" si="209"/>
        <v>114.9993690127376</v>
      </c>
      <c r="AE718">
        <f t="shared" si="210"/>
        <v>0.77182814540515143</v>
      </c>
      <c r="AF718">
        <f t="shared" si="211"/>
        <v>0.75386875924147989</v>
      </c>
      <c r="AG718">
        <f t="shared" si="212"/>
        <v>0.75808978043744069</v>
      </c>
      <c r="AI718">
        <f t="shared" si="213"/>
        <v>0.2942148905623696</v>
      </c>
      <c r="AJ718">
        <f t="shared" si="214"/>
        <v>19.919809229274669</v>
      </c>
      <c r="AL718">
        <f t="shared" si="215"/>
        <v>0.30122396047001304</v>
      </c>
      <c r="AM718">
        <f t="shared" si="216"/>
        <v>20.880212070659006</v>
      </c>
      <c r="AO718">
        <f t="shared" si="217"/>
        <v>0.29954675447847268</v>
      </c>
      <c r="AP718">
        <f t="shared" si="218"/>
        <v>20.648338613985349</v>
      </c>
    </row>
    <row r="719" spans="1:42" x14ac:dyDescent="0.2">
      <c r="A719" s="3">
        <v>720</v>
      </c>
      <c r="B719" s="3">
        <v>5.4600000000000005E-7</v>
      </c>
      <c r="C719" s="2">
        <v>3.7330000000000002E-2</v>
      </c>
      <c r="D719" s="3">
        <v>242000</v>
      </c>
      <c r="E719" s="3">
        <v>111000000000</v>
      </c>
      <c r="F719" s="3">
        <v>101000000000</v>
      </c>
      <c r="G719" s="2">
        <v>0</v>
      </c>
      <c r="H719" s="3">
        <v>9390000000</v>
      </c>
      <c r="I719" s="2"/>
      <c r="J719" s="7">
        <f t="shared" si="219"/>
        <v>0.54600000000000004</v>
      </c>
      <c r="K719" s="7">
        <f t="shared" si="220"/>
        <v>37.330000000000005</v>
      </c>
      <c r="L719" s="7">
        <f t="shared" si="221"/>
        <v>111</v>
      </c>
      <c r="M719" s="7">
        <f t="shared" si="222"/>
        <v>242</v>
      </c>
      <c r="O719">
        <f t="shared" si="223"/>
        <v>0.43030785123966941</v>
      </c>
      <c r="P719">
        <f t="shared" si="224"/>
        <v>430.30785123966939</v>
      </c>
      <c r="V719">
        <f t="shared" si="208"/>
        <v>938.54775734383418</v>
      </c>
      <c r="W719">
        <f t="shared" si="209"/>
        <v>128.92258177936492</v>
      </c>
      <c r="AE719">
        <f t="shared" si="210"/>
        <v>0.88104910937757852</v>
      </c>
      <c r="AF719">
        <f t="shared" si="211"/>
        <v>0.86054830064357613</v>
      </c>
      <c r="AG719">
        <f t="shared" si="212"/>
        <v>0.86536663615972009</v>
      </c>
      <c r="AI719">
        <f t="shared" si="213"/>
        <v>0.25821489129104108</v>
      </c>
      <c r="AJ719">
        <f t="shared" si="214"/>
        <v>15.307640386288556</v>
      </c>
      <c r="AL719">
        <f t="shared" si="215"/>
        <v>0.26436633461464065</v>
      </c>
      <c r="AM719">
        <f t="shared" si="216"/>
        <v>16.045674629120327</v>
      </c>
      <c r="AO719">
        <f t="shared" si="217"/>
        <v>0.26289435078013629</v>
      </c>
      <c r="AP719">
        <f t="shared" si="218"/>
        <v>15.867488410114291</v>
      </c>
    </row>
    <row r="720" spans="1:42" x14ac:dyDescent="0.2">
      <c r="A720" s="3">
        <v>720</v>
      </c>
      <c r="B720" s="3">
        <v>5.4600000000000005E-7</v>
      </c>
      <c r="C720" s="2">
        <v>3.7379999999999997E-2</v>
      </c>
      <c r="D720" s="3">
        <v>213000</v>
      </c>
      <c r="E720" s="3">
        <v>98600000000</v>
      </c>
      <c r="F720" s="3">
        <v>90300000000</v>
      </c>
      <c r="G720" s="3">
        <v>3500000000</v>
      </c>
      <c r="H720" s="3">
        <v>9750000000</v>
      </c>
      <c r="I720" s="2"/>
      <c r="J720" s="7">
        <f t="shared" si="219"/>
        <v>0.54600000000000004</v>
      </c>
      <c r="K720" s="7">
        <f t="shared" si="220"/>
        <v>37.379999999999995</v>
      </c>
      <c r="L720" s="7">
        <f t="shared" si="221"/>
        <v>98.600000000000009</v>
      </c>
      <c r="M720" s="7">
        <f t="shared" si="222"/>
        <v>213</v>
      </c>
      <c r="O720">
        <f t="shared" si="223"/>
        <v>0.41438028169014091</v>
      </c>
      <c r="P720">
        <f t="shared" si="224"/>
        <v>414.38028169014092</v>
      </c>
      <c r="V720">
        <f t="shared" si="208"/>
        <v>922.99558793160884</v>
      </c>
      <c r="W720">
        <f t="shared" si="209"/>
        <v>115.38516694176367</v>
      </c>
      <c r="AE720">
        <f t="shared" si="210"/>
        <v>0.77546884420423234</v>
      </c>
      <c r="AF720">
        <f t="shared" si="211"/>
        <v>0.75742474395488313</v>
      </c>
      <c r="AG720">
        <f t="shared" si="212"/>
        <v>0.76166567562818333</v>
      </c>
      <c r="AI720">
        <f t="shared" si="213"/>
        <v>0.29337090935414056</v>
      </c>
      <c r="AJ720">
        <f t="shared" si="214"/>
        <v>19.786140253580307</v>
      </c>
      <c r="AL720">
        <f t="shared" si="215"/>
        <v>0.30035987313024898</v>
      </c>
      <c r="AM720">
        <f t="shared" si="216"/>
        <v>20.740098451716094</v>
      </c>
      <c r="AO720">
        <f t="shared" si="217"/>
        <v>0.29868747835114079</v>
      </c>
      <c r="AP720">
        <f t="shared" si="218"/>
        <v>20.509780948068272</v>
      </c>
    </row>
    <row r="721" spans="1:42" x14ac:dyDescent="0.2">
      <c r="A721" s="3">
        <v>720</v>
      </c>
      <c r="B721" s="3">
        <v>5.4700000000000001E-7</v>
      </c>
      <c r="C721" s="2">
        <v>3.7429999999999998E-2</v>
      </c>
      <c r="D721" s="3">
        <v>228000</v>
      </c>
      <c r="E721" s="3">
        <v>105000000000</v>
      </c>
      <c r="F721" s="3">
        <v>95700000000</v>
      </c>
      <c r="G721" s="3">
        <v>4730000000</v>
      </c>
      <c r="H721" s="3">
        <v>9560000000</v>
      </c>
      <c r="I721" s="2"/>
      <c r="J721" s="7">
        <f t="shared" si="219"/>
        <v>0.54700000000000004</v>
      </c>
      <c r="K721" s="7">
        <f t="shared" si="220"/>
        <v>37.43</v>
      </c>
      <c r="L721" s="7">
        <f t="shared" si="221"/>
        <v>105</v>
      </c>
      <c r="M721" s="7">
        <f t="shared" si="222"/>
        <v>228</v>
      </c>
      <c r="O721">
        <f t="shared" si="223"/>
        <v>0.42387500000000006</v>
      </c>
      <c r="P721">
        <f t="shared" si="224"/>
        <v>423.87500000000006</v>
      </c>
      <c r="V721">
        <f t="shared" si="208"/>
        <v>932.30577722701196</v>
      </c>
      <c r="W721">
        <f t="shared" si="209"/>
        <v>122.27747889654185</v>
      </c>
      <c r="AE721">
        <f t="shared" si="210"/>
        <v>0.83007932619044589</v>
      </c>
      <c r="AF721">
        <f t="shared" si="211"/>
        <v>0.81076451465593125</v>
      </c>
      <c r="AG721">
        <f t="shared" si="212"/>
        <v>0.81530410348932303</v>
      </c>
      <c r="AI721">
        <f t="shared" si="213"/>
        <v>0.27457215169141025</v>
      </c>
      <c r="AJ721">
        <f t="shared" si="214"/>
        <v>17.291438572383182</v>
      </c>
      <c r="AL721">
        <f t="shared" si="215"/>
        <v>0.28111327339404957</v>
      </c>
      <c r="AM721">
        <f t="shared" si="216"/>
        <v>18.125118581332956</v>
      </c>
      <c r="AO721">
        <f t="shared" si="217"/>
        <v>0.27954804310591996</v>
      </c>
      <c r="AP721">
        <f t="shared" si="218"/>
        <v>17.923840266541347</v>
      </c>
    </row>
    <row r="722" spans="1:42" x14ac:dyDescent="0.2">
      <c r="A722" s="3">
        <v>720</v>
      </c>
      <c r="B722" s="3">
        <v>5.4799999999999998E-7</v>
      </c>
      <c r="C722" s="2">
        <v>3.7479999999999999E-2</v>
      </c>
      <c r="D722" s="3">
        <v>212000</v>
      </c>
      <c r="E722" s="3">
        <v>98000000000</v>
      </c>
      <c r="F722" s="3">
        <v>89800000000</v>
      </c>
      <c r="G722" s="3">
        <v>11500000000</v>
      </c>
      <c r="H722" s="3">
        <v>9770000000</v>
      </c>
      <c r="I722" s="2"/>
      <c r="J722" s="7">
        <f t="shared" si="219"/>
        <v>0.54799999999999993</v>
      </c>
      <c r="K722" s="7">
        <f t="shared" si="220"/>
        <v>37.479999999999997</v>
      </c>
      <c r="L722" s="7">
        <f t="shared" si="221"/>
        <v>98</v>
      </c>
      <c r="M722" s="7">
        <f t="shared" si="222"/>
        <v>212</v>
      </c>
      <c r="O722">
        <f t="shared" si="223"/>
        <v>0.41540566037735843</v>
      </c>
      <c r="P722">
        <f t="shared" si="224"/>
        <v>415.40566037735846</v>
      </c>
      <c r="V722">
        <f t="shared" si="208"/>
        <v>924.00672297595054</v>
      </c>
      <c r="W722">
        <f t="shared" si="209"/>
        <v>114.71778003801266</v>
      </c>
      <c r="AE722">
        <f t="shared" si="210"/>
        <v>0.77182814540515143</v>
      </c>
      <c r="AF722">
        <f t="shared" si="211"/>
        <v>0.75386875924147989</v>
      </c>
      <c r="AG722">
        <f t="shared" si="212"/>
        <v>0.75808978043744069</v>
      </c>
      <c r="AI722">
        <f t="shared" si="213"/>
        <v>0.29583442207005234</v>
      </c>
      <c r="AJ722">
        <f t="shared" si="214"/>
        <v>20.026675158616268</v>
      </c>
      <c r="AL722">
        <f t="shared" si="215"/>
        <v>0.30288207401388467</v>
      </c>
      <c r="AM722">
        <f t="shared" si="216"/>
        <v>20.992230375759103</v>
      </c>
      <c r="AO722">
        <f t="shared" si="217"/>
        <v>0.30119563569578539</v>
      </c>
      <c r="AP722">
        <f t="shared" si="218"/>
        <v>20.759112962772821</v>
      </c>
    </row>
    <row r="723" spans="1:42" x14ac:dyDescent="0.2">
      <c r="A723" s="3">
        <v>720</v>
      </c>
      <c r="B723" s="3">
        <v>5.4799999999999998E-7</v>
      </c>
      <c r="C723" s="2">
        <v>3.7539999999999997E-2</v>
      </c>
      <c r="D723" s="3">
        <v>238000</v>
      </c>
      <c r="E723" s="3">
        <v>109000000000</v>
      </c>
      <c r="F723" s="3">
        <v>99300000000</v>
      </c>
      <c r="G723" s="3">
        <v>7430000000</v>
      </c>
      <c r="H723" s="3">
        <v>9450000000</v>
      </c>
      <c r="I723" s="2"/>
      <c r="J723" s="7">
        <f t="shared" si="219"/>
        <v>0.54799999999999993</v>
      </c>
      <c r="K723" s="7">
        <f t="shared" si="220"/>
        <v>37.54</v>
      </c>
      <c r="L723" s="7">
        <f t="shared" si="221"/>
        <v>109</v>
      </c>
      <c r="M723" s="7">
        <f t="shared" si="222"/>
        <v>238</v>
      </c>
      <c r="O723">
        <f t="shared" si="223"/>
        <v>0.42970168067226888</v>
      </c>
      <c r="P723">
        <f t="shared" si="224"/>
        <v>429.70168067226888</v>
      </c>
      <c r="V723">
        <f t="shared" si="208"/>
        <v>937.96180033694361</v>
      </c>
      <c r="W723">
        <f t="shared" si="209"/>
        <v>126.87083840434832</v>
      </c>
      <c r="AE723">
        <f t="shared" si="210"/>
        <v>0.86648631418125499</v>
      </c>
      <c r="AF723">
        <f t="shared" si="211"/>
        <v>0.84632436178996329</v>
      </c>
      <c r="AG723">
        <f t="shared" si="212"/>
        <v>0.85106305539674953</v>
      </c>
      <c r="AI723">
        <f t="shared" si="213"/>
        <v>0.26351637596155925</v>
      </c>
      <c r="AJ723">
        <f t="shared" si="214"/>
        <v>15.915538857201966</v>
      </c>
      <c r="AL723">
        <f t="shared" si="215"/>
        <v>0.26979411634850226</v>
      </c>
      <c r="AM723">
        <f t="shared" si="216"/>
        <v>16.682881986078716</v>
      </c>
      <c r="AO723">
        <f t="shared" si="217"/>
        <v>0.26829191078784242</v>
      </c>
      <c r="AP723">
        <f t="shared" si="218"/>
        <v>16.49761961899641</v>
      </c>
    </row>
    <row r="724" spans="1:42" x14ac:dyDescent="0.2">
      <c r="A724" s="3">
        <v>720</v>
      </c>
      <c r="B724" s="3">
        <v>5.4899999999999995E-7</v>
      </c>
      <c r="C724" s="2">
        <v>3.7589999999999998E-2</v>
      </c>
      <c r="D724" s="3">
        <v>199000</v>
      </c>
      <c r="E724" s="3">
        <v>92700000000</v>
      </c>
      <c r="F724" s="3">
        <v>85300000000</v>
      </c>
      <c r="G724" s="2">
        <v>0</v>
      </c>
      <c r="H724" s="3">
        <v>9970000000</v>
      </c>
      <c r="I724" s="2"/>
      <c r="J724" s="7">
        <f t="shared" si="219"/>
        <v>0.54899999999999993</v>
      </c>
      <c r="K724" s="7">
        <f t="shared" si="220"/>
        <v>37.589999999999996</v>
      </c>
      <c r="L724" s="7">
        <f t="shared" si="221"/>
        <v>92.7</v>
      </c>
      <c r="M724" s="7">
        <f t="shared" si="222"/>
        <v>199</v>
      </c>
      <c r="O724">
        <f t="shared" si="223"/>
        <v>0.40732914572864315</v>
      </c>
      <c r="P724">
        <f t="shared" si="224"/>
        <v>407.32914572864314</v>
      </c>
      <c r="V724">
        <f t="shared" si="208"/>
        <v>916.00434435883381</v>
      </c>
      <c r="W724">
        <f t="shared" si="209"/>
        <v>108.62393897230476</v>
      </c>
      <c r="AE724">
        <f t="shared" si="210"/>
        <v>0.72449906101709971</v>
      </c>
      <c r="AF724">
        <f t="shared" si="211"/>
        <v>0.70764095796723825</v>
      </c>
      <c r="AG724">
        <f t="shared" si="212"/>
        <v>0.71160314295778637</v>
      </c>
      <c r="AI724">
        <f t="shared" si="213"/>
        <v>0.31573539885457624</v>
      </c>
      <c r="AJ724">
        <f t="shared" si="214"/>
        <v>22.795397303336546</v>
      </c>
      <c r="AL724">
        <f t="shared" si="215"/>
        <v>0.32325715099519498</v>
      </c>
      <c r="AM724">
        <f t="shared" si="216"/>
        <v>23.894442183165761</v>
      </c>
      <c r="AO724">
        <f t="shared" si="217"/>
        <v>0.32145726485860932</v>
      </c>
      <c r="AP724">
        <f t="shared" si="218"/>
        <v>23.629095888523239</v>
      </c>
    </row>
    <row r="725" spans="1:42" x14ac:dyDescent="0.2">
      <c r="A725" s="3">
        <v>720</v>
      </c>
      <c r="B725" s="3">
        <v>5.5000000000000003E-7</v>
      </c>
      <c r="C725" s="2">
        <v>3.764E-2</v>
      </c>
      <c r="D725" s="3">
        <v>206000</v>
      </c>
      <c r="E725" s="3">
        <v>95200000000</v>
      </c>
      <c r="F725" s="3">
        <v>87400000000</v>
      </c>
      <c r="G725" s="3">
        <v>7930000000</v>
      </c>
      <c r="H725" s="3">
        <v>9870000000</v>
      </c>
      <c r="I725" s="2"/>
      <c r="J725" s="7">
        <f t="shared" si="219"/>
        <v>0.55000000000000004</v>
      </c>
      <c r="K725" s="7">
        <f t="shared" si="220"/>
        <v>37.64</v>
      </c>
      <c r="L725" s="7">
        <f t="shared" si="221"/>
        <v>95.2</v>
      </c>
      <c r="M725" s="7">
        <f t="shared" si="222"/>
        <v>206</v>
      </c>
      <c r="O725">
        <f t="shared" si="223"/>
        <v>0.41296116504854374</v>
      </c>
      <c r="P725">
        <f t="shared" si="224"/>
        <v>412.96116504854376</v>
      </c>
      <c r="V725">
        <f t="shared" si="208"/>
        <v>921.59388264329493</v>
      </c>
      <c r="W725">
        <f t="shared" si="209"/>
        <v>111.76289463269624</v>
      </c>
      <c r="AE725">
        <f t="shared" si="210"/>
        <v>0.74998395261066608</v>
      </c>
      <c r="AF725">
        <f t="shared" si="211"/>
        <v>0.73253285096106069</v>
      </c>
      <c r="AG725">
        <f t="shared" si="212"/>
        <v>0.73663440929298485</v>
      </c>
      <c r="AI725">
        <f t="shared" si="213"/>
        <v>0.30556209352072944</v>
      </c>
      <c r="AJ725">
        <f t="shared" si="214"/>
        <v>21.300812380797261</v>
      </c>
      <c r="AL725">
        <f t="shared" si="215"/>
        <v>0.31284148740361206</v>
      </c>
      <c r="AM725">
        <f t="shared" si="216"/>
        <v>22.327798156556987</v>
      </c>
      <c r="AO725">
        <f t="shared" si="217"/>
        <v>0.31109959537000015</v>
      </c>
      <c r="AP725">
        <f t="shared" si="218"/>
        <v>22.07984934641307</v>
      </c>
    </row>
    <row r="726" spans="1:42" x14ac:dyDescent="0.2">
      <c r="A726" s="3">
        <v>720</v>
      </c>
      <c r="B726" s="3">
        <v>5.5000000000000003E-7</v>
      </c>
      <c r="C726" s="2">
        <v>3.7690000000000001E-2</v>
      </c>
      <c r="D726" s="3">
        <v>224000</v>
      </c>
      <c r="E726" s="3">
        <v>103000000000</v>
      </c>
      <c r="F726" s="3">
        <v>93900000000</v>
      </c>
      <c r="G726" s="3">
        <v>3410000000</v>
      </c>
      <c r="H726" s="3">
        <v>9620000000</v>
      </c>
      <c r="I726" s="2"/>
      <c r="J726" s="7">
        <f t="shared" si="219"/>
        <v>0.55000000000000004</v>
      </c>
      <c r="K726" s="7">
        <f t="shared" si="220"/>
        <v>37.69</v>
      </c>
      <c r="L726" s="7">
        <f t="shared" si="221"/>
        <v>103</v>
      </c>
      <c r="M726" s="7">
        <f t="shared" si="222"/>
        <v>224</v>
      </c>
      <c r="O726">
        <f t="shared" si="223"/>
        <v>0.42380580357142861</v>
      </c>
      <c r="P726">
        <f t="shared" si="224"/>
        <v>423.80580357142861</v>
      </c>
      <c r="V726">
        <f t="shared" si="208"/>
        <v>932.23834813203757</v>
      </c>
      <c r="W726">
        <f t="shared" si="209"/>
        <v>120.14094917294358</v>
      </c>
      <c r="AE726">
        <f t="shared" si="210"/>
        <v>0.81551653099412236</v>
      </c>
      <c r="AF726">
        <f t="shared" si="211"/>
        <v>0.79654057580231841</v>
      </c>
      <c r="AG726">
        <f t="shared" si="212"/>
        <v>0.80100052272635247</v>
      </c>
      <c r="AI726">
        <f t="shared" si="213"/>
        <v>0.28100799671995658</v>
      </c>
      <c r="AJ726">
        <f t="shared" si="214"/>
        <v>18.038943315003085</v>
      </c>
      <c r="AL726">
        <f t="shared" si="215"/>
        <v>0.28770243930867895</v>
      </c>
      <c r="AM726">
        <f t="shared" si="216"/>
        <v>18.908663110805104</v>
      </c>
      <c r="AO726">
        <f t="shared" si="217"/>
        <v>0.28610052074205372</v>
      </c>
      <c r="AP726">
        <f t="shared" si="218"/>
        <v>18.698683582735992</v>
      </c>
    </row>
    <row r="727" spans="1:42" x14ac:dyDescent="0.2">
      <c r="A727" s="3">
        <v>730</v>
      </c>
      <c r="B727" s="3">
        <v>5.51E-7</v>
      </c>
      <c r="C727" s="2">
        <v>3.7740000000000003E-2</v>
      </c>
      <c r="D727" s="3">
        <v>229000</v>
      </c>
      <c r="E727" s="3">
        <v>105000000000</v>
      </c>
      <c r="F727" s="3">
        <v>95800000000</v>
      </c>
      <c r="G727" s="3">
        <v>8410000000</v>
      </c>
      <c r="H727" s="3">
        <v>9550000000</v>
      </c>
      <c r="I727" s="2"/>
      <c r="J727" s="7">
        <f t="shared" si="219"/>
        <v>0.55100000000000005</v>
      </c>
      <c r="K727" s="7">
        <f t="shared" si="220"/>
        <v>37.74</v>
      </c>
      <c r="L727" s="7">
        <f t="shared" si="221"/>
        <v>105</v>
      </c>
      <c r="M727" s="7">
        <f t="shared" si="222"/>
        <v>229</v>
      </c>
      <c r="O727">
        <f t="shared" si="223"/>
        <v>0.4273973799126638</v>
      </c>
      <c r="P727">
        <f t="shared" si="224"/>
        <v>427.39737991266378</v>
      </c>
      <c r="V727">
        <f t="shared" si="208"/>
        <v>935.73012762301744</v>
      </c>
      <c r="W727">
        <f t="shared" si="209"/>
        <v>122.36434055068624</v>
      </c>
      <c r="AE727">
        <f t="shared" si="210"/>
        <v>0.8337200249895268</v>
      </c>
      <c r="AF727">
        <f t="shared" si="211"/>
        <v>0.81432049936933448</v>
      </c>
      <c r="AG727">
        <f t="shared" si="212"/>
        <v>0.81887999868006567</v>
      </c>
      <c r="AI727">
        <f t="shared" si="213"/>
        <v>0.27537221903266312</v>
      </c>
      <c r="AJ727">
        <f t="shared" si="214"/>
        <v>17.282713246423167</v>
      </c>
      <c r="AL727">
        <f t="shared" si="215"/>
        <v>0.28193240070849057</v>
      </c>
      <c r="AM727">
        <f t="shared" si="216"/>
        <v>18.115972577255615</v>
      </c>
      <c r="AO727">
        <f t="shared" si="217"/>
        <v>0.28036260954400349</v>
      </c>
      <c r="AP727">
        <f t="shared" si="218"/>
        <v>17.914795828270574</v>
      </c>
    </row>
    <row r="728" spans="1:42" x14ac:dyDescent="0.2">
      <c r="A728" s="3">
        <v>730</v>
      </c>
      <c r="B728" s="3">
        <v>5.5199999999999997E-7</v>
      </c>
      <c r="C728" s="2">
        <v>3.78E-2</v>
      </c>
      <c r="D728" s="3">
        <v>233000</v>
      </c>
      <c r="E728" s="3">
        <v>107000000000</v>
      </c>
      <c r="F728" s="3">
        <v>96900000000</v>
      </c>
      <c r="G728" s="2">
        <v>0</v>
      </c>
      <c r="H728" s="3">
        <v>9520000000</v>
      </c>
      <c r="I728" s="2"/>
      <c r="J728" s="7">
        <f t="shared" si="219"/>
        <v>0.55199999999999994</v>
      </c>
      <c r="K728" s="7">
        <f t="shared" si="220"/>
        <v>37.799999999999997</v>
      </c>
      <c r="L728" s="7">
        <f t="shared" si="221"/>
        <v>107</v>
      </c>
      <c r="M728" s="7">
        <f t="shared" si="222"/>
        <v>233</v>
      </c>
      <c r="O728">
        <f t="shared" si="223"/>
        <v>0.43032618025751068</v>
      </c>
      <c r="P728">
        <f t="shared" si="224"/>
        <v>430.32618025751066</v>
      </c>
      <c r="V728">
        <f t="shared" si="208"/>
        <v>938.5654679930451</v>
      </c>
      <c r="W728">
        <f t="shared" si="209"/>
        <v>124.12559802473287</v>
      </c>
      <c r="AE728">
        <f t="shared" si="210"/>
        <v>0.84828282018585044</v>
      </c>
      <c r="AF728">
        <f t="shared" si="211"/>
        <v>0.82854443822294732</v>
      </c>
      <c r="AG728">
        <f t="shared" si="212"/>
        <v>0.83318357944303623</v>
      </c>
      <c r="AI728">
        <f t="shared" si="213"/>
        <v>0.27113598734630656</v>
      </c>
      <c r="AJ728">
        <f t="shared" si="214"/>
        <v>16.720950101386578</v>
      </c>
      <c r="AL728">
        <f t="shared" si="215"/>
        <v>0.27759524943924718</v>
      </c>
      <c r="AM728">
        <f t="shared" si="216"/>
        <v>17.527124889668023</v>
      </c>
      <c r="AO728">
        <f t="shared" si="217"/>
        <v>0.27604960740314832</v>
      </c>
      <c r="AP728">
        <f t="shared" si="218"/>
        <v>17.332487257637982</v>
      </c>
    </row>
    <row r="729" spans="1:42" x14ac:dyDescent="0.2">
      <c r="A729" s="3">
        <v>730</v>
      </c>
      <c r="B729" s="3">
        <v>5.5199999999999997E-7</v>
      </c>
      <c r="C729" s="2">
        <v>3.7850000000000002E-2</v>
      </c>
      <c r="D729" s="3">
        <v>208000</v>
      </c>
      <c r="E729" s="3">
        <v>95800000000</v>
      </c>
      <c r="F729" s="3">
        <v>88000000000</v>
      </c>
      <c r="G729" s="3">
        <v>6290000000</v>
      </c>
      <c r="H729" s="3">
        <v>9850000000</v>
      </c>
      <c r="I729" s="2"/>
      <c r="J729" s="7">
        <f t="shared" si="219"/>
        <v>0.55199999999999994</v>
      </c>
      <c r="K729" s="7">
        <f t="shared" si="220"/>
        <v>37.85</v>
      </c>
      <c r="L729" s="7">
        <f t="shared" si="221"/>
        <v>95.800000000000011</v>
      </c>
      <c r="M729" s="7">
        <f t="shared" si="222"/>
        <v>208</v>
      </c>
      <c r="O729">
        <f t="shared" si="223"/>
        <v>0.41552163461538455</v>
      </c>
      <c r="P729">
        <f t="shared" si="224"/>
        <v>415.52163461538453</v>
      </c>
      <c r="V729">
        <f t="shared" si="208"/>
        <v>924.12099865719574</v>
      </c>
      <c r="W729">
        <f t="shared" si="209"/>
        <v>112.53937541849861</v>
      </c>
      <c r="AE729">
        <f t="shared" si="210"/>
        <v>0.7572653502088279</v>
      </c>
      <c r="AF729">
        <f t="shared" si="211"/>
        <v>0.73964482038786705</v>
      </c>
      <c r="AG729">
        <f t="shared" si="212"/>
        <v>0.74378619967447013</v>
      </c>
      <c r="AI729">
        <f t="shared" si="213"/>
        <v>0.30372444736389148</v>
      </c>
      <c r="AJ729">
        <f t="shared" si="214"/>
        <v>21.009717216074755</v>
      </c>
      <c r="AL729">
        <f t="shared" si="215"/>
        <v>0.31096006307377211</v>
      </c>
      <c r="AM729">
        <f t="shared" si="216"/>
        <v>22.022668287982903</v>
      </c>
      <c r="AO729">
        <f t="shared" si="217"/>
        <v>0.30922864675448825</v>
      </c>
      <c r="AP729">
        <f t="shared" si="218"/>
        <v>21.778107926055949</v>
      </c>
    </row>
    <row r="730" spans="1:42" x14ac:dyDescent="0.2">
      <c r="A730" s="3">
        <v>730</v>
      </c>
      <c r="B730" s="3">
        <v>5.5300000000000004E-7</v>
      </c>
      <c r="C730" s="2">
        <v>3.7900000000000003E-2</v>
      </c>
      <c r="D730" s="3">
        <v>212000</v>
      </c>
      <c r="E730" s="3">
        <v>97600000000</v>
      </c>
      <c r="F730" s="3">
        <v>89500000000</v>
      </c>
      <c r="G730" s="3">
        <v>2210000000</v>
      </c>
      <c r="H730" s="3">
        <v>9790000000</v>
      </c>
      <c r="I730" s="2"/>
      <c r="J730" s="7">
        <f t="shared" si="219"/>
        <v>0.55300000000000005</v>
      </c>
      <c r="K730" s="7">
        <f t="shared" si="220"/>
        <v>37.900000000000006</v>
      </c>
      <c r="L730" s="7">
        <f t="shared" si="221"/>
        <v>97.600000000000009</v>
      </c>
      <c r="M730" s="7">
        <f t="shared" si="222"/>
        <v>212</v>
      </c>
      <c r="O730">
        <f t="shared" si="223"/>
        <v>0.41891981132075473</v>
      </c>
      <c r="P730">
        <f t="shared" si="224"/>
        <v>418.91981132075472</v>
      </c>
      <c r="V730">
        <f t="shared" si="208"/>
        <v>927.46155217076989</v>
      </c>
      <c r="W730">
        <f t="shared" si="209"/>
        <v>114.2904519889819</v>
      </c>
      <c r="AE730">
        <f t="shared" si="210"/>
        <v>0.77182814540515143</v>
      </c>
      <c r="AF730">
        <f t="shared" si="211"/>
        <v>0.75386875924147989</v>
      </c>
      <c r="AG730">
        <f t="shared" si="212"/>
        <v>0.75808978043744069</v>
      </c>
      <c r="AI730">
        <f t="shared" si="213"/>
        <v>0.2985336412495237</v>
      </c>
      <c r="AJ730">
        <f t="shared" si="214"/>
        <v>20.251093610233639</v>
      </c>
      <c r="AL730">
        <f t="shared" si="215"/>
        <v>0.30564559658700413</v>
      </c>
      <c r="AM730">
        <f t="shared" si="216"/>
        <v>21.227468816469322</v>
      </c>
      <c r="AO730">
        <f t="shared" si="217"/>
        <v>0.30394377105797327</v>
      </c>
      <c r="AP730">
        <f t="shared" si="218"/>
        <v>20.991739095226521</v>
      </c>
    </row>
    <row r="731" spans="1:42" x14ac:dyDescent="0.2">
      <c r="A731" s="3">
        <v>730</v>
      </c>
      <c r="B731" s="3">
        <v>5.5300000000000004E-7</v>
      </c>
      <c r="C731" s="2">
        <v>3.7949999999999998E-2</v>
      </c>
      <c r="D731" s="3">
        <v>223000</v>
      </c>
      <c r="E731" s="3">
        <v>102000000000</v>
      </c>
      <c r="F731" s="3">
        <v>93400000000</v>
      </c>
      <c r="G731" s="3">
        <v>3670000000</v>
      </c>
      <c r="H731" s="3">
        <v>9650000000</v>
      </c>
      <c r="I731" s="2"/>
      <c r="J731" s="7">
        <f t="shared" si="219"/>
        <v>0.55300000000000005</v>
      </c>
      <c r="K731" s="7">
        <f t="shared" si="220"/>
        <v>37.949999999999996</v>
      </c>
      <c r="L731" s="7">
        <f t="shared" si="221"/>
        <v>102</v>
      </c>
      <c r="M731" s="7">
        <f t="shared" si="222"/>
        <v>223</v>
      </c>
      <c r="O731">
        <f t="shared" si="223"/>
        <v>0.42536547085201803</v>
      </c>
      <c r="P731">
        <f t="shared" si="224"/>
        <v>425.36547085201801</v>
      </c>
      <c r="V731">
        <f t="shared" si="208"/>
        <v>933.7566945800196</v>
      </c>
      <c r="W731">
        <f t="shared" si="209"/>
        <v>119.41012112384362</v>
      </c>
      <c r="AE731">
        <f t="shared" si="210"/>
        <v>0.81187583219504145</v>
      </c>
      <c r="AF731">
        <f t="shared" si="211"/>
        <v>0.79298459108891517</v>
      </c>
      <c r="AG731">
        <f t="shared" si="212"/>
        <v>0.79742462753560983</v>
      </c>
      <c r="AI731">
        <f t="shared" si="213"/>
        <v>0.28380776656905388</v>
      </c>
      <c r="AJ731">
        <f t="shared" si="214"/>
        <v>18.326648370174794</v>
      </c>
      <c r="AL731">
        <f t="shared" si="215"/>
        <v>0.2905689079661205</v>
      </c>
      <c r="AM731">
        <f t="shared" si="216"/>
        <v>19.210239420931483</v>
      </c>
      <c r="AO731">
        <f t="shared" si="217"/>
        <v>0.28895102898784902</v>
      </c>
      <c r="AP731">
        <f t="shared" si="218"/>
        <v>18.996910906690992</v>
      </c>
    </row>
    <row r="732" spans="1:42" x14ac:dyDescent="0.2">
      <c r="A732" s="3">
        <v>730</v>
      </c>
      <c r="B732" s="3">
        <v>5.5400000000000001E-7</v>
      </c>
      <c r="C732" s="2">
        <v>3.8010000000000002E-2</v>
      </c>
      <c r="D732" s="3">
        <v>212000</v>
      </c>
      <c r="E732" s="3">
        <v>97500000000</v>
      </c>
      <c r="F732" s="3">
        <v>89400000000</v>
      </c>
      <c r="G732" s="3">
        <v>2170000000</v>
      </c>
      <c r="H732" s="3">
        <v>9800000000</v>
      </c>
      <c r="I732" s="2"/>
      <c r="J732" s="7">
        <f t="shared" si="219"/>
        <v>0.55400000000000005</v>
      </c>
      <c r="K732" s="7">
        <f t="shared" si="220"/>
        <v>38.010000000000005</v>
      </c>
      <c r="L732" s="7">
        <f t="shared" si="221"/>
        <v>97.5</v>
      </c>
      <c r="M732" s="7">
        <f t="shared" si="222"/>
        <v>212</v>
      </c>
      <c r="O732">
        <f t="shared" si="223"/>
        <v>0.41953066037735853</v>
      </c>
      <c r="P732">
        <f t="shared" si="224"/>
        <v>419.53066037735852</v>
      </c>
      <c r="V732">
        <f t="shared" si="208"/>
        <v>928.06044069991174</v>
      </c>
      <c r="W732">
        <f t="shared" si="209"/>
        <v>114.21669899005542</v>
      </c>
      <c r="AE732">
        <f t="shared" si="210"/>
        <v>0.77182814540515143</v>
      </c>
      <c r="AF732">
        <f t="shared" si="211"/>
        <v>0.75386875924147989</v>
      </c>
      <c r="AG732">
        <f t="shared" si="212"/>
        <v>0.75808978043744069</v>
      </c>
      <c r="AI732">
        <f t="shared" si="213"/>
        <v>0.29907348508541798</v>
      </c>
      <c r="AJ732">
        <f t="shared" si="214"/>
        <v>20.309869871371518</v>
      </c>
      <c r="AL732">
        <f t="shared" si="215"/>
        <v>0.30619830110162799</v>
      </c>
      <c r="AM732">
        <f t="shared" si="216"/>
        <v>21.289078884274378</v>
      </c>
      <c r="AO732">
        <f t="shared" si="217"/>
        <v>0.30449339813041082</v>
      </c>
      <c r="AP732">
        <f t="shared" si="218"/>
        <v>21.052664987059632</v>
      </c>
    </row>
    <row r="733" spans="1:42" x14ac:dyDescent="0.2">
      <c r="A733" s="3">
        <v>730</v>
      </c>
      <c r="B733" s="3">
        <v>5.5499999999999998E-7</v>
      </c>
      <c r="C733" s="2">
        <v>3.8059999999999997E-2</v>
      </c>
      <c r="D733" s="3">
        <v>253000</v>
      </c>
      <c r="E733" s="3">
        <v>115000000000</v>
      </c>
      <c r="F733" s="3">
        <v>104000000000</v>
      </c>
      <c r="G733" s="3">
        <v>8780000000</v>
      </c>
      <c r="H733" s="3">
        <v>9310000000</v>
      </c>
      <c r="I733" s="2"/>
      <c r="J733" s="7">
        <f t="shared" si="219"/>
        <v>0.55499999999999994</v>
      </c>
      <c r="K733" s="7">
        <f t="shared" si="220"/>
        <v>38.059999999999995</v>
      </c>
      <c r="L733" s="7">
        <f t="shared" si="221"/>
        <v>115.00000000000001</v>
      </c>
      <c r="M733" s="7">
        <f t="shared" si="222"/>
        <v>253</v>
      </c>
      <c r="O733">
        <f t="shared" si="223"/>
        <v>0.4421739130434782</v>
      </c>
      <c r="P733">
        <f t="shared" si="224"/>
        <v>442.17391304347819</v>
      </c>
      <c r="V733">
        <f t="shared" si="208"/>
        <v>949.92681360403412</v>
      </c>
      <c r="W733">
        <f t="shared" si="209"/>
        <v>133.16815378656113</v>
      </c>
      <c r="AE733">
        <f t="shared" si="210"/>
        <v>0.92109679616746853</v>
      </c>
      <c r="AF733">
        <f t="shared" si="211"/>
        <v>0.8996641324910114</v>
      </c>
      <c r="AG733">
        <f t="shared" si="212"/>
        <v>0.90470148325788913</v>
      </c>
      <c r="AI733">
        <f t="shared" si="213"/>
        <v>0.25105939024236429</v>
      </c>
      <c r="AJ733">
        <f t="shared" si="214"/>
        <v>14.279359731928373</v>
      </c>
      <c r="AL733">
        <f t="shared" si="215"/>
        <v>0.2570403683424719</v>
      </c>
      <c r="AM733">
        <f t="shared" si="216"/>
        <v>14.967817010903655</v>
      </c>
      <c r="AO733">
        <f t="shared" si="217"/>
        <v>0.2556091752687899</v>
      </c>
      <c r="AP733">
        <f t="shared" si="218"/>
        <v>14.801600333724695</v>
      </c>
    </row>
    <row r="734" spans="1:42" x14ac:dyDescent="0.2">
      <c r="A734" s="3">
        <v>730</v>
      </c>
      <c r="B734" s="3">
        <v>5.5599999999999995E-7</v>
      </c>
      <c r="C734" s="2">
        <v>3.8109999999999998E-2</v>
      </c>
      <c r="D734" s="3">
        <v>233000</v>
      </c>
      <c r="E734" s="3">
        <v>106000000000</v>
      </c>
      <c r="F734" s="3">
        <v>96800000000</v>
      </c>
      <c r="G734" s="2">
        <v>0</v>
      </c>
      <c r="H734" s="3">
        <v>9520000000</v>
      </c>
      <c r="I734" s="2"/>
      <c r="J734" s="7">
        <f t="shared" si="219"/>
        <v>0.55599999999999994</v>
      </c>
      <c r="K734" s="7">
        <f t="shared" si="220"/>
        <v>38.11</v>
      </c>
      <c r="L734" s="7">
        <f t="shared" si="221"/>
        <v>106</v>
      </c>
      <c r="M734" s="7">
        <f t="shared" si="222"/>
        <v>233</v>
      </c>
      <c r="O734">
        <f t="shared" si="223"/>
        <v>0.43332832618025746</v>
      </c>
      <c r="P734">
        <f t="shared" si="224"/>
        <v>433.32832618025748</v>
      </c>
      <c r="V734">
        <f t="shared" si="208"/>
        <v>941.46068007631573</v>
      </c>
      <c r="W734">
        <f t="shared" si="209"/>
        <v>123.74388274033537</v>
      </c>
      <c r="AE734">
        <f t="shared" si="210"/>
        <v>0.84828282018585044</v>
      </c>
      <c r="AF734">
        <f t="shared" si="211"/>
        <v>0.82854443822294732</v>
      </c>
      <c r="AG734">
        <f t="shared" si="212"/>
        <v>0.83318357944303623</v>
      </c>
      <c r="AI734">
        <f t="shared" si="213"/>
        <v>0.27310074087780156</v>
      </c>
      <c r="AJ734">
        <f t="shared" si="214"/>
        <v>16.858079586345038</v>
      </c>
      <c r="AL734">
        <f t="shared" si="215"/>
        <v>0.27960680921779241</v>
      </c>
      <c r="AM734">
        <f t="shared" si="216"/>
        <v>17.670865860985408</v>
      </c>
      <c r="AO734">
        <f t="shared" si="217"/>
        <v>0.27804996687708416</v>
      </c>
      <c r="AP734">
        <f t="shared" si="218"/>
        <v>17.474631994406973</v>
      </c>
    </row>
    <row r="735" spans="1:42" x14ac:dyDescent="0.2">
      <c r="A735" s="3">
        <v>730</v>
      </c>
      <c r="B735" s="3">
        <v>5.5599999999999995E-7</v>
      </c>
      <c r="C735" s="2">
        <v>3.8159999999999999E-2</v>
      </c>
      <c r="D735" s="3">
        <v>223000</v>
      </c>
      <c r="E735" s="3">
        <v>102000000000</v>
      </c>
      <c r="F735" s="3">
        <v>93300000000</v>
      </c>
      <c r="G735" s="3">
        <v>9590000000</v>
      </c>
      <c r="H735" s="3">
        <v>9650000000</v>
      </c>
      <c r="I735" s="2"/>
      <c r="J735" s="7">
        <f t="shared" si="219"/>
        <v>0.55599999999999994</v>
      </c>
      <c r="K735" s="7">
        <f t="shared" si="220"/>
        <v>38.159999999999997</v>
      </c>
      <c r="L735" s="7">
        <f t="shared" si="221"/>
        <v>102</v>
      </c>
      <c r="M735" s="7">
        <f t="shared" si="222"/>
        <v>223</v>
      </c>
      <c r="O735">
        <f t="shared" si="223"/>
        <v>0.42765919282511206</v>
      </c>
      <c r="P735">
        <f t="shared" si="224"/>
        <v>427.65919282511203</v>
      </c>
      <c r="V735">
        <f t="shared" si="208"/>
        <v>935.98402550624871</v>
      </c>
      <c r="W735">
        <f t="shared" si="209"/>
        <v>119.12596471899468</v>
      </c>
      <c r="AE735">
        <f t="shared" si="210"/>
        <v>0.81187583219504145</v>
      </c>
      <c r="AF735">
        <f t="shared" si="211"/>
        <v>0.79298459108891517</v>
      </c>
      <c r="AG735">
        <f t="shared" si="212"/>
        <v>0.79742462753560983</v>
      </c>
      <c r="AI735">
        <f t="shared" si="213"/>
        <v>0.28534741087232174</v>
      </c>
      <c r="AJ735">
        <f t="shared" si="214"/>
        <v>18.428060653646117</v>
      </c>
      <c r="AL735">
        <f t="shared" si="215"/>
        <v>0.29214523115581009</v>
      </c>
      <c r="AM735">
        <f t="shared" si="216"/>
        <v>19.31654114104731</v>
      </c>
      <c r="AO735">
        <f t="shared" si="217"/>
        <v>0.29051857525722247</v>
      </c>
      <c r="AP735">
        <f t="shared" si="218"/>
        <v>19.102032152814974</v>
      </c>
    </row>
    <row r="736" spans="1:42" x14ac:dyDescent="0.2">
      <c r="A736" s="3">
        <v>730</v>
      </c>
      <c r="B736" s="3">
        <v>5.5700000000000002E-7</v>
      </c>
      <c r="C736" s="2">
        <v>3.8210000000000001E-2</v>
      </c>
      <c r="D736" s="3">
        <v>218000</v>
      </c>
      <c r="E736" s="3">
        <v>99800000000</v>
      </c>
      <c r="F736" s="3">
        <v>91300000000</v>
      </c>
      <c r="G736" s="2">
        <v>0</v>
      </c>
      <c r="H736" s="3">
        <v>9720000000</v>
      </c>
      <c r="I736" s="2"/>
      <c r="J736" s="7">
        <f t="shared" si="219"/>
        <v>0.55700000000000005</v>
      </c>
      <c r="K736" s="7">
        <f t="shared" si="220"/>
        <v>38.21</v>
      </c>
      <c r="L736" s="7">
        <f t="shared" si="221"/>
        <v>99.800000000000011</v>
      </c>
      <c r="M736" s="7">
        <f t="shared" si="222"/>
        <v>218</v>
      </c>
      <c r="O736">
        <f t="shared" si="223"/>
        <v>0.42554357798165143</v>
      </c>
      <c r="P736">
        <f t="shared" si="224"/>
        <v>425.54357798165142</v>
      </c>
      <c r="V736">
        <f t="shared" si="208"/>
        <v>933.92988565133737</v>
      </c>
      <c r="W736">
        <f t="shared" si="209"/>
        <v>116.71111683505201</v>
      </c>
      <c r="AE736">
        <f t="shared" si="210"/>
        <v>0.7936723381996369</v>
      </c>
      <c r="AF736">
        <f t="shared" si="211"/>
        <v>0.7752046675218992</v>
      </c>
      <c r="AG736">
        <f t="shared" si="212"/>
        <v>0.77954515158189663</v>
      </c>
      <c r="AI736">
        <f t="shared" si="213"/>
        <v>0.29241706200796946</v>
      </c>
      <c r="AJ736">
        <f t="shared" si="214"/>
        <v>19.308344706406245</v>
      </c>
      <c r="AL736">
        <f t="shared" si="215"/>
        <v>0.29938330231580695</v>
      </c>
      <c r="AM736">
        <f t="shared" si="216"/>
        <v>20.23926673005737</v>
      </c>
      <c r="AO736">
        <f t="shared" si="217"/>
        <v>0.29771634505374944</v>
      </c>
      <c r="AP736">
        <f t="shared" si="218"/>
        <v>20.014510931535899</v>
      </c>
    </row>
    <row r="737" spans="1:42" x14ac:dyDescent="0.2">
      <c r="A737" s="3">
        <v>740</v>
      </c>
      <c r="B737" s="3">
        <v>5.5799999999999999E-7</v>
      </c>
      <c r="C737" s="2">
        <v>3.8260000000000002E-2</v>
      </c>
      <c r="D737" s="3">
        <v>215000</v>
      </c>
      <c r="E737" s="3">
        <v>98600000000</v>
      </c>
      <c r="F737" s="3">
        <v>90300000000</v>
      </c>
      <c r="G737" s="2">
        <v>0</v>
      </c>
      <c r="H737" s="3">
        <v>9750000000</v>
      </c>
      <c r="I737" s="2"/>
      <c r="J737" s="7">
        <f t="shared" si="219"/>
        <v>0.55799999999999994</v>
      </c>
      <c r="K737" s="7">
        <f t="shared" si="220"/>
        <v>38.260000000000005</v>
      </c>
      <c r="L737" s="7">
        <f t="shared" si="221"/>
        <v>98.600000000000009</v>
      </c>
      <c r="M737" s="7">
        <f t="shared" si="222"/>
        <v>215</v>
      </c>
      <c r="O737">
        <f t="shared" si="223"/>
        <v>0.42453488372093018</v>
      </c>
      <c r="P737">
        <f t="shared" si="224"/>
        <v>424.53488372093017</v>
      </c>
      <c r="V737">
        <f t="shared" si="208"/>
        <v>932.94849919302715</v>
      </c>
      <c r="W737">
        <f t="shared" si="209"/>
        <v>115.22608171081718</v>
      </c>
      <c r="AE737">
        <f t="shared" si="210"/>
        <v>0.78275024180239416</v>
      </c>
      <c r="AF737">
        <f t="shared" si="211"/>
        <v>0.76453671338168949</v>
      </c>
      <c r="AG737">
        <f t="shared" si="212"/>
        <v>0.76881746600966872</v>
      </c>
      <c r="AI737">
        <f t="shared" si="213"/>
        <v>0.29702961121370663</v>
      </c>
      <c r="AJ737">
        <f t="shared" si="214"/>
        <v>19.876917672457171</v>
      </c>
      <c r="AL737">
        <f t="shared" si="215"/>
        <v>0.3041057361020752</v>
      </c>
      <c r="AM737">
        <f t="shared" si="216"/>
        <v>20.83525256366363</v>
      </c>
      <c r="AO737">
        <f t="shared" si="217"/>
        <v>0.30241248447011221</v>
      </c>
      <c r="AP737">
        <f t="shared" si="218"/>
        <v>20.603878379519486</v>
      </c>
    </row>
    <row r="738" spans="1:42" x14ac:dyDescent="0.2">
      <c r="A738" s="3">
        <v>740</v>
      </c>
      <c r="B738" s="3">
        <v>5.5899999999999996E-7</v>
      </c>
      <c r="C738" s="2">
        <v>3.832E-2</v>
      </c>
      <c r="D738" s="3">
        <v>217000</v>
      </c>
      <c r="E738" s="3">
        <v>99300000000</v>
      </c>
      <c r="F738" s="3">
        <v>90900000000</v>
      </c>
      <c r="G738" s="2">
        <v>0</v>
      </c>
      <c r="H738" s="3">
        <v>9720000000</v>
      </c>
      <c r="I738" s="2"/>
      <c r="J738" s="7">
        <f t="shared" si="219"/>
        <v>0.55899999999999994</v>
      </c>
      <c r="K738" s="7">
        <f t="shared" si="220"/>
        <v>38.32</v>
      </c>
      <c r="L738" s="7">
        <f t="shared" si="221"/>
        <v>99.300000000000011</v>
      </c>
      <c r="M738" s="7">
        <f t="shared" si="222"/>
        <v>217</v>
      </c>
      <c r="O738">
        <f t="shared" si="223"/>
        <v>0.42655760368663587</v>
      </c>
      <c r="P738">
        <f t="shared" si="224"/>
        <v>426.55760368663584</v>
      </c>
      <c r="V738">
        <f t="shared" si="208"/>
        <v>934.91515412461627</v>
      </c>
      <c r="W738">
        <f t="shared" si="209"/>
        <v>116.05331191961605</v>
      </c>
      <c r="AE738">
        <f t="shared" si="210"/>
        <v>0.79003163940055599</v>
      </c>
      <c r="AF738">
        <f t="shared" si="211"/>
        <v>0.77164868280849597</v>
      </c>
      <c r="AG738">
        <f t="shared" si="212"/>
        <v>0.77596925639115399</v>
      </c>
      <c r="AI738">
        <f t="shared" si="213"/>
        <v>0.29481941614818663</v>
      </c>
      <c r="AJ738">
        <f t="shared" si="214"/>
        <v>19.542810722415666</v>
      </c>
      <c r="AL738">
        <f t="shared" si="215"/>
        <v>0.30184288764537526</v>
      </c>
      <c r="AM738">
        <f t="shared" si="216"/>
        <v>20.485037162961131</v>
      </c>
      <c r="AO738">
        <f t="shared" si="217"/>
        <v>0.30016223548585669</v>
      </c>
      <c r="AP738">
        <f t="shared" si="218"/>
        <v>20.257552099064739</v>
      </c>
    </row>
    <row r="739" spans="1:42" x14ac:dyDescent="0.2">
      <c r="A739" s="3">
        <v>740</v>
      </c>
      <c r="B739" s="3">
        <v>5.6000000000000004E-7</v>
      </c>
      <c r="C739" s="2">
        <v>3.8370000000000001E-2</v>
      </c>
      <c r="D739" s="3">
        <v>214000</v>
      </c>
      <c r="E739" s="3">
        <v>97800000000</v>
      </c>
      <c r="F739" s="3">
        <v>89700000000</v>
      </c>
      <c r="G739" s="3">
        <v>6150000000</v>
      </c>
      <c r="H739" s="3">
        <v>9760000000</v>
      </c>
      <c r="I739" s="2"/>
      <c r="J739" s="7">
        <f t="shared" si="219"/>
        <v>0.56000000000000005</v>
      </c>
      <c r="K739" s="7">
        <f t="shared" si="220"/>
        <v>38.370000000000005</v>
      </c>
      <c r="L739" s="7">
        <f t="shared" si="221"/>
        <v>97.800000000000011</v>
      </c>
      <c r="M739" s="7">
        <f t="shared" si="222"/>
        <v>214</v>
      </c>
      <c r="O739">
        <f t="shared" si="223"/>
        <v>0.42552570093457948</v>
      </c>
      <c r="P739">
        <f t="shared" si="224"/>
        <v>425.5257009345795</v>
      </c>
      <c r="V739">
        <f t="shared" si="208"/>
        <v>933.91250386409854</v>
      </c>
      <c r="W739">
        <f t="shared" si="209"/>
        <v>114.57176079909352</v>
      </c>
      <c r="AE739">
        <f t="shared" si="210"/>
        <v>0.77910954300331325</v>
      </c>
      <c r="AF739">
        <f t="shared" si="211"/>
        <v>0.76098072866828637</v>
      </c>
      <c r="AG739">
        <f t="shared" si="212"/>
        <v>0.76524157081892608</v>
      </c>
      <c r="AI739">
        <f t="shared" si="213"/>
        <v>0.29948719718395378</v>
      </c>
      <c r="AJ739">
        <f t="shared" si="214"/>
        <v>20.12080006310406</v>
      </c>
      <c r="AL739">
        <f t="shared" si="215"/>
        <v>0.30662186904741451</v>
      </c>
      <c r="AM739">
        <f t="shared" si="216"/>
        <v>21.090893367167038</v>
      </c>
      <c r="AO739">
        <f t="shared" si="217"/>
        <v>0.30491460766255923</v>
      </c>
      <c r="AP739">
        <f t="shared" si="218"/>
        <v>20.856680307796218</v>
      </c>
    </row>
    <row r="740" spans="1:42" x14ac:dyDescent="0.2">
      <c r="A740" s="3">
        <v>740</v>
      </c>
      <c r="B740" s="3">
        <v>5.6100000000000001E-7</v>
      </c>
      <c r="C740" s="2">
        <v>3.8420000000000003E-2</v>
      </c>
      <c r="D740" s="3">
        <v>230000</v>
      </c>
      <c r="E740" s="3">
        <v>105000000000</v>
      </c>
      <c r="F740" s="3">
        <v>95400000000</v>
      </c>
      <c r="G740" s="2">
        <v>0</v>
      </c>
      <c r="H740" s="3">
        <v>9550000000</v>
      </c>
      <c r="I740" s="2"/>
      <c r="J740" s="7">
        <f t="shared" si="219"/>
        <v>0.56100000000000005</v>
      </c>
      <c r="K740" s="7">
        <f t="shared" si="220"/>
        <v>38.42</v>
      </c>
      <c r="L740" s="7">
        <f t="shared" si="221"/>
        <v>105</v>
      </c>
      <c r="M740" s="7">
        <f t="shared" si="222"/>
        <v>230</v>
      </c>
      <c r="O740">
        <f t="shared" si="223"/>
        <v>0.43571739130434789</v>
      </c>
      <c r="P740">
        <f t="shared" si="224"/>
        <v>435.71739130434787</v>
      </c>
      <c r="V740">
        <f t="shared" si="208"/>
        <v>943.75667543607722</v>
      </c>
      <c r="W740">
        <f t="shared" si="209"/>
        <v>121.85344272861698</v>
      </c>
      <c r="AE740">
        <f t="shared" si="210"/>
        <v>0.83736072378860771</v>
      </c>
      <c r="AF740">
        <f t="shared" si="211"/>
        <v>0.81787648408273761</v>
      </c>
      <c r="AG740">
        <f t="shared" si="212"/>
        <v>0.82245589387080831</v>
      </c>
      <c r="AI740">
        <f t="shared" si="213"/>
        <v>0.2791509003938073</v>
      </c>
      <c r="AJ740">
        <f t="shared" si="214"/>
        <v>17.441453785860034</v>
      </c>
      <c r="AL740">
        <f t="shared" si="215"/>
        <v>0.28580110144889986</v>
      </c>
      <c r="AM740">
        <f t="shared" si="216"/>
        <v>18.282366546670822</v>
      </c>
      <c r="AO740">
        <f t="shared" si="217"/>
        <v>0.28420976947454107</v>
      </c>
      <c r="AP740">
        <f t="shared" si="218"/>
        <v>18.079342003002111</v>
      </c>
    </row>
    <row r="741" spans="1:42" x14ac:dyDescent="0.2">
      <c r="A741" s="3">
        <v>740</v>
      </c>
      <c r="B741" s="3">
        <v>5.6100000000000001E-7</v>
      </c>
      <c r="C741" s="2">
        <v>3.8469999999999997E-2</v>
      </c>
      <c r="D741" s="3">
        <v>218000</v>
      </c>
      <c r="E741" s="3">
        <v>99200000000</v>
      </c>
      <c r="F741" s="3">
        <v>90800000000</v>
      </c>
      <c r="G741" s="2">
        <v>0</v>
      </c>
      <c r="H741" s="3">
        <v>9700000000</v>
      </c>
      <c r="I741" s="2"/>
      <c r="J741" s="7">
        <f t="shared" si="219"/>
        <v>0.56100000000000005</v>
      </c>
      <c r="K741" s="7">
        <f t="shared" si="220"/>
        <v>38.47</v>
      </c>
      <c r="L741" s="7">
        <f t="shared" si="221"/>
        <v>99.2</v>
      </c>
      <c r="M741" s="7">
        <f t="shared" si="222"/>
        <v>218</v>
      </c>
      <c r="O741">
        <f t="shared" si="223"/>
        <v>0.4286490825688074</v>
      </c>
      <c r="P741">
        <f t="shared" si="224"/>
        <v>428.64908256880739</v>
      </c>
      <c r="V741">
        <f t="shared" si="208"/>
        <v>936.94320762993664</v>
      </c>
      <c r="W741">
        <f t="shared" si="209"/>
        <v>116.33575985434925</v>
      </c>
      <c r="AE741">
        <f t="shared" si="210"/>
        <v>0.7936723381996369</v>
      </c>
      <c r="AF741">
        <f t="shared" si="211"/>
        <v>0.7752046675218992</v>
      </c>
      <c r="AG741">
        <f t="shared" si="212"/>
        <v>0.77954515158189663</v>
      </c>
      <c r="AI741">
        <f t="shared" si="213"/>
        <v>0.29451700500264072</v>
      </c>
      <c r="AJ741">
        <f t="shared" si="214"/>
        <v>19.43972836575368</v>
      </c>
      <c r="AL741">
        <f t="shared" si="215"/>
        <v>0.30153327217085762</v>
      </c>
      <c r="AM741">
        <f t="shared" si="216"/>
        <v>20.376984849654722</v>
      </c>
      <c r="AO741">
        <f t="shared" si="217"/>
        <v>0.29985434394102956</v>
      </c>
      <c r="AP741">
        <f t="shared" si="218"/>
        <v>20.150699699978695</v>
      </c>
    </row>
    <row r="742" spans="1:42" x14ac:dyDescent="0.2">
      <c r="A742" s="3">
        <v>740</v>
      </c>
      <c r="B742" s="3">
        <v>5.6199999999999998E-7</v>
      </c>
      <c r="C742" s="2">
        <v>3.8530000000000002E-2</v>
      </c>
      <c r="D742" s="3">
        <v>225000</v>
      </c>
      <c r="E742" s="3">
        <v>102000000000</v>
      </c>
      <c r="F742" s="3">
        <v>93300000000</v>
      </c>
      <c r="G742" s="3">
        <v>9610000000</v>
      </c>
      <c r="H742" s="3">
        <v>9620000000</v>
      </c>
      <c r="I742" s="2"/>
      <c r="J742" s="7">
        <f t="shared" si="219"/>
        <v>0.56199999999999994</v>
      </c>
      <c r="K742" s="7">
        <f t="shared" si="220"/>
        <v>38.53</v>
      </c>
      <c r="L742" s="7">
        <f t="shared" si="221"/>
        <v>102</v>
      </c>
      <c r="M742" s="7">
        <f t="shared" si="222"/>
        <v>225</v>
      </c>
      <c r="O742">
        <f t="shared" si="223"/>
        <v>0.4335666666666666</v>
      </c>
      <c r="P742">
        <f t="shared" si="224"/>
        <v>433.56666666666661</v>
      </c>
      <c r="V742">
        <f t="shared" si="208"/>
        <v>941.69005173319385</v>
      </c>
      <c r="W742">
        <f t="shared" si="209"/>
        <v>119.46605976450761</v>
      </c>
      <c r="AE742">
        <f t="shared" si="210"/>
        <v>0.81915722979320327</v>
      </c>
      <c r="AF742">
        <f t="shared" si="211"/>
        <v>0.80009656051572164</v>
      </c>
      <c r="AG742">
        <f t="shared" si="212"/>
        <v>0.80457641791709511</v>
      </c>
      <c r="AI742">
        <f t="shared" si="213"/>
        <v>0.28586290659460112</v>
      </c>
      <c r="AJ742">
        <f t="shared" si="214"/>
        <v>18.277423122026203</v>
      </c>
      <c r="AL742">
        <f t="shared" si="215"/>
        <v>0.29267300751265429</v>
      </c>
      <c r="AM742">
        <f t="shared" si="216"/>
        <v>19.15864085345811</v>
      </c>
      <c r="AO742">
        <f t="shared" si="217"/>
        <v>0.29104341297111641</v>
      </c>
      <c r="AP742">
        <f t="shared" si="218"/>
        <v>18.945885338100918</v>
      </c>
    </row>
    <row r="743" spans="1:42" x14ac:dyDescent="0.2">
      <c r="A743" s="3">
        <v>740</v>
      </c>
      <c r="B743" s="3">
        <v>5.6300000000000005E-7</v>
      </c>
      <c r="C743" s="2">
        <v>3.8580000000000003E-2</v>
      </c>
      <c r="D743" s="3">
        <v>205000</v>
      </c>
      <c r="E743" s="3">
        <v>93700000000</v>
      </c>
      <c r="F743" s="3">
        <v>86200000000</v>
      </c>
      <c r="G743" s="3">
        <v>11800000000</v>
      </c>
      <c r="H743" s="3">
        <v>9890000000</v>
      </c>
      <c r="I743" s="2"/>
      <c r="J743" s="7">
        <f t="shared" si="219"/>
        <v>0.56300000000000006</v>
      </c>
      <c r="K743" s="7">
        <f t="shared" si="220"/>
        <v>38.580000000000005</v>
      </c>
      <c r="L743" s="7">
        <f t="shared" si="221"/>
        <v>93.7</v>
      </c>
      <c r="M743" s="7">
        <f t="shared" si="222"/>
        <v>205</v>
      </c>
      <c r="O743">
        <f t="shared" si="223"/>
        <v>0.42185365853658541</v>
      </c>
      <c r="P743">
        <f t="shared" si="224"/>
        <v>421.85365853658539</v>
      </c>
      <c r="V743">
        <f t="shared" si="208"/>
        <v>930.33352979961433</v>
      </c>
      <c r="W743">
        <f t="shared" si="209"/>
        <v>110.17554104717433</v>
      </c>
      <c r="AE743">
        <f t="shared" si="210"/>
        <v>0.74634325381158517</v>
      </c>
      <c r="AF743">
        <f t="shared" si="211"/>
        <v>0.72897686624765745</v>
      </c>
      <c r="AG743">
        <f t="shared" si="212"/>
        <v>0.73305851410224221</v>
      </c>
      <c r="AI743">
        <f t="shared" si="213"/>
        <v>0.31431024818046266</v>
      </c>
      <c r="AJ743">
        <f t="shared" si="214"/>
        <v>22.046288902668863</v>
      </c>
      <c r="AL743">
        <f t="shared" si="215"/>
        <v>0.32179804901193898</v>
      </c>
      <c r="AM743">
        <f t="shared" si="216"/>
        <v>23.109216677749476</v>
      </c>
      <c r="AO743">
        <f t="shared" si="217"/>
        <v>0.32000628711150225</v>
      </c>
      <c r="AP743">
        <f t="shared" si="218"/>
        <v>22.852590263517794</v>
      </c>
    </row>
    <row r="744" spans="1:42" x14ac:dyDescent="0.2">
      <c r="A744" s="3">
        <v>740</v>
      </c>
      <c r="B744" s="3">
        <v>5.6400000000000002E-7</v>
      </c>
      <c r="C744" s="2">
        <v>3.8629999999999998E-2</v>
      </c>
      <c r="D744" s="3">
        <v>200000</v>
      </c>
      <c r="E744" s="3">
        <v>91400000000</v>
      </c>
      <c r="F744" s="3">
        <v>84300000000</v>
      </c>
      <c r="G744" s="3">
        <v>6200000000</v>
      </c>
      <c r="H744" s="3">
        <v>9980000000</v>
      </c>
      <c r="I744" s="2"/>
      <c r="J744" s="7">
        <f t="shared" si="219"/>
        <v>0.56400000000000006</v>
      </c>
      <c r="K744" s="7">
        <f t="shared" si="220"/>
        <v>38.629999999999995</v>
      </c>
      <c r="L744" s="7">
        <f t="shared" si="221"/>
        <v>91.4</v>
      </c>
      <c r="M744" s="7">
        <f t="shared" si="222"/>
        <v>200</v>
      </c>
      <c r="O744">
        <f t="shared" si="223"/>
        <v>0.41913750000000005</v>
      </c>
      <c r="P744">
        <f t="shared" si="224"/>
        <v>419.13750000000005</v>
      </c>
      <c r="V744">
        <f t="shared" si="208"/>
        <v>927.67503421670915</v>
      </c>
      <c r="W744">
        <f t="shared" si="209"/>
        <v>107.79636867605898</v>
      </c>
      <c r="AE744">
        <f t="shared" si="210"/>
        <v>0.72813975981618062</v>
      </c>
      <c r="AF744">
        <f t="shared" si="211"/>
        <v>0.71119694268064149</v>
      </c>
      <c r="AG744">
        <f t="shared" si="212"/>
        <v>0.71517903814852901</v>
      </c>
      <c r="AI744">
        <f t="shared" si="213"/>
        <v>0.32274023885102215</v>
      </c>
      <c r="AJ744">
        <f t="shared" si="214"/>
        <v>23.192400917918526</v>
      </c>
      <c r="AL744">
        <f t="shared" si="215"/>
        <v>0.33042886702273871</v>
      </c>
      <c r="AM744">
        <f t="shared" si="216"/>
        <v>24.310586713963151</v>
      </c>
      <c r="AO744">
        <f t="shared" si="217"/>
        <v>0.32858904898607366</v>
      </c>
      <c r="AP744">
        <f t="shared" si="218"/>
        <v>24.040619160182771</v>
      </c>
    </row>
    <row r="745" spans="1:42" x14ac:dyDescent="0.2">
      <c r="A745" s="3">
        <v>740</v>
      </c>
      <c r="B745" s="3">
        <v>5.6400000000000002E-7</v>
      </c>
      <c r="C745" s="2">
        <v>3.8679999999999999E-2</v>
      </c>
      <c r="D745" s="3">
        <v>235000</v>
      </c>
      <c r="E745" s="3">
        <v>106000000000</v>
      </c>
      <c r="F745" s="3">
        <v>96900000000</v>
      </c>
      <c r="G745" s="2">
        <v>0</v>
      </c>
      <c r="H745" s="3">
        <v>9490000000</v>
      </c>
      <c r="I745" s="2"/>
      <c r="J745" s="7">
        <f t="shared" si="219"/>
        <v>0.56400000000000006</v>
      </c>
      <c r="K745" s="7">
        <f t="shared" si="220"/>
        <v>38.68</v>
      </c>
      <c r="L745" s="7">
        <f t="shared" si="221"/>
        <v>106</v>
      </c>
      <c r="M745" s="7">
        <f t="shared" si="222"/>
        <v>235</v>
      </c>
      <c r="O745">
        <f t="shared" si="223"/>
        <v>0.44055319148936178</v>
      </c>
      <c r="P745">
        <f t="shared" si="224"/>
        <v>440.55319148936178</v>
      </c>
      <c r="V745">
        <f t="shared" si="208"/>
        <v>948.38272328370499</v>
      </c>
      <c r="W745">
        <f t="shared" si="209"/>
        <v>123.8951291659605</v>
      </c>
      <c r="AE745">
        <f t="shared" si="210"/>
        <v>0.85556421778401226</v>
      </c>
      <c r="AF745">
        <f t="shared" si="211"/>
        <v>0.83565640764975369</v>
      </c>
      <c r="AG745">
        <f t="shared" si="212"/>
        <v>0.84033536982452162</v>
      </c>
      <c r="AI745">
        <f t="shared" si="213"/>
        <v>0.27467254370299754</v>
      </c>
      <c r="AJ745">
        <f t="shared" si="214"/>
        <v>16.820222404686707</v>
      </c>
      <c r="AL745">
        <f t="shared" si="215"/>
        <v>0.28121605704062874</v>
      </c>
      <c r="AM745">
        <f t="shared" si="216"/>
        <v>17.631183453773311</v>
      </c>
      <c r="AO745">
        <f t="shared" si="217"/>
        <v>0.27965025445623287</v>
      </c>
      <c r="AP745">
        <f t="shared" si="218"/>
        <v>17.435390257859435</v>
      </c>
    </row>
    <row r="746" spans="1:42" x14ac:dyDescent="0.2">
      <c r="A746" s="3">
        <v>740</v>
      </c>
      <c r="B746" s="3">
        <v>5.6499999999999999E-7</v>
      </c>
      <c r="C746" s="2">
        <v>3.8730000000000001E-2</v>
      </c>
      <c r="D746" s="3">
        <v>225000</v>
      </c>
      <c r="E746" s="3">
        <v>102000000000</v>
      </c>
      <c r="F746" s="3">
        <v>93100000000</v>
      </c>
      <c r="G746" s="3">
        <v>7890000000</v>
      </c>
      <c r="H746" s="3">
        <v>9620000000</v>
      </c>
      <c r="I746" s="2"/>
      <c r="J746" s="7">
        <f t="shared" si="219"/>
        <v>0.56499999999999995</v>
      </c>
      <c r="K746" s="7">
        <f t="shared" si="220"/>
        <v>38.730000000000004</v>
      </c>
      <c r="L746" s="7">
        <f t="shared" si="221"/>
        <v>102</v>
      </c>
      <c r="M746" s="7">
        <f t="shared" si="222"/>
        <v>225</v>
      </c>
      <c r="O746">
        <f t="shared" si="223"/>
        <v>0.43589999999999995</v>
      </c>
      <c r="P746">
        <f t="shared" si="224"/>
        <v>435.9</v>
      </c>
      <c r="V746">
        <f t="shared" si="208"/>
        <v>943.9318815464693</v>
      </c>
      <c r="W746">
        <f t="shared" si="209"/>
        <v>119.18232893637217</v>
      </c>
      <c r="AE746">
        <f t="shared" si="210"/>
        <v>0.81915722979320327</v>
      </c>
      <c r="AF746">
        <f t="shared" si="211"/>
        <v>0.80009656051572164</v>
      </c>
      <c r="AG746">
        <f t="shared" si="212"/>
        <v>0.80457641791709511</v>
      </c>
      <c r="AI746">
        <f t="shared" si="213"/>
        <v>0.28738886517072887</v>
      </c>
      <c r="AJ746">
        <f t="shared" si="214"/>
        <v>18.372296847030231</v>
      </c>
      <c r="AL746">
        <f t="shared" si="215"/>
        <v>0.2942353189406578</v>
      </c>
      <c r="AM746">
        <f t="shared" si="216"/>
        <v>19.258088768607127</v>
      </c>
      <c r="AO746">
        <f t="shared" si="217"/>
        <v>0.29259702549587324</v>
      </c>
      <c r="AP746">
        <f t="shared" si="218"/>
        <v>19.044228890336068</v>
      </c>
    </row>
    <row r="747" spans="1:42" x14ac:dyDescent="0.2">
      <c r="A747" s="3">
        <v>750</v>
      </c>
      <c r="B747" s="3">
        <v>5.6599999999999996E-7</v>
      </c>
      <c r="C747" s="2">
        <v>3.8789999999999998E-2</v>
      </c>
      <c r="D747" s="3">
        <v>212000</v>
      </c>
      <c r="E747" s="3">
        <v>96300000000</v>
      </c>
      <c r="F747" s="3">
        <v>88400000000</v>
      </c>
      <c r="G747" s="3">
        <v>4810000000</v>
      </c>
      <c r="H747" s="3">
        <v>9790000000</v>
      </c>
      <c r="I747" s="2"/>
      <c r="J747" s="7">
        <f t="shared" si="219"/>
        <v>0.56599999999999995</v>
      </c>
      <c r="K747" s="7">
        <f t="shared" si="220"/>
        <v>38.79</v>
      </c>
      <c r="L747" s="7">
        <f t="shared" si="221"/>
        <v>96.300000000000011</v>
      </c>
      <c r="M747" s="7">
        <f t="shared" si="222"/>
        <v>212</v>
      </c>
      <c r="O747">
        <f t="shared" si="223"/>
        <v>0.4287712264150943</v>
      </c>
      <c r="P747">
        <f t="shared" si="224"/>
        <v>428.7712264150943</v>
      </c>
      <c r="V747">
        <f t="shared" si="208"/>
        <v>937.06147687726741</v>
      </c>
      <c r="W747">
        <f t="shared" si="209"/>
        <v>113.11957925454603</v>
      </c>
      <c r="AE747">
        <f t="shared" si="210"/>
        <v>0.77182814540515143</v>
      </c>
      <c r="AF747">
        <f t="shared" si="211"/>
        <v>0.75386875924147989</v>
      </c>
      <c r="AG747">
        <f t="shared" si="212"/>
        <v>0.75808978043744069</v>
      </c>
      <c r="AI747">
        <f t="shared" si="213"/>
        <v>0.30555161111614898</v>
      </c>
      <c r="AJ747">
        <f t="shared" si="214"/>
        <v>20.726646995803765</v>
      </c>
      <c r="AL747">
        <f t="shared" si="215"/>
        <v>0.31283075527711446</v>
      </c>
      <c r="AM747">
        <f t="shared" si="216"/>
        <v>21.725950274164774</v>
      </c>
      <c r="AO747">
        <f t="shared" si="217"/>
        <v>0.31108892299966157</v>
      </c>
      <c r="AP747">
        <f t="shared" si="218"/>
        <v>21.484684947330784</v>
      </c>
    </row>
    <row r="748" spans="1:42" x14ac:dyDescent="0.2">
      <c r="A748" s="3">
        <v>750</v>
      </c>
      <c r="B748" s="3">
        <v>5.6599999999999996E-7</v>
      </c>
      <c r="C748" s="2">
        <v>3.884E-2</v>
      </c>
      <c r="D748" s="3">
        <v>207000</v>
      </c>
      <c r="E748" s="3">
        <v>94400000000</v>
      </c>
      <c r="F748" s="3">
        <v>86800000000</v>
      </c>
      <c r="G748" s="3">
        <v>8440000000</v>
      </c>
      <c r="H748" s="3">
        <v>9870000000</v>
      </c>
      <c r="I748" s="2"/>
      <c r="J748" s="7">
        <f t="shared" si="219"/>
        <v>0.56599999999999995</v>
      </c>
      <c r="K748" s="7">
        <f t="shared" si="220"/>
        <v>38.839999999999996</v>
      </c>
      <c r="L748" s="7">
        <f t="shared" si="221"/>
        <v>94.4</v>
      </c>
      <c r="M748" s="7">
        <f t="shared" si="222"/>
        <v>207</v>
      </c>
      <c r="O748">
        <f t="shared" si="223"/>
        <v>0.42527536231884056</v>
      </c>
      <c r="P748">
        <f t="shared" si="224"/>
        <v>425.27536231884056</v>
      </c>
      <c r="V748">
        <f t="shared" si="208"/>
        <v>933.66905780820719</v>
      </c>
      <c r="W748">
        <f t="shared" si="209"/>
        <v>110.85298279346085</v>
      </c>
      <c r="AE748">
        <f t="shared" si="210"/>
        <v>0.75362465140974699</v>
      </c>
      <c r="AF748">
        <f t="shared" si="211"/>
        <v>0.73608883567446393</v>
      </c>
      <c r="AG748">
        <f t="shared" si="212"/>
        <v>0.74021030448372749</v>
      </c>
      <c r="AI748">
        <f t="shared" si="213"/>
        <v>0.31293208481460666</v>
      </c>
      <c r="AJ748">
        <f t="shared" si="214"/>
        <v>21.768049853240132</v>
      </c>
      <c r="AL748">
        <f t="shared" si="215"/>
        <v>0.3203870537137597</v>
      </c>
      <c r="AM748">
        <f t="shared" si="216"/>
        <v>22.81756276221536</v>
      </c>
      <c r="AO748">
        <f t="shared" si="217"/>
        <v>0.3186031481928901</v>
      </c>
      <c r="AP748">
        <f t="shared" si="218"/>
        <v>22.564175146580098</v>
      </c>
    </row>
    <row r="749" spans="1:42" x14ac:dyDescent="0.2">
      <c r="A749" s="3">
        <v>750</v>
      </c>
      <c r="B749" s="3">
        <v>5.68E-7</v>
      </c>
      <c r="C749" s="2">
        <v>3.8890000000000001E-2</v>
      </c>
      <c r="D749" s="3">
        <v>214000</v>
      </c>
      <c r="E749" s="3">
        <v>97100000000</v>
      </c>
      <c r="F749" s="3">
        <v>89100000000</v>
      </c>
      <c r="G749" s="3">
        <v>8460000000</v>
      </c>
      <c r="H749" s="3">
        <v>9750000000</v>
      </c>
      <c r="I749" s="2"/>
      <c r="J749" s="7">
        <f t="shared" si="219"/>
        <v>0.56799999999999995</v>
      </c>
      <c r="K749" s="7">
        <f t="shared" si="220"/>
        <v>38.89</v>
      </c>
      <c r="L749" s="7">
        <f t="shared" si="221"/>
        <v>97.100000000000009</v>
      </c>
      <c r="M749" s="7">
        <f t="shared" si="222"/>
        <v>214</v>
      </c>
      <c r="O749">
        <f t="shared" si="223"/>
        <v>0.43170327102803729</v>
      </c>
      <c r="P749">
        <f t="shared" si="224"/>
        <v>431.70327102803731</v>
      </c>
      <c r="V749">
        <f t="shared" si="208"/>
        <v>939.89489999909983</v>
      </c>
      <c r="W749">
        <f t="shared" si="209"/>
        <v>113.84251579629007</v>
      </c>
      <c r="AE749">
        <f t="shared" si="210"/>
        <v>0.77910954300331325</v>
      </c>
      <c r="AF749">
        <f t="shared" si="211"/>
        <v>0.76098072866828637</v>
      </c>
      <c r="AG749">
        <f t="shared" si="212"/>
        <v>0.76524157081892608</v>
      </c>
      <c r="AI749">
        <f t="shared" si="213"/>
        <v>0.30376558571515305</v>
      </c>
      <c r="AJ749">
        <f t="shared" si="214"/>
        <v>20.393482263594393</v>
      </c>
      <c r="AL749">
        <f t="shared" si="215"/>
        <v>0.31100218146237751</v>
      </c>
      <c r="AM749">
        <f t="shared" si="216"/>
        <v>21.376722518872192</v>
      </c>
      <c r="AO749">
        <f t="shared" si="217"/>
        <v>0.30927053062916715</v>
      </c>
      <c r="AP749">
        <f t="shared" si="218"/>
        <v>21.139335344545085</v>
      </c>
    </row>
    <row r="750" spans="1:42" x14ac:dyDescent="0.2">
      <c r="A750" s="3">
        <v>750</v>
      </c>
      <c r="B750" s="3">
        <v>5.68E-7</v>
      </c>
      <c r="C750" s="2">
        <v>3.8940000000000002E-2</v>
      </c>
      <c r="D750" s="3">
        <v>207000</v>
      </c>
      <c r="E750" s="3">
        <v>94200000000</v>
      </c>
      <c r="F750" s="3">
        <v>86600000000</v>
      </c>
      <c r="G750" s="3">
        <v>20400000000</v>
      </c>
      <c r="H750" s="3">
        <v>9860000000</v>
      </c>
      <c r="I750" s="2"/>
      <c r="J750" s="7">
        <f t="shared" si="219"/>
        <v>0.56799999999999995</v>
      </c>
      <c r="K750" s="7">
        <f t="shared" si="220"/>
        <v>38.940000000000005</v>
      </c>
      <c r="L750" s="7">
        <f t="shared" si="221"/>
        <v>94.2</v>
      </c>
      <c r="M750" s="7">
        <f t="shared" si="222"/>
        <v>207</v>
      </c>
      <c r="O750">
        <f t="shared" si="223"/>
        <v>0.42691304347826076</v>
      </c>
      <c r="P750">
        <f t="shared" si="224"/>
        <v>426.91304347826076</v>
      </c>
      <c r="V750">
        <f t="shared" si="208"/>
        <v>935.26020500498942</v>
      </c>
      <c r="W750">
        <f t="shared" si="209"/>
        <v>110.66438991643813</v>
      </c>
      <c r="AE750">
        <f t="shared" si="210"/>
        <v>0.75362465140974699</v>
      </c>
      <c r="AF750">
        <f t="shared" si="211"/>
        <v>0.73608883567446393</v>
      </c>
      <c r="AG750">
        <f t="shared" si="212"/>
        <v>0.74021030448372749</v>
      </c>
      <c r="AI750">
        <f t="shared" si="213"/>
        <v>0.31403785189875721</v>
      </c>
      <c r="AJ750">
        <f t="shared" si="214"/>
        <v>21.824095295704709</v>
      </c>
      <c r="AL750">
        <f t="shared" si="215"/>
        <v>0.32151916344419701</v>
      </c>
      <c r="AM750">
        <f t="shared" si="216"/>
        <v>22.876310349141768</v>
      </c>
      <c r="AO750">
        <f t="shared" si="217"/>
        <v>0.31972895437025012</v>
      </c>
      <c r="AP750">
        <f t="shared" si="218"/>
        <v>22.622270345206722</v>
      </c>
    </row>
    <row r="751" spans="1:42" x14ac:dyDescent="0.2">
      <c r="A751" s="3">
        <v>750</v>
      </c>
      <c r="B751" s="3">
        <v>5.68E-7</v>
      </c>
      <c r="C751" s="2">
        <v>3.8989999999999997E-2</v>
      </c>
      <c r="D751" s="3">
        <v>218000</v>
      </c>
      <c r="E751" s="3">
        <v>98600000000</v>
      </c>
      <c r="F751" s="3">
        <v>90400000000</v>
      </c>
      <c r="G751" s="2">
        <v>0</v>
      </c>
      <c r="H751" s="3">
        <v>9710000000</v>
      </c>
      <c r="I751" s="2"/>
      <c r="J751" s="7">
        <f t="shared" si="219"/>
        <v>0.56799999999999995</v>
      </c>
      <c r="K751" s="7">
        <f t="shared" si="220"/>
        <v>38.989999999999995</v>
      </c>
      <c r="L751" s="7">
        <f t="shared" si="221"/>
        <v>98.600000000000009</v>
      </c>
      <c r="M751" s="7">
        <f t="shared" si="222"/>
        <v>218</v>
      </c>
      <c r="O751">
        <f t="shared" si="223"/>
        <v>0.43386009174311924</v>
      </c>
      <c r="P751">
        <f t="shared" si="224"/>
        <v>433.86009174311926</v>
      </c>
      <c r="V751">
        <f t="shared" si="208"/>
        <v>941.9723386978942</v>
      </c>
      <c r="W751">
        <f t="shared" si="209"/>
        <v>115.71465054979504</v>
      </c>
      <c r="AE751">
        <f t="shared" si="210"/>
        <v>0.7936723381996369</v>
      </c>
      <c r="AF751">
        <f t="shared" si="211"/>
        <v>0.7752046675218992</v>
      </c>
      <c r="AG751">
        <f t="shared" si="212"/>
        <v>0.77954515158189663</v>
      </c>
      <c r="AI751">
        <f t="shared" si="213"/>
        <v>0.29819190524331535</v>
      </c>
      <c r="AJ751">
        <f t="shared" si="214"/>
        <v>19.702495684448557</v>
      </c>
      <c r="AL751">
        <f t="shared" si="215"/>
        <v>0.3052957194171963</v>
      </c>
      <c r="AM751">
        <f t="shared" si="216"/>
        <v>20.65242108884943</v>
      </c>
      <c r="AO751">
        <f t="shared" si="217"/>
        <v>0.3035958419937696</v>
      </c>
      <c r="AP751">
        <f t="shared" si="218"/>
        <v>20.423077236864291</v>
      </c>
    </row>
    <row r="752" spans="1:42" x14ac:dyDescent="0.2">
      <c r="A752" s="3">
        <v>750</v>
      </c>
      <c r="B752" s="3">
        <v>5.6899999999999997E-7</v>
      </c>
      <c r="C752" s="2">
        <v>3.9050000000000001E-2</v>
      </c>
      <c r="D752" s="3">
        <v>207000</v>
      </c>
      <c r="E752" s="3">
        <v>94100000000</v>
      </c>
      <c r="F752" s="3">
        <v>86600000000</v>
      </c>
      <c r="G752" s="3">
        <v>1920000000</v>
      </c>
      <c r="H752" s="3">
        <v>9870000000</v>
      </c>
      <c r="I752" s="2"/>
      <c r="J752" s="7">
        <f t="shared" si="219"/>
        <v>0.56899999999999995</v>
      </c>
      <c r="K752" s="7">
        <f t="shared" si="220"/>
        <v>39.050000000000004</v>
      </c>
      <c r="L752" s="7">
        <f t="shared" si="221"/>
        <v>94.100000000000009</v>
      </c>
      <c r="M752" s="7">
        <f t="shared" si="222"/>
        <v>207</v>
      </c>
      <c r="O752">
        <f t="shared" si="223"/>
        <v>0.42751449275362313</v>
      </c>
      <c r="P752">
        <f t="shared" si="224"/>
        <v>427.51449275362313</v>
      </c>
      <c r="V752">
        <f t="shared" si="208"/>
        <v>935.84371065790594</v>
      </c>
      <c r="W752">
        <f t="shared" si="209"/>
        <v>110.59538982982387</v>
      </c>
      <c r="AE752">
        <f t="shared" si="210"/>
        <v>0.75362465140974699</v>
      </c>
      <c r="AF752">
        <f t="shared" si="211"/>
        <v>0.73608883567446393</v>
      </c>
      <c r="AG752">
        <f t="shared" si="212"/>
        <v>0.74021030448372749</v>
      </c>
      <c r="AI752">
        <f t="shared" si="213"/>
        <v>0.31459073544083249</v>
      </c>
      <c r="AJ752">
        <f t="shared" si="214"/>
        <v>21.885745282415737</v>
      </c>
      <c r="AL752">
        <f t="shared" si="215"/>
        <v>0.32208521830941567</v>
      </c>
      <c r="AM752">
        <f t="shared" si="216"/>
        <v>22.940932694760811</v>
      </c>
      <c r="AO752">
        <f t="shared" si="217"/>
        <v>0.32029185745893013</v>
      </c>
      <c r="AP752">
        <f t="shared" si="218"/>
        <v>22.686175063696009</v>
      </c>
    </row>
    <row r="753" spans="1:42" x14ac:dyDescent="0.2">
      <c r="A753" s="3">
        <v>750</v>
      </c>
      <c r="B753" s="3">
        <v>5.7000000000000005E-7</v>
      </c>
      <c r="C753" s="2">
        <v>3.9100000000000003E-2</v>
      </c>
      <c r="D753" s="3">
        <v>224000</v>
      </c>
      <c r="E753" s="3">
        <v>101000000000</v>
      </c>
      <c r="F753" s="3">
        <v>92600000000</v>
      </c>
      <c r="G753" s="3">
        <v>8620000000</v>
      </c>
      <c r="H753" s="3">
        <v>9640000000</v>
      </c>
      <c r="I753" s="2"/>
      <c r="J753" s="7">
        <f t="shared" si="219"/>
        <v>0.57000000000000006</v>
      </c>
      <c r="K753" s="7">
        <f t="shared" si="220"/>
        <v>39.1</v>
      </c>
      <c r="L753" s="7">
        <f t="shared" si="221"/>
        <v>101</v>
      </c>
      <c r="M753" s="7">
        <f t="shared" si="222"/>
        <v>224</v>
      </c>
      <c r="O753">
        <f t="shared" si="223"/>
        <v>0.43908482142857147</v>
      </c>
      <c r="P753">
        <f t="shared" si="224"/>
        <v>439.08482142857144</v>
      </c>
      <c r="V753">
        <f t="shared" si="208"/>
        <v>946.98104687494822</v>
      </c>
      <c r="W753">
        <f t="shared" si="209"/>
        <v>118.2705824679403</v>
      </c>
      <c r="AE753">
        <f t="shared" si="210"/>
        <v>0.81551653099412236</v>
      </c>
      <c r="AF753">
        <f t="shared" si="211"/>
        <v>0.79654057580231841</v>
      </c>
      <c r="AG753">
        <f t="shared" si="212"/>
        <v>0.80100052272635247</v>
      </c>
      <c r="AI753">
        <f t="shared" si="213"/>
        <v>0.29122646932795498</v>
      </c>
      <c r="AJ753">
        <f t="shared" si="214"/>
        <v>18.713788368708428</v>
      </c>
      <c r="AL753">
        <f t="shared" si="215"/>
        <v>0.29816434619263094</v>
      </c>
      <c r="AM753">
        <f t="shared" si="216"/>
        <v>19.61604477666436</v>
      </c>
      <c r="AO753">
        <f t="shared" si="217"/>
        <v>0.29650417604176482</v>
      </c>
      <c r="AP753">
        <f t="shared" si="218"/>
        <v>19.398209819182206</v>
      </c>
    </row>
    <row r="754" spans="1:42" x14ac:dyDescent="0.2">
      <c r="A754" s="3">
        <v>750</v>
      </c>
      <c r="B754" s="3">
        <v>5.7000000000000005E-7</v>
      </c>
      <c r="C754" s="2">
        <v>3.9149999999999997E-2</v>
      </c>
      <c r="D754" s="3">
        <v>232000</v>
      </c>
      <c r="E754" s="3">
        <v>105000000000</v>
      </c>
      <c r="F754" s="3">
        <v>95200000000</v>
      </c>
      <c r="G754" s="3">
        <v>8640000000</v>
      </c>
      <c r="H754" s="3">
        <v>9540000000</v>
      </c>
      <c r="I754" s="2"/>
      <c r="J754" s="7">
        <f t="shared" si="219"/>
        <v>0.57000000000000006</v>
      </c>
      <c r="K754" s="7">
        <f t="shared" si="220"/>
        <v>39.15</v>
      </c>
      <c r="L754" s="7">
        <f t="shared" si="221"/>
        <v>105</v>
      </c>
      <c r="M754" s="7">
        <f t="shared" si="222"/>
        <v>232</v>
      </c>
      <c r="O754">
        <f t="shared" si="223"/>
        <v>0.44343750000000004</v>
      </c>
      <c r="P754">
        <f t="shared" si="224"/>
        <v>443.43750000000006</v>
      </c>
      <c r="V754">
        <f t="shared" si="208"/>
        <v>951.12846984287728</v>
      </c>
      <c r="W754">
        <f t="shared" si="209"/>
        <v>121.96039092296623</v>
      </c>
      <c r="AE754">
        <f t="shared" si="210"/>
        <v>0.84464212138676953</v>
      </c>
      <c r="AF754">
        <f t="shared" si="211"/>
        <v>0.82498845350954408</v>
      </c>
      <c r="AG754">
        <f t="shared" si="212"/>
        <v>0.82960768425229359</v>
      </c>
      <c r="AI754">
        <f t="shared" si="213"/>
        <v>0.28118417728216349</v>
      </c>
      <c r="AJ754">
        <f t="shared" si="214"/>
        <v>17.467742842791257</v>
      </c>
      <c r="AL754">
        <f t="shared" si="215"/>
        <v>0.28788281701357471</v>
      </c>
      <c r="AM754">
        <f t="shared" si="216"/>
        <v>18.309923089885842</v>
      </c>
      <c r="AO754">
        <f t="shared" si="217"/>
        <v>0.28627989410929017</v>
      </c>
      <c r="AP754">
        <f t="shared" si="218"/>
        <v>18.106592532518249</v>
      </c>
    </row>
    <row r="755" spans="1:42" x14ac:dyDescent="0.2">
      <c r="A755" s="3">
        <v>750</v>
      </c>
      <c r="B755" s="3">
        <v>5.7100000000000002E-7</v>
      </c>
      <c r="C755" s="2">
        <v>3.9199999999999999E-2</v>
      </c>
      <c r="D755" s="3">
        <v>212000</v>
      </c>
      <c r="E755" s="3">
        <v>96100000000</v>
      </c>
      <c r="F755" s="3">
        <v>88200000000</v>
      </c>
      <c r="G755" s="3">
        <v>2220000000</v>
      </c>
      <c r="H755" s="3">
        <v>9810000000</v>
      </c>
      <c r="I755" s="2"/>
      <c r="J755" s="7">
        <f t="shared" si="219"/>
        <v>0.57100000000000006</v>
      </c>
      <c r="K755" s="7">
        <f t="shared" si="220"/>
        <v>39.199999999999996</v>
      </c>
      <c r="L755" s="7">
        <f t="shared" si="221"/>
        <v>96.100000000000009</v>
      </c>
      <c r="M755" s="7">
        <f t="shared" si="222"/>
        <v>212</v>
      </c>
      <c r="O755">
        <f t="shared" si="223"/>
        <v>0.43232075471698117</v>
      </c>
      <c r="P755">
        <f t="shared" si="224"/>
        <v>432.32075471698118</v>
      </c>
      <c r="V755">
        <f t="shared" si="208"/>
        <v>940.49024659564475</v>
      </c>
      <c r="W755">
        <f t="shared" si="209"/>
        <v>112.70717626652193</v>
      </c>
      <c r="AE755">
        <f t="shared" si="210"/>
        <v>0.77182814540515143</v>
      </c>
      <c r="AF755">
        <f t="shared" si="211"/>
        <v>0.75386875924147989</v>
      </c>
      <c r="AG755">
        <f t="shared" si="212"/>
        <v>0.75808978043744069</v>
      </c>
      <c r="AI755">
        <f t="shared" si="213"/>
        <v>0.30825083029562034</v>
      </c>
      <c r="AJ755">
        <f t="shared" si="214"/>
        <v>20.945722150954047</v>
      </c>
      <c r="AL755">
        <f t="shared" si="215"/>
        <v>0.31559427785023392</v>
      </c>
      <c r="AM755">
        <f t="shared" si="216"/>
        <v>21.95558779961998</v>
      </c>
      <c r="AO755">
        <f t="shared" si="217"/>
        <v>0.31383705836184944</v>
      </c>
      <c r="AP755">
        <f t="shared" si="218"/>
        <v>21.711772362345105</v>
      </c>
    </row>
    <row r="756" spans="1:42" x14ac:dyDescent="0.2">
      <c r="A756" s="3">
        <v>750</v>
      </c>
      <c r="B756" s="3">
        <v>5.7199999999999999E-7</v>
      </c>
      <c r="C756" s="2">
        <v>3.925E-2</v>
      </c>
      <c r="D756" s="3">
        <v>236000</v>
      </c>
      <c r="E756" s="3">
        <v>106000000000</v>
      </c>
      <c r="F756" s="3">
        <v>96600000000</v>
      </c>
      <c r="G756" s="2">
        <v>0</v>
      </c>
      <c r="H756" s="3">
        <v>9500000000</v>
      </c>
      <c r="I756" s="2"/>
      <c r="J756" s="7">
        <f t="shared" si="219"/>
        <v>0.57199999999999995</v>
      </c>
      <c r="K756" s="7">
        <f t="shared" si="220"/>
        <v>39.25</v>
      </c>
      <c r="L756" s="7">
        <f t="shared" si="221"/>
        <v>106</v>
      </c>
      <c r="M756" s="7">
        <f t="shared" si="222"/>
        <v>236</v>
      </c>
      <c r="O756">
        <f t="shared" si="223"/>
        <v>0.44726483050847454</v>
      </c>
      <c r="P756">
        <f t="shared" si="224"/>
        <v>447.26483050847452</v>
      </c>
      <c r="V756">
        <f t="shared" si="208"/>
        <v>954.75662267380528</v>
      </c>
      <c r="W756">
        <f t="shared" si="209"/>
        <v>123.59170619789978</v>
      </c>
      <c r="AE756">
        <f t="shared" si="210"/>
        <v>0.85920491658309317</v>
      </c>
      <c r="AF756">
        <f t="shared" si="211"/>
        <v>0.83921239236315692</v>
      </c>
      <c r="AG756">
        <f t="shared" si="212"/>
        <v>0.84391126501526426</v>
      </c>
      <c r="AI756">
        <f t="shared" si="213"/>
        <v>0.27738823269441132</v>
      </c>
      <c r="AJ756">
        <f t="shared" si="214"/>
        <v>16.923751830195361</v>
      </c>
      <c r="AL756">
        <f t="shared" si="215"/>
        <v>0.28399644178538064</v>
      </c>
      <c r="AM756">
        <f t="shared" si="216"/>
        <v>17.73970439066046</v>
      </c>
      <c r="AO756">
        <f t="shared" si="217"/>
        <v>0.28241515810198659</v>
      </c>
      <c r="AP756">
        <f t="shared" si="218"/>
        <v>17.542706076490489</v>
      </c>
    </row>
    <row r="757" spans="1:42" x14ac:dyDescent="0.2">
      <c r="A757" s="3">
        <v>760</v>
      </c>
      <c r="B757" s="3">
        <v>5.7199999999999999E-7</v>
      </c>
      <c r="C757" s="2">
        <v>3.9309999999999998E-2</v>
      </c>
      <c r="D757" s="3">
        <v>241000</v>
      </c>
      <c r="E757" s="3">
        <v>108000000000</v>
      </c>
      <c r="F757" s="3">
        <v>98200000000</v>
      </c>
      <c r="G757" s="3">
        <v>11200000000</v>
      </c>
      <c r="H757" s="3">
        <v>9460000000</v>
      </c>
      <c r="I757" s="2"/>
      <c r="J757" s="7">
        <f t="shared" si="219"/>
        <v>0.57199999999999995</v>
      </c>
      <c r="K757" s="7">
        <f t="shared" si="220"/>
        <v>39.309999999999995</v>
      </c>
      <c r="L757" s="7">
        <f t="shared" si="221"/>
        <v>108</v>
      </c>
      <c r="M757" s="7">
        <f t="shared" si="222"/>
        <v>241</v>
      </c>
      <c r="O757">
        <f t="shared" si="223"/>
        <v>0.44966597510373441</v>
      </c>
      <c r="P757">
        <f t="shared" si="224"/>
        <v>449.66597510373441</v>
      </c>
      <c r="V757">
        <f t="shared" si="208"/>
        <v>957.02398847980896</v>
      </c>
      <c r="W757">
        <f t="shared" si="209"/>
        <v>125.91115943855182</v>
      </c>
      <c r="AE757">
        <f t="shared" si="210"/>
        <v>0.87740841057849761</v>
      </c>
      <c r="AF757">
        <f t="shared" si="211"/>
        <v>0.85699231593017289</v>
      </c>
      <c r="AG757">
        <f t="shared" si="212"/>
        <v>0.86179074096897745</v>
      </c>
      <c r="AI757">
        <f t="shared" si="213"/>
        <v>0.27163329010739035</v>
      </c>
      <c r="AJ757">
        <f t="shared" si="214"/>
        <v>16.253614377043434</v>
      </c>
      <c r="AL757">
        <f t="shared" si="215"/>
        <v>0.27810439942468812</v>
      </c>
      <c r="AM757">
        <f t="shared" si="216"/>
        <v>17.037257295045727</v>
      </c>
      <c r="AO757">
        <f t="shared" si="217"/>
        <v>0.27655592245671717</v>
      </c>
      <c r="AP757">
        <f t="shared" si="218"/>
        <v>16.848059612193069</v>
      </c>
    </row>
    <row r="758" spans="1:42" x14ac:dyDescent="0.2">
      <c r="A758" s="3">
        <v>760</v>
      </c>
      <c r="B758" s="3">
        <v>5.7299999999999996E-7</v>
      </c>
      <c r="C758" s="2">
        <v>3.9359999999999999E-2</v>
      </c>
      <c r="D758" s="3">
        <v>218000</v>
      </c>
      <c r="E758" s="3">
        <v>98100000000</v>
      </c>
      <c r="F758" s="3">
        <v>89900000000</v>
      </c>
      <c r="G758" s="2">
        <v>0</v>
      </c>
      <c r="H758" s="3">
        <v>9740000000</v>
      </c>
      <c r="I758" s="2"/>
      <c r="J758" s="7">
        <f t="shared" si="219"/>
        <v>0.57299999999999995</v>
      </c>
      <c r="K758" s="7">
        <f t="shared" si="220"/>
        <v>39.36</v>
      </c>
      <c r="L758" s="7">
        <f t="shared" si="221"/>
        <v>98.100000000000009</v>
      </c>
      <c r="M758" s="7">
        <f t="shared" si="222"/>
        <v>218</v>
      </c>
      <c r="O758">
        <f t="shared" si="223"/>
        <v>0.43758715596330272</v>
      </c>
      <c r="P758">
        <f t="shared" si="224"/>
        <v>437.58715596330273</v>
      </c>
      <c r="V758">
        <f t="shared" si="208"/>
        <v>945.54871360162747</v>
      </c>
      <c r="W758">
        <f t="shared" si="209"/>
        <v>115.27697984466106</v>
      </c>
      <c r="AE758">
        <f t="shared" si="210"/>
        <v>0.7936723381996369</v>
      </c>
      <c r="AF758">
        <f t="shared" si="211"/>
        <v>0.7752046675218992</v>
      </c>
      <c r="AG758">
        <f t="shared" si="212"/>
        <v>0.77954515158189663</v>
      </c>
      <c r="AI758">
        <f t="shared" si="213"/>
        <v>0.30081683398665438</v>
      </c>
      <c r="AJ758">
        <f t="shared" si="214"/>
        <v>19.889464738135299</v>
      </c>
      <c r="AL758">
        <f t="shared" si="215"/>
        <v>0.30798318173600964</v>
      </c>
      <c r="AM758">
        <f t="shared" si="216"/>
        <v>20.848404566737976</v>
      </c>
      <c r="AO758">
        <f t="shared" si="217"/>
        <v>0.30626834060286967</v>
      </c>
      <c r="AP758">
        <f t="shared" si="218"/>
        <v>20.616884330417506</v>
      </c>
    </row>
    <row r="759" spans="1:42" x14ac:dyDescent="0.2">
      <c r="A759" s="3">
        <v>760</v>
      </c>
      <c r="B759" s="3">
        <v>5.7400000000000003E-7</v>
      </c>
      <c r="C759" s="2">
        <v>3.9410000000000001E-2</v>
      </c>
      <c r="D759" s="3">
        <v>233000</v>
      </c>
      <c r="E759" s="3">
        <v>104000000000</v>
      </c>
      <c r="F759" s="3">
        <v>95200000000</v>
      </c>
      <c r="G759" s="2">
        <v>0</v>
      </c>
      <c r="H759" s="3">
        <v>9550000000</v>
      </c>
      <c r="I759" s="2"/>
      <c r="J759" s="7">
        <f t="shared" si="219"/>
        <v>0.57400000000000007</v>
      </c>
      <c r="K759" s="7">
        <f t="shared" si="220"/>
        <v>39.410000000000004</v>
      </c>
      <c r="L759" s="7">
        <f t="shared" si="221"/>
        <v>104</v>
      </c>
      <c r="M759" s="7">
        <f t="shared" si="222"/>
        <v>233</v>
      </c>
      <c r="O759">
        <f t="shared" si="223"/>
        <v>0.44714377682403439</v>
      </c>
      <c r="P759">
        <f t="shared" si="224"/>
        <v>447.14377682403438</v>
      </c>
      <c r="V759">
        <f t="shared" si="208"/>
        <v>954.64213413496998</v>
      </c>
      <c r="W759">
        <f t="shared" si="209"/>
        <v>122.03525890418</v>
      </c>
      <c r="AE759">
        <f t="shared" si="210"/>
        <v>0.84828282018585044</v>
      </c>
      <c r="AF759">
        <f t="shared" si="211"/>
        <v>0.82854443822294732</v>
      </c>
      <c r="AG759">
        <f t="shared" si="212"/>
        <v>0.83318357944303623</v>
      </c>
      <c r="AI759">
        <f t="shared" si="213"/>
        <v>0.28194213176952898</v>
      </c>
      <c r="AJ759">
        <f t="shared" si="214"/>
        <v>17.433138716816007</v>
      </c>
      <c r="AL759">
        <f t="shared" si="215"/>
        <v>0.28865882822124622</v>
      </c>
      <c r="AM759">
        <f t="shared" si="216"/>
        <v>18.273650579413147</v>
      </c>
      <c r="AO759">
        <f t="shared" si="217"/>
        <v>0.28705158450979562</v>
      </c>
      <c r="AP759">
        <f t="shared" si="218"/>
        <v>18.070722826018862</v>
      </c>
    </row>
    <row r="760" spans="1:42" x14ac:dyDescent="0.2">
      <c r="A760" s="3">
        <v>760</v>
      </c>
      <c r="B760" s="3">
        <v>5.75E-7</v>
      </c>
      <c r="C760" s="2">
        <v>3.9460000000000002E-2</v>
      </c>
      <c r="D760" s="3">
        <v>214000</v>
      </c>
      <c r="E760" s="3">
        <v>96500000000</v>
      </c>
      <c r="F760" s="3">
        <v>88500000000</v>
      </c>
      <c r="G760" s="3">
        <v>5760000000</v>
      </c>
      <c r="H760" s="3">
        <v>9780000000</v>
      </c>
      <c r="I760" s="2"/>
      <c r="J760" s="7">
        <f t="shared" si="219"/>
        <v>0.57499999999999996</v>
      </c>
      <c r="K760" s="7">
        <f t="shared" si="220"/>
        <v>39.46</v>
      </c>
      <c r="L760" s="7">
        <f t="shared" si="221"/>
        <v>96.5</v>
      </c>
      <c r="M760" s="7">
        <f t="shared" si="222"/>
        <v>214</v>
      </c>
      <c r="O760">
        <f t="shared" si="223"/>
        <v>0.43670560747663545</v>
      </c>
      <c r="P760">
        <f t="shared" si="224"/>
        <v>436.70560747663546</v>
      </c>
      <c r="V760">
        <f t="shared" si="208"/>
        <v>944.7043437453957</v>
      </c>
      <c r="W760">
        <f t="shared" si="209"/>
        <v>113.2629490998056</v>
      </c>
      <c r="AE760">
        <f t="shared" si="210"/>
        <v>0.77910954300331325</v>
      </c>
      <c r="AF760">
        <f t="shared" si="211"/>
        <v>0.76098072866828637</v>
      </c>
      <c r="AG760">
        <f t="shared" si="212"/>
        <v>0.76524157081892608</v>
      </c>
      <c r="AI760">
        <f t="shared" si="213"/>
        <v>0.30750917567995245</v>
      </c>
      <c r="AJ760">
        <f t="shared" si="214"/>
        <v>20.692383906439566</v>
      </c>
      <c r="AL760">
        <f t="shared" si="215"/>
        <v>0.31483495482547019</v>
      </c>
      <c r="AM760">
        <f t="shared" si="216"/>
        <v>21.690035242856691</v>
      </c>
      <c r="AO760">
        <f t="shared" si="217"/>
        <v>0.31308196322494913</v>
      </c>
      <c r="AP760">
        <f t="shared" si="218"/>
        <v>21.44916875021211</v>
      </c>
    </row>
    <row r="761" spans="1:42" x14ac:dyDescent="0.2">
      <c r="A761" s="3">
        <v>760</v>
      </c>
      <c r="B761" s="3">
        <v>5.75E-7</v>
      </c>
      <c r="C761" s="2">
        <v>3.9510000000000003E-2</v>
      </c>
      <c r="D761" s="3">
        <v>234000</v>
      </c>
      <c r="E761" s="3">
        <v>105000000000</v>
      </c>
      <c r="F761" s="3">
        <v>95300000000</v>
      </c>
      <c r="G761" s="3">
        <v>7260000000</v>
      </c>
      <c r="H761" s="3">
        <v>9540000000</v>
      </c>
      <c r="I761" s="2"/>
      <c r="J761" s="7">
        <f t="shared" si="219"/>
        <v>0.57499999999999996</v>
      </c>
      <c r="K761" s="7">
        <f t="shared" si="220"/>
        <v>39.510000000000005</v>
      </c>
      <c r="L761" s="7">
        <f t="shared" si="221"/>
        <v>105</v>
      </c>
      <c r="M761" s="7">
        <f t="shared" si="222"/>
        <v>234</v>
      </c>
      <c r="O761">
        <f t="shared" si="223"/>
        <v>0.44836538461538455</v>
      </c>
      <c r="P761">
        <f t="shared" si="224"/>
        <v>448.36538461538453</v>
      </c>
      <c r="V761">
        <f t="shared" si="208"/>
        <v>955.79669929309307</v>
      </c>
      <c r="W761">
        <f t="shared" si="209"/>
        <v>122.41096886663571</v>
      </c>
      <c r="AE761">
        <f t="shared" si="210"/>
        <v>0.85192351898493135</v>
      </c>
      <c r="AF761">
        <f t="shared" si="211"/>
        <v>0.83210042293635045</v>
      </c>
      <c r="AG761">
        <f t="shared" si="212"/>
        <v>0.83675947463377898</v>
      </c>
      <c r="AI761">
        <f t="shared" si="213"/>
        <v>0.28122634015175135</v>
      </c>
      <c r="AJ761">
        <f t="shared" si="214"/>
        <v>17.32831395575624</v>
      </c>
      <c r="AL761">
        <f t="shared" si="215"/>
        <v>0.28792598432756678</v>
      </c>
      <c r="AM761">
        <f t="shared" si="216"/>
        <v>18.163771854371575</v>
      </c>
      <c r="AO761">
        <f t="shared" si="217"/>
        <v>0.28632282106897056</v>
      </c>
      <c r="AP761">
        <f t="shared" si="218"/>
        <v>17.962064297386405</v>
      </c>
    </row>
    <row r="762" spans="1:42" x14ac:dyDescent="0.2">
      <c r="A762" s="3">
        <v>760</v>
      </c>
      <c r="B762" s="3">
        <v>5.7599999999999997E-7</v>
      </c>
      <c r="C762" s="2">
        <v>3.9570000000000001E-2</v>
      </c>
      <c r="D762" s="3">
        <v>222000</v>
      </c>
      <c r="E762" s="3">
        <v>99700000000</v>
      </c>
      <c r="F762" s="3">
        <v>91300000000</v>
      </c>
      <c r="G762" s="3">
        <v>2670000000</v>
      </c>
      <c r="H762" s="3">
        <v>9690000000</v>
      </c>
      <c r="I762" s="2"/>
      <c r="J762" s="7">
        <f t="shared" si="219"/>
        <v>0.57599999999999996</v>
      </c>
      <c r="K762" s="7">
        <f t="shared" si="220"/>
        <v>39.57</v>
      </c>
      <c r="L762" s="7">
        <f t="shared" si="221"/>
        <v>99.7</v>
      </c>
      <c r="M762" s="7">
        <f t="shared" si="222"/>
        <v>222</v>
      </c>
      <c r="O762">
        <f t="shared" si="223"/>
        <v>0.44231756756756752</v>
      </c>
      <c r="P762">
        <f t="shared" si="224"/>
        <v>442.31756756756749</v>
      </c>
      <c r="V762">
        <f t="shared" si="208"/>
        <v>950.06352363499218</v>
      </c>
      <c r="W762">
        <f t="shared" si="209"/>
        <v>116.83429290633984</v>
      </c>
      <c r="AE762">
        <f t="shared" si="210"/>
        <v>0.80823513339596054</v>
      </c>
      <c r="AF762">
        <f t="shared" si="211"/>
        <v>0.78942860637551204</v>
      </c>
      <c r="AG762">
        <f t="shared" si="212"/>
        <v>0.79384873234486719</v>
      </c>
      <c r="AI762">
        <f t="shared" si="213"/>
        <v>0.29694329048972706</v>
      </c>
      <c r="AJ762">
        <f t="shared" si="214"/>
        <v>19.281512329759906</v>
      </c>
      <c r="AL762">
        <f t="shared" si="215"/>
        <v>0.30401735896284182</v>
      </c>
      <c r="AM762">
        <f t="shared" si="216"/>
        <v>20.21114067180617</v>
      </c>
      <c r="AO762">
        <f t="shared" si="217"/>
        <v>0.30232459941214362</v>
      </c>
      <c r="AP762">
        <f t="shared" si="218"/>
        <v>19.986697211412654</v>
      </c>
    </row>
    <row r="763" spans="1:42" x14ac:dyDescent="0.2">
      <c r="A763" s="3">
        <v>760</v>
      </c>
      <c r="B763" s="3">
        <v>5.7599999999999997E-7</v>
      </c>
      <c r="C763" s="2">
        <v>3.9620000000000002E-2</v>
      </c>
      <c r="D763" s="3">
        <v>235000</v>
      </c>
      <c r="E763" s="3">
        <v>105000000000</v>
      </c>
      <c r="F763" s="3">
        <v>95900000000</v>
      </c>
      <c r="G763" s="2">
        <v>0</v>
      </c>
      <c r="H763" s="3">
        <v>9530000000</v>
      </c>
      <c r="I763" s="2"/>
      <c r="J763" s="7">
        <f t="shared" si="219"/>
        <v>0.57599999999999996</v>
      </c>
      <c r="K763" s="7">
        <f t="shared" si="220"/>
        <v>39.620000000000005</v>
      </c>
      <c r="L763" s="7">
        <f t="shared" si="221"/>
        <v>105</v>
      </c>
      <c r="M763" s="7">
        <f t="shared" si="222"/>
        <v>235</v>
      </c>
      <c r="O763">
        <f t="shared" si="223"/>
        <v>0.44955319148936163</v>
      </c>
      <c r="P763">
        <f t="shared" si="224"/>
        <v>449.55319148936161</v>
      </c>
      <c r="V763">
        <f t="shared" si="208"/>
        <v>956.91763970863531</v>
      </c>
      <c r="W763">
        <f t="shared" si="209"/>
        <v>122.79008675791231</v>
      </c>
      <c r="AE763">
        <f t="shared" si="210"/>
        <v>0.85556421778401226</v>
      </c>
      <c r="AF763">
        <f t="shared" si="211"/>
        <v>0.83565640764975369</v>
      </c>
      <c r="AG763">
        <f t="shared" si="212"/>
        <v>0.84033536982452162</v>
      </c>
      <c r="AI763">
        <f t="shared" si="213"/>
        <v>0.28051664037752938</v>
      </c>
      <c r="AJ763">
        <f t="shared" si="214"/>
        <v>17.228986858161512</v>
      </c>
      <c r="AL763">
        <f t="shared" si="215"/>
        <v>0.28719937740319529</v>
      </c>
      <c r="AM763">
        <f t="shared" si="216"/>
        <v>18.059655854149394</v>
      </c>
      <c r="AO763">
        <f t="shared" si="217"/>
        <v>0.28560025987019522</v>
      </c>
      <c r="AP763">
        <f t="shared" si="218"/>
        <v>17.859104498872565</v>
      </c>
    </row>
    <row r="764" spans="1:42" x14ac:dyDescent="0.2">
      <c r="A764" s="3">
        <v>760</v>
      </c>
      <c r="B764" s="3">
        <v>5.7700000000000004E-7</v>
      </c>
      <c r="C764" s="2">
        <v>3.9669999999999997E-2</v>
      </c>
      <c r="D764" s="3">
        <v>236000</v>
      </c>
      <c r="E764" s="3">
        <v>105000000000</v>
      </c>
      <c r="F764" s="3">
        <v>95900000000</v>
      </c>
      <c r="G764" s="3">
        <v>4570000000</v>
      </c>
      <c r="H764" s="3">
        <v>9540000000</v>
      </c>
      <c r="I764" s="2"/>
      <c r="J764" s="7">
        <f t="shared" si="219"/>
        <v>0.57700000000000007</v>
      </c>
      <c r="K764" s="7">
        <f t="shared" si="220"/>
        <v>39.669999999999995</v>
      </c>
      <c r="L764" s="7">
        <f t="shared" si="221"/>
        <v>105</v>
      </c>
      <c r="M764" s="7">
        <f t="shared" si="222"/>
        <v>236</v>
      </c>
      <c r="O764">
        <f t="shared" si="223"/>
        <v>0.45093008474576279</v>
      </c>
      <c r="P764">
        <f t="shared" si="224"/>
        <v>450.93008474576277</v>
      </c>
      <c r="V764">
        <f t="shared" si="208"/>
        <v>958.21495959408867</v>
      </c>
      <c r="W764">
        <f t="shared" si="209"/>
        <v>123.14564578493558</v>
      </c>
      <c r="AE764">
        <f t="shared" si="210"/>
        <v>0.85920491658309317</v>
      </c>
      <c r="AF764">
        <f t="shared" si="211"/>
        <v>0.83921239236315692</v>
      </c>
      <c r="AG764">
        <f t="shared" si="212"/>
        <v>0.84391126501526426</v>
      </c>
      <c r="AI764">
        <f t="shared" si="213"/>
        <v>0.27981295500817371</v>
      </c>
      <c r="AJ764">
        <f t="shared" si="214"/>
        <v>17.104846754238213</v>
      </c>
      <c r="AL764">
        <f t="shared" si="215"/>
        <v>0.28647892816462356</v>
      </c>
      <c r="AM764">
        <f t="shared" si="216"/>
        <v>17.929530526815295</v>
      </c>
      <c r="AO764">
        <f t="shared" si="217"/>
        <v>0.28488382207140961</v>
      </c>
      <c r="AP764">
        <f t="shared" si="218"/>
        <v>17.730424205207072</v>
      </c>
    </row>
    <row r="765" spans="1:42" x14ac:dyDescent="0.2">
      <c r="A765" s="3">
        <v>760</v>
      </c>
      <c r="B765" s="3">
        <v>5.7800000000000001E-7</v>
      </c>
      <c r="C765" s="2">
        <v>3.9719999999999998E-2</v>
      </c>
      <c r="D765" s="3">
        <v>239000</v>
      </c>
      <c r="E765" s="3">
        <v>107000000000</v>
      </c>
      <c r="F765" s="3">
        <v>97000000000</v>
      </c>
      <c r="G765" s="3">
        <v>7190000000</v>
      </c>
      <c r="H765" s="3">
        <v>9500000000</v>
      </c>
      <c r="I765" s="2"/>
      <c r="J765" s="7">
        <f t="shared" si="219"/>
        <v>0.57800000000000007</v>
      </c>
      <c r="K765" s="7">
        <f t="shared" si="220"/>
        <v>39.72</v>
      </c>
      <c r="L765" s="7">
        <f t="shared" si="221"/>
        <v>107</v>
      </c>
      <c r="M765" s="7">
        <f t="shared" si="222"/>
        <v>239</v>
      </c>
      <c r="O765">
        <f t="shared" si="223"/>
        <v>0.45335564853556493</v>
      </c>
      <c r="P765">
        <f t="shared" si="224"/>
        <v>453.35564853556491</v>
      </c>
      <c r="V765">
        <f t="shared" si="208"/>
        <v>960.49498937082853</v>
      </c>
      <c r="W765">
        <f t="shared" si="209"/>
        <v>124.41501655128714</v>
      </c>
      <c r="AE765">
        <f t="shared" si="210"/>
        <v>0.8701270129803359</v>
      </c>
      <c r="AF765">
        <f t="shared" si="211"/>
        <v>0.84988034650336652</v>
      </c>
      <c r="AG765">
        <f t="shared" si="212"/>
        <v>0.85463895058749217</v>
      </c>
      <c r="AI765">
        <f t="shared" si="213"/>
        <v>0.27677951579555893</v>
      </c>
      <c r="AJ765">
        <f t="shared" si="214"/>
        <v>16.69915250794163</v>
      </c>
      <c r="AL765">
        <f t="shared" si="215"/>
        <v>0.28337322344749549</v>
      </c>
      <c r="AM765">
        <f t="shared" si="216"/>
        <v>17.504276358915455</v>
      </c>
      <c r="AO765">
        <f t="shared" si="217"/>
        <v>0.28179540982514401</v>
      </c>
      <c r="AP765">
        <f t="shared" si="218"/>
        <v>17.30989245839865</v>
      </c>
    </row>
    <row r="766" spans="1:42" x14ac:dyDescent="0.2">
      <c r="A766" s="3">
        <v>760</v>
      </c>
      <c r="B766" s="3">
        <v>5.7800000000000001E-7</v>
      </c>
      <c r="C766" s="2">
        <v>3.9780000000000003E-2</v>
      </c>
      <c r="D766" s="3">
        <v>208000</v>
      </c>
      <c r="E766" s="3">
        <v>93700000000</v>
      </c>
      <c r="F766" s="3">
        <v>86200000000</v>
      </c>
      <c r="G766" s="2">
        <v>0</v>
      </c>
      <c r="H766" s="3">
        <v>9910000000</v>
      </c>
      <c r="I766" s="2"/>
      <c r="J766" s="7">
        <f t="shared" si="219"/>
        <v>0.57800000000000007</v>
      </c>
      <c r="K766" s="7">
        <f t="shared" si="220"/>
        <v>39.78</v>
      </c>
      <c r="L766" s="7">
        <f t="shared" si="221"/>
        <v>93.7</v>
      </c>
      <c r="M766" s="7">
        <f t="shared" si="222"/>
        <v>208</v>
      </c>
      <c r="O766">
        <f t="shared" si="223"/>
        <v>0.43456250000000007</v>
      </c>
      <c r="P766">
        <f t="shared" si="224"/>
        <v>434.56250000000006</v>
      </c>
      <c r="V766">
        <f t="shared" si="208"/>
        <v>942.64765261148489</v>
      </c>
      <c r="W766">
        <f t="shared" si="209"/>
        <v>110.32754360749882</v>
      </c>
      <c r="AE766">
        <f t="shared" si="210"/>
        <v>0.7572653502088279</v>
      </c>
      <c r="AF766">
        <f t="shared" si="211"/>
        <v>0.73964482038786705</v>
      </c>
      <c r="AG766">
        <f t="shared" si="212"/>
        <v>0.74378619967447013</v>
      </c>
      <c r="AI766">
        <f t="shared" si="213"/>
        <v>0.31803030901508933</v>
      </c>
      <c r="AJ766">
        <f t="shared" si="214"/>
        <v>22.081018516656634</v>
      </c>
      <c r="AL766">
        <f t="shared" si="215"/>
        <v>0.32560673271130491</v>
      </c>
      <c r="AM766">
        <f t="shared" si="216"/>
        <v>23.145620726445436</v>
      </c>
      <c r="AO766">
        <f t="shared" si="217"/>
        <v>0.32379376417408379</v>
      </c>
      <c r="AP766">
        <f t="shared" si="218"/>
        <v>22.888590047516661</v>
      </c>
    </row>
    <row r="767" spans="1:42" x14ac:dyDescent="0.2">
      <c r="A767" s="3">
        <v>770</v>
      </c>
      <c r="B767" s="3">
        <v>5.7899999999999998E-7</v>
      </c>
      <c r="C767" s="2">
        <v>3.9829999999999997E-2</v>
      </c>
      <c r="D767" s="3">
        <v>232000</v>
      </c>
      <c r="E767" s="3">
        <v>104000000000</v>
      </c>
      <c r="F767" s="3">
        <v>94400000000</v>
      </c>
      <c r="G767" s="3">
        <v>8920000000</v>
      </c>
      <c r="H767" s="3">
        <v>9590000000</v>
      </c>
      <c r="I767" s="2"/>
      <c r="J767" s="7">
        <f t="shared" si="219"/>
        <v>0.57899999999999996</v>
      </c>
      <c r="K767" s="7">
        <f t="shared" si="220"/>
        <v>39.83</v>
      </c>
      <c r="L767" s="7">
        <f t="shared" si="221"/>
        <v>104</v>
      </c>
      <c r="M767" s="7">
        <f t="shared" si="222"/>
        <v>232</v>
      </c>
      <c r="O767">
        <f t="shared" si="223"/>
        <v>0.45023922413793099</v>
      </c>
      <c r="P767">
        <f t="shared" si="224"/>
        <v>450.23922413793099</v>
      </c>
      <c r="V767">
        <f t="shared" si="208"/>
        <v>957.56430139543124</v>
      </c>
      <c r="W767">
        <f t="shared" si="209"/>
        <v>121.14068980115121</v>
      </c>
      <c r="AE767">
        <f t="shared" si="210"/>
        <v>0.84464212138676953</v>
      </c>
      <c r="AF767">
        <f t="shared" si="211"/>
        <v>0.82498845350954408</v>
      </c>
      <c r="AG767">
        <f t="shared" si="212"/>
        <v>0.82960768425229359</v>
      </c>
      <c r="AI767">
        <f t="shared" si="213"/>
        <v>0.28562392744977655</v>
      </c>
      <c r="AJ767">
        <f t="shared" si="214"/>
        <v>17.771141696765664</v>
      </c>
      <c r="AL767">
        <f t="shared" si="215"/>
        <v>0.29242833517694689</v>
      </c>
      <c r="AM767">
        <f t="shared" si="216"/>
        <v>18.627949851089479</v>
      </c>
      <c r="AO767">
        <f t="shared" si="217"/>
        <v>0.29080010296364733</v>
      </c>
      <c r="AP767">
        <f t="shared" si="218"/>
        <v>18.421087626314225</v>
      </c>
    </row>
    <row r="768" spans="1:42" x14ac:dyDescent="0.2">
      <c r="A768" s="3">
        <v>770</v>
      </c>
      <c r="B768" s="3">
        <v>5.7899999999999998E-7</v>
      </c>
      <c r="C768" s="2">
        <v>3.9879999999999999E-2</v>
      </c>
      <c r="D768" s="3">
        <v>230000</v>
      </c>
      <c r="E768" s="3">
        <v>103000000000</v>
      </c>
      <c r="F768" s="3">
        <v>93700000000</v>
      </c>
      <c r="G768" s="3">
        <v>1200000000</v>
      </c>
      <c r="H768" s="3">
        <v>9610000000</v>
      </c>
      <c r="I768" s="2"/>
      <c r="J768" s="7">
        <f t="shared" si="219"/>
        <v>0.57899999999999996</v>
      </c>
      <c r="K768" s="7">
        <f t="shared" si="220"/>
        <v>39.879999999999995</v>
      </c>
      <c r="L768" s="7">
        <f t="shared" si="221"/>
        <v>103</v>
      </c>
      <c r="M768" s="7">
        <f t="shared" si="222"/>
        <v>230</v>
      </c>
      <c r="O768">
        <f t="shared" si="223"/>
        <v>0.44895652173913042</v>
      </c>
      <c r="P768">
        <f t="shared" si="224"/>
        <v>448.95652173913044</v>
      </c>
      <c r="V768">
        <f t="shared" si="208"/>
        <v>956.35476538752664</v>
      </c>
      <c r="W768">
        <f t="shared" si="209"/>
        <v>120.24826368005873</v>
      </c>
      <c r="AE768">
        <f t="shared" si="210"/>
        <v>0.83736072378860771</v>
      </c>
      <c r="AF768">
        <f t="shared" si="211"/>
        <v>0.81787648408273761</v>
      </c>
      <c r="AG768">
        <f t="shared" si="212"/>
        <v>0.82245589387080831</v>
      </c>
      <c r="AI768">
        <f t="shared" si="213"/>
        <v>0.28810761377542676</v>
      </c>
      <c r="AJ768">
        <f t="shared" si="214"/>
        <v>18.10424718844607</v>
      </c>
      <c r="AL768">
        <f t="shared" si="215"/>
        <v>0.29497119026544205</v>
      </c>
      <c r="AM768">
        <f t="shared" si="216"/>
        <v>18.977115509662472</v>
      </c>
      <c r="AO768">
        <f t="shared" si="217"/>
        <v>0.29332879951115731</v>
      </c>
      <c r="AP768">
        <f t="shared" si="218"/>
        <v>18.766375821960544</v>
      </c>
    </row>
    <row r="769" spans="1:42" x14ac:dyDescent="0.2">
      <c r="A769" s="3">
        <v>770</v>
      </c>
      <c r="B769" s="3">
        <v>5.7999999999999995E-7</v>
      </c>
      <c r="C769" s="2">
        <v>3.993E-2</v>
      </c>
      <c r="D769" s="3">
        <v>257000</v>
      </c>
      <c r="E769" s="3">
        <v>114000000000</v>
      </c>
      <c r="F769" s="3">
        <v>103000000000</v>
      </c>
      <c r="G769" s="3">
        <v>3220000000</v>
      </c>
      <c r="H769" s="3">
        <v>9330000000</v>
      </c>
      <c r="I769" s="2"/>
      <c r="J769" s="7">
        <f t="shared" si="219"/>
        <v>0.57999999999999996</v>
      </c>
      <c r="K769" s="7">
        <f t="shared" si="220"/>
        <v>39.93</v>
      </c>
      <c r="L769" s="7">
        <f t="shared" si="221"/>
        <v>114</v>
      </c>
      <c r="M769" s="7">
        <f t="shared" si="222"/>
        <v>257</v>
      </c>
      <c r="O769">
        <f t="shared" si="223"/>
        <v>0.46347276264591436</v>
      </c>
      <c r="P769">
        <f t="shared" si="224"/>
        <v>463.47276264591437</v>
      </c>
      <c r="V769">
        <f t="shared" si="208"/>
        <v>969.93254643754028</v>
      </c>
      <c r="W769">
        <f t="shared" si="209"/>
        <v>132.48343967007492</v>
      </c>
      <c r="AE769">
        <f t="shared" si="210"/>
        <v>0.93565959136379206</v>
      </c>
      <c r="AF769">
        <f t="shared" si="211"/>
        <v>0.91388807134462424</v>
      </c>
      <c r="AG769">
        <f t="shared" si="212"/>
        <v>0.9190050640208598</v>
      </c>
      <c r="AI769">
        <f t="shared" si="213"/>
        <v>0.25828481736014686</v>
      </c>
      <c r="AJ769">
        <f t="shared" si="214"/>
        <v>14.518242847747574</v>
      </c>
      <c r="AL769">
        <f t="shared" si="215"/>
        <v>0.26443792652977405</v>
      </c>
      <c r="AM769">
        <f t="shared" si="216"/>
        <v>15.218217507263541</v>
      </c>
      <c r="AO769">
        <f t="shared" si="217"/>
        <v>0.2629655440736301</v>
      </c>
      <c r="AP769">
        <f t="shared" si="218"/>
        <v>15.049220148142876</v>
      </c>
    </row>
    <row r="770" spans="1:42" x14ac:dyDescent="0.2">
      <c r="A770" s="3">
        <v>770</v>
      </c>
      <c r="B770" s="3">
        <v>5.7999999999999995E-7</v>
      </c>
      <c r="C770" s="2">
        <v>3.9980000000000002E-2</v>
      </c>
      <c r="D770" s="3">
        <v>259000</v>
      </c>
      <c r="E770" s="3">
        <v>115000000000</v>
      </c>
      <c r="F770" s="3">
        <v>104000000000</v>
      </c>
      <c r="G770" s="3">
        <v>4920000000</v>
      </c>
      <c r="H770" s="3">
        <v>9320000000</v>
      </c>
      <c r="I770" s="2"/>
      <c r="J770" s="7">
        <f t="shared" si="219"/>
        <v>0.57999999999999996</v>
      </c>
      <c r="K770" s="7">
        <f t="shared" si="220"/>
        <v>39.980000000000004</v>
      </c>
      <c r="L770" s="7">
        <f t="shared" si="221"/>
        <v>115.00000000000001</v>
      </c>
      <c r="M770" s="7">
        <f t="shared" si="222"/>
        <v>259</v>
      </c>
      <c r="O770">
        <f t="shared" si="223"/>
        <v>0.46422779922779916</v>
      </c>
      <c r="P770">
        <f t="shared" si="224"/>
        <v>464.22779922779915</v>
      </c>
      <c r="V770">
        <f t="shared" si="208"/>
        <v>970.63224620872506</v>
      </c>
      <c r="W770">
        <f t="shared" si="209"/>
        <v>133.41819263250841</v>
      </c>
      <c r="AE770">
        <f t="shared" si="210"/>
        <v>0.94294098896195389</v>
      </c>
      <c r="AF770">
        <f t="shared" si="211"/>
        <v>0.92100004077143061</v>
      </c>
      <c r="AG770">
        <f t="shared" si="212"/>
        <v>0.92615685440234508</v>
      </c>
      <c r="AI770">
        <f t="shared" si="213"/>
        <v>0.25629034000601442</v>
      </c>
      <c r="AJ770">
        <f t="shared" si="214"/>
        <v>14.312788530775657</v>
      </c>
      <c r="AL770">
        <f t="shared" si="215"/>
        <v>0.26239593481911944</v>
      </c>
      <c r="AM770">
        <f t="shared" si="216"/>
        <v>15.002857527665874</v>
      </c>
      <c r="AO770">
        <f t="shared" si="217"/>
        <v>0.26093492211167157</v>
      </c>
      <c r="AP770">
        <f t="shared" si="218"/>
        <v>14.836251727727152</v>
      </c>
    </row>
    <row r="771" spans="1:42" x14ac:dyDescent="0.2">
      <c r="A771" s="3">
        <v>770</v>
      </c>
      <c r="B771" s="3">
        <v>5.8100000000000003E-7</v>
      </c>
      <c r="C771" s="2">
        <v>4.0039999999999999E-2</v>
      </c>
      <c r="D771" s="3">
        <v>218000</v>
      </c>
      <c r="E771" s="3">
        <v>97400000000</v>
      </c>
      <c r="F771" s="3">
        <v>89300000000</v>
      </c>
      <c r="G771" s="3">
        <v>2900000000</v>
      </c>
      <c r="H771" s="3">
        <v>9770000000</v>
      </c>
      <c r="I771" s="2"/>
      <c r="J771" s="7">
        <f t="shared" si="219"/>
        <v>0.58100000000000007</v>
      </c>
      <c r="K771" s="7">
        <f t="shared" si="220"/>
        <v>40.04</v>
      </c>
      <c r="L771" s="7">
        <f t="shared" si="221"/>
        <v>97.4</v>
      </c>
      <c r="M771" s="7">
        <f t="shared" si="222"/>
        <v>218</v>
      </c>
      <c r="O771">
        <f t="shared" si="223"/>
        <v>0.44324770642201844</v>
      </c>
      <c r="P771">
        <f t="shared" si="224"/>
        <v>443.24770642201844</v>
      </c>
      <c r="V771">
        <f t="shared" si="208"/>
        <v>950.9481002252943</v>
      </c>
      <c r="W771">
        <f t="shared" si="209"/>
        <v>114.62244887410387</v>
      </c>
      <c r="AE771">
        <f t="shared" si="210"/>
        <v>0.7936723381996369</v>
      </c>
      <c r="AF771">
        <f t="shared" si="211"/>
        <v>0.7752046675218992</v>
      </c>
      <c r="AG771">
        <f t="shared" si="212"/>
        <v>0.77954515158189663</v>
      </c>
      <c r="AI771">
        <f t="shared" si="213"/>
        <v>0.30501671997599689</v>
      </c>
      <c r="AJ771">
        <f t="shared" si="214"/>
        <v>20.233083539505522</v>
      </c>
      <c r="AL771">
        <f t="shared" si="215"/>
        <v>0.31228312144611103</v>
      </c>
      <c r="AM771">
        <f t="shared" si="216"/>
        <v>21.208590417992593</v>
      </c>
      <c r="AO771">
        <f t="shared" si="217"/>
        <v>0.3105443383774299</v>
      </c>
      <c r="AP771">
        <f t="shared" si="218"/>
        <v>20.973070340190979</v>
      </c>
    </row>
    <row r="772" spans="1:42" x14ac:dyDescent="0.2">
      <c r="A772" s="3">
        <v>770</v>
      </c>
      <c r="B772" s="3">
        <v>5.82E-7</v>
      </c>
      <c r="C772" s="2">
        <v>4.0090000000000001E-2</v>
      </c>
      <c r="D772" s="3">
        <v>245000</v>
      </c>
      <c r="E772" s="3">
        <v>109000000000</v>
      </c>
      <c r="F772" s="3">
        <v>98900000000</v>
      </c>
      <c r="G772" s="3">
        <v>9220000000</v>
      </c>
      <c r="H772" s="3">
        <v>9450000000</v>
      </c>
      <c r="I772" s="2"/>
      <c r="J772" s="7">
        <f t="shared" si="219"/>
        <v>0.58199999999999996</v>
      </c>
      <c r="K772" s="7">
        <f t="shared" si="220"/>
        <v>40.090000000000003</v>
      </c>
      <c r="L772" s="7">
        <f t="shared" si="221"/>
        <v>109</v>
      </c>
      <c r="M772" s="7">
        <f t="shared" si="222"/>
        <v>245</v>
      </c>
      <c r="O772">
        <f t="shared" si="223"/>
        <v>0.45927551020408158</v>
      </c>
      <c r="P772">
        <f t="shared" si="224"/>
        <v>459.27551020408157</v>
      </c>
      <c r="V772">
        <f t="shared" si="208"/>
        <v>966.0312870258756</v>
      </c>
      <c r="W772">
        <f t="shared" si="209"/>
        <v>126.80748713340459</v>
      </c>
      <c r="AE772">
        <f t="shared" si="210"/>
        <v>0.89197120577482125</v>
      </c>
      <c r="AF772">
        <f t="shared" si="211"/>
        <v>0.87121625478378573</v>
      </c>
      <c r="AG772">
        <f t="shared" si="212"/>
        <v>0.87609432173194801</v>
      </c>
      <c r="AI772">
        <f t="shared" si="213"/>
        <v>0.27186976264480367</v>
      </c>
      <c r="AJ772">
        <f t="shared" si="214"/>
        <v>16.039280428380554</v>
      </c>
      <c r="AL772">
        <f t="shared" si="215"/>
        <v>0.2783465054381733</v>
      </c>
      <c r="AM772">
        <f t="shared" si="216"/>
        <v>16.812589566027235</v>
      </c>
      <c r="AO772">
        <f t="shared" si="217"/>
        <v>0.27679668043116923</v>
      </c>
      <c r="AP772">
        <f t="shared" si="218"/>
        <v>16.625886804335067</v>
      </c>
    </row>
    <row r="773" spans="1:42" x14ac:dyDescent="0.2">
      <c r="A773" s="3">
        <v>770</v>
      </c>
      <c r="B773" s="3">
        <v>5.8299999999999997E-7</v>
      </c>
      <c r="C773" s="2">
        <v>4.0140000000000002E-2</v>
      </c>
      <c r="D773" s="3">
        <v>235000</v>
      </c>
      <c r="E773" s="3">
        <v>105000000000</v>
      </c>
      <c r="F773" s="3">
        <v>95300000000</v>
      </c>
      <c r="G773" s="3">
        <v>4600000000</v>
      </c>
      <c r="H773" s="3">
        <v>9550000000</v>
      </c>
      <c r="I773" s="2"/>
      <c r="J773" s="7">
        <f t="shared" si="219"/>
        <v>0.58299999999999996</v>
      </c>
      <c r="K773" s="7">
        <f t="shared" si="220"/>
        <v>40.14</v>
      </c>
      <c r="L773" s="7">
        <f t="shared" si="221"/>
        <v>105</v>
      </c>
      <c r="M773" s="7">
        <f t="shared" si="222"/>
        <v>235</v>
      </c>
      <c r="O773">
        <f t="shared" si="223"/>
        <v>0.45489361702127656</v>
      </c>
      <c r="P773">
        <f t="shared" si="224"/>
        <v>454.89361702127655</v>
      </c>
      <c r="V773">
        <f t="shared" ref="V773:V836" si="225">$S$3*(P773^$S$4)</f>
        <v>961.93716140109791</v>
      </c>
      <c r="W773">
        <f t="shared" ref="W773:W836" si="226">M773/(2*(V773/1000))</f>
        <v>122.14935103334277</v>
      </c>
      <c r="AE773">
        <f t="shared" si="210"/>
        <v>0.85556421778401226</v>
      </c>
      <c r="AF773">
        <f t="shared" si="211"/>
        <v>0.83565640764975369</v>
      </c>
      <c r="AG773">
        <f t="shared" si="212"/>
        <v>0.84033536982452162</v>
      </c>
      <c r="AI773">
        <f t="shared" si="213"/>
        <v>0.28392569677100626</v>
      </c>
      <c r="AJ773">
        <f t="shared" si="214"/>
        <v>17.455111874977362</v>
      </c>
      <c r="AL773">
        <f t="shared" si="215"/>
        <v>0.29068964761469246</v>
      </c>
      <c r="AM773">
        <f t="shared" si="216"/>
        <v>18.296683139463823</v>
      </c>
      <c r="AO773">
        <f t="shared" si="217"/>
        <v>0.28907109636167333</v>
      </c>
      <c r="AP773">
        <f t="shared" si="218"/>
        <v>18.093499610922379</v>
      </c>
    </row>
    <row r="774" spans="1:42" x14ac:dyDescent="0.2">
      <c r="A774" s="3">
        <v>770</v>
      </c>
      <c r="B774" s="3">
        <v>5.8299999999999997E-7</v>
      </c>
      <c r="C774" s="2">
        <v>4.0189999999999997E-2</v>
      </c>
      <c r="D774" s="3">
        <v>238000</v>
      </c>
      <c r="E774" s="3">
        <v>106000000000</v>
      </c>
      <c r="F774" s="3">
        <v>96400000000</v>
      </c>
      <c r="G774" s="3">
        <v>8140000000</v>
      </c>
      <c r="H774" s="3">
        <v>9530000000</v>
      </c>
      <c r="I774" s="2"/>
      <c r="J774" s="7">
        <f t="shared" si="219"/>
        <v>0.58299999999999996</v>
      </c>
      <c r="K774" s="7">
        <f t="shared" si="220"/>
        <v>40.19</v>
      </c>
      <c r="L774" s="7">
        <f t="shared" si="221"/>
        <v>106</v>
      </c>
      <c r="M774" s="7">
        <f t="shared" si="222"/>
        <v>238</v>
      </c>
      <c r="O774">
        <f t="shared" si="223"/>
        <v>0.45635084033613443</v>
      </c>
      <c r="P774">
        <f t="shared" si="224"/>
        <v>456.35084033613441</v>
      </c>
      <c r="V774">
        <f t="shared" si="225"/>
        <v>963.30111416114187</v>
      </c>
      <c r="W774">
        <f t="shared" si="226"/>
        <v>123.53354340675409</v>
      </c>
      <c r="AE774">
        <f t="shared" si="210"/>
        <v>0.86648631418125499</v>
      </c>
      <c r="AF774">
        <f t="shared" si="211"/>
        <v>0.84632436178996329</v>
      </c>
      <c r="AG774">
        <f t="shared" si="212"/>
        <v>0.85106305539674953</v>
      </c>
      <c r="AI774">
        <f t="shared" si="213"/>
        <v>0.28034680143355667</v>
      </c>
      <c r="AJ774">
        <f t="shared" si="214"/>
        <v>17.039038536786013</v>
      </c>
      <c r="AL774">
        <f t="shared" si="215"/>
        <v>0.28702549239265845</v>
      </c>
      <c r="AM774">
        <f t="shared" si="216"/>
        <v>17.86054946778113</v>
      </c>
      <c r="AO774">
        <f t="shared" si="217"/>
        <v>0.28542734304619005</v>
      </c>
      <c r="AP774">
        <f t="shared" si="218"/>
        <v>17.662209176544103</v>
      </c>
    </row>
    <row r="775" spans="1:42" x14ac:dyDescent="0.2">
      <c r="A775" s="3">
        <v>770</v>
      </c>
      <c r="B775" s="3">
        <v>5.8400000000000004E-7</v>
      </c>
      <c r="C775" s="2">
        <v>4.0239999999999998E-2</v>
      </c>
      <c r="D775" s="3">
        <v>231000</v>
      </c>
      <c r="E775" s="3">
        <v>103000000000</v>
      </c>
      <c r="F775" s="3">
        <v>93900000000</v>
      </c>
      <c r="G775" s="3">
        <v>6270000000</v>
      </c>
      <c r="H775" s="3">
        <v>9610000000</v>
      </c>
      <c r="I775" s="2"/>
      <c r="J775" s="7">
        <f t="shared" si="219"/>
        <v>0.58400000000000007</v>
      </c>
      <c r="K775" s="7">
        <f t="shared" si="220"/>
        <v>40.239999999999995</v>
      </c>
      <c r="L775" s="7">
        <f t="shared" si="221"/>
        <v>103</v>
      </c>
      <c r="M775" s="7">
        <f t="shared" si="222"/>
        <v>231</v>
      </c>
      <c r="O775">
        <f t="shared" si="223"/>
        <v>0.45335064935064945</v>
      </c>
      <c r="P775">
        <f t="shared" si="224"/>
        <v>453.35064935064946</v>
      </c>
      <c r="V775">
        <f t="shared" si="225"/>
        <v>960.4902971338247</v>
      </c>
      <c r="W775">
        <f t="shared" si="226"/>
        <v>120.25108462278139</v>
      </c>
      <c r="AE775">
        <f t="shared" si="210"/>
        <v>0.84100142258768862</v>
      </c>
      <c r="AF775">
        <f t="shared" si="211"/>
        <v>0.82143246879614085</v>
      </c>
      <c r="AG775">
        <f t="shared" si="212"/>
        <v>0.82603178906155095</v>
      </c>
      <c r="AI775">
        <f t="shared" si="213"/>
        <v>0.28933760014890075</v>
      </c>
      <c r="AJ775">
        <f t="shared" si="214"/>
        <v>18.109856345641745</v>
      </c>
      <c r="AL775">
        <f t="shared" si="215"/>
        <v>0.29623047855650647</v>
      </c>
      <c r="AM775">
        <f t="shared" si="216"/>
        <v>18.982995103710557</v>
      </c>
      <c r="AO775">
        <f t="shared" si="217"/>
        <v>0.29458107612272733</v>
      </c>
      <c r="AP775">
        <f t="shared" si="218"/>
        <v>18.772190123482329</v>
      </c>
    </row>
    <row r="776" spans="1:42" x14ac:dyDescent="0.2">
      <c r="A776" s="3">
        <v>770</v>
      </c>
      <c r="B776" s="3">
        <v>5.8500000000000001E-7</v>
      </c>
      <c r="C776" s="2">
        <v>4.0300000000000002E-2</v>
      </c>
      <c r="D776" s="3">
        <v>202000</v>
      </c>
      <c r="E776" s="3">
        <v>90900000000</v>
      </c>
      <c r="F776" s="3">
        <v>83800000000</v>
      </c>
      <c r="G776" s="3">
        <v>12100000000</v>
      </c>
      <c r="H776" s="3">
        <v>10000000000</v>
      </c>
      <c r="I776" s="2"/>
      <c r="J776" s="7">
        <f t="shared" si="219"/>
        <v>0.58499999999999996</v>
      </c>
      <c r="K776" s="7">
        <f t="shared" si="220"/>
        <v>40.300000000000004</v>
      </c>
      <c r="L776" s="7">
        <f t="shared" si="221"/>
        <v>90.9</v>
      </c>
      <c r="M776" s="7">
        <f t="shared" si="222"/>
        <v>202</v>
      </c>
      <c r="O776">
        <f t="shared" si="223"/>
        <v>0.43537128712871281</v>
      </c>
      <c r="P776">
        <f t="shared" si="224"/>
        <v>435.37128712871282</v>
      </c>
      <c r="V776">
        <f t="shared" si="225"/>
        <v>943.42448936793903</v>
      </c>
      <c r="W776">
        <f t="shared" si="226"/>
        <v>107.05679271445076</v>
      </c>
      <c r="AE776">
        <f t="shared" si="210"/>
        <v>0.73542115741434244</v>
      </c>
      <c r="AF776">
        <f t="shared" si="211"/>
        <v>0.71830891210744785</v>
      </c>
      <c r="AG776">
        <f t="shared" si="212"/>
        <v>0.72233082853001429</v>
      </c>
      <c r="AI776">
        <f t="shared" si="213"/>
        <v>0.33144273528517648</v>
      </c>
      <c r="AJ776">
        <f t="shared" si="214"/>
        <v>23.718285931729444</v>
      </c>
      <c r="AL776">
        <f t="shared" si="215"/>
        <v>0.3393386826913527</v>
      </c>
      <c r="AM776">
        <f t="shared" si="216"/>
        <v>24.861826461631825</v>
      </c>
      <c r="AO776">
        <f t="shared" si="217"/>
        <v>0.33744925506785522</v>
      </c>
      <c r="AP776">
        <f t="shared" si="218"/>
        <v>24.585737424730713</v>
      </c>
    </row>
    <row r="777" spans="1:42" x14ac:dyDescent="0.2">
      <c r="A777" s="3">
        <v>780</v>
      </c>
      <c r="B777" s="3">
        <v>5.8500000000000001E-7</v>
      </c>
      <c r="C777" s="2">
        <v>4.0349999999999997E-2</v>
      </c>
      <c r="D777" s="3">
        <v>247000</v>
      </c>
      <c r="E777" s="3">
        <v>110000000000</v>
      </c>
      <c r="F777" s="3">
        <v>99400000000</v>
      </c>
      <c r="G777" s="3">
        <v>9930000000</v>
      </c>
      <c r="H777" s="3">
        <v>9440000000</v>
      </c>
      <c r="I777" s="2"/>
      <c r="J777" s="7">
        <f t="shared" si="219"/>
        <v>0.58499999999999996</v>
      </c>
      <c r="K777" s="7">
        <f t="shared" si="220"/>
        <v>40.349999999999994</v>
      </c>
      <c r="L777" s="7">
        <f t="shared" si="221"/>
        <v>110</v>
      </c>
      <c r="M777" s="7">
        <f t="shared" si="222"/>
        <v>247</v>
      </c>
      <c r="O777">
        <f t="shared" si="223"/>
        <v>0.4624797570850202</v>
      </c>
      <c r="P777">
        <f t="shared" si="224"/>
        <v>462.4797570850202</v>
      </c>
      <c r="V777">
        <f t="shared" si="225"/>
        <v>969.01135122454139</v>
      </c>
      <c r="W777">
        <f t="shared" si="226"/>
        <v>127.44948740170364</v>
      </c>
      <c r="AE777">
        <f t="shared" si="210"/>
        <v>0.89925260337298307</v>
      </c>
      <c r="AF777">
        <f t="shared" si="211"/>
        <v>0.8783282242105922</v>
      </c>
      <c r="AG777">
        <f t="shared" si="212"/>
        <v>0.88324611211343329</v>
      </c>
      <c r="AI777">
        <f t="shared" si="213"/>
        <v>0.27105843128585283</v>
      </c>
      <c r="AJ777">
        <f t="shared" si="214"/>
        <v>15.882930137198942</v>
      </c>
      <c r="AL777">
        <f t="shared" si="215"/>
        <v>0.2775158457637783</v>
      </c>
      <c r="AM777">
        <f t="shared" si="216"/>
        <v>16.648701086995843</v>
      </c>
      <c r="AO777">
        <f t="shared" si="217"/>
        <v>0.27597064584496661</v>
      </c>
      <c r="AP777">
        <f t="shared" si="218"/>
        <v>16.463818296672422</v>
      </c>
    </row>
    <row r="778" spans="1:42" x14ac:dyDescent="0.2">
      <c r="A778" s="3">
        <v>780</v>
      </c>
      <c r="B778" s="3">
        <v>5.8500000000000001E-7</v>
      </c>
      <c r="C778" s="2">
        <v>4.0399999999999998E-2</v>
      </c>
      <c r="D778" s="3">
        <v>222000</v>
      </c>
      <c r="E778" s="3">
        <v>98800000000</v>
      </c>
      <c r="F778" s="3">
        <v>90500000000</v>
      </c>
      <c r="G778" s="3">
        <v>8490000000</v>
      </c>
      <c r="H778" s="3">
        <v>9740000000</v>
      </c>
      <c r="I778" s="2"/>
      <c r="J778" s="7">
        <f t="shared" si="219"/>
        <v>0.58499999999999996</v>
      </c>
      <c r="K778" s="7">
        <f t="shared" si="220"/>
        <v>40.4</v>
      </c>
      <c r="L778" s="7">
        <f t="shared" si="221"/>
        <v>98.800000000000011</v>
      </c>
      <c r="M778" s="7">
        <f t="shared" si="222"/>
        <v>222</v>
      </c>
      <c r="O778">
        <f t="shared" si="223"/>
        <v>0.44851351351351348</v>
      </c>
      <c r="P778">
        <f t="shared" si="224"/>
        <v>448.51351351351349</v>
      </c>
      <c r="V778">
        <f t="shared" si="225"/>
        <v>955.93657961482131</v>
      </c>
      <c r="W778">
        <f t="shared" si="226"/>
        <v>116.11648969927022</v>
      </c>
      <c r="AE778">
        <f t="shared" si="210"/>
        <v>0.80823513339596054</v>
      </c>
      <c r="AF778">
        <f t="shared" si="211"/>
        <v>0.78942860637551204</v>
      </c>
      <c r="AG778">
        <f t="shared" si="212"/>
        <v>0.79384873234486719</v>
      </c>
      <c r="AI778">
        <f t="shared" si="213"/>
        <v>0.30158302940362902</v>
      </c>
      <c r="AJ778">
        <f t="shared" si="214"/>
        <v>19.685951430940108</v>
      </c>
      <c r="AL778">
        <f t="shared" si="215"/>
        <v>0.30876763019663622</v>
      </c>
      <c r="AM778">
        <f t="shared" si="216"/>
        <v>20.635079179706072</v>
      </c>
      <c r="AO778">
        <f t="shared" si="217"/>
        <v>0.30704842127795839</v>
      </c>
      <c r="AP778">
        <f t="shared" si="218"/>
        <v>20.405927908543624</v>
      </c>
    </row>
    <row r="779" spans="1:42" x14ac:dyDescent="0.2">
      <c r="A779" s="3">
        <v>780</v>
      </c>
      <c r="B779" s="3">
        <v>5.8599999999999998E-7</v>
      </c>
      <c r="C779" s="2">
        <v>4.045E-2</v>
      </c>
      <c r="D779" s="3">
        <v>256000</v>
      </c>
      <c r="E779" s="3">
        <v>113000000000</v>
      </c>
      <c r="F779" s="3">
        <v>103000000000</v>
      </c>
      <c r="G779" s="3">
        <v>6940000000</v>
      </c>
      <c r="H779" s="3">
        <v>9360000000</v>
      </c>
      <c r="I779" s="2"/>
      <c r="J779" s="7">
        <f t="shared" si="219"/>
        <v>0.58599999999999997</v>
      </c>
      <c r="K779" s="7">
        <f t="shared" si="220"/>
        <v>40.450000000000003</v>
      </c>
      <c r="L779" s="7">
        <f t="shared" si="221"/>
        <v>113</v>
      </c>
      <c r="M779" s="7">
        <f t="shared" si="222"/>
        <v>256</v>
      </c>
      <c r="O779">
        <f t="shared" si="223"/>
        <v>0.46749414062499994</v>
      </c>
      <c r="P779">
        <f t="shared" si="224"/>
        <v>467.49414062499994</v>
      </c>
      <c r="V779">
        <f t="shared" si="225"/>
        <v>973.65191808783493</v>
      </c>
      <c r="W779">
        <f t="shared" si="226"/>
        <v>131.4638194842573</v>
      </c>
      <c r="AE779">
        <f t="shared" si="210"/>
        <v>0.93201889256471127</v>
      </c>
      <c r="AF779">
        <f t="shared" si="211"/>
        <v>0.910332086631221</v>
      </c>
      <c r="AG779">
        <f t="shared" si="212"/>
        <v>0.91542916883011716</v>
      </c>
      <c r="AI779">
        <f t="shared" si="213"/>
        <v>0.26197609148755946</v>
      </c>
      <c r="AJ779">
        <f t="shared" si="214"/>
        <v>14.822436155769878</v>
      </c>
      <c r="AL779">
        <f t="shared" si="215"/>
        <v>0.26821713773731842</v>
      </c>
      <c r="AM779">
        <f t="shared" si="216"/>
        <v>15.537077025890182</v>
      </c>
      <c r="AO779">
        <f t="shared" si="217"/>
        <v>0.26672371274634188</v>
      </c>
      <c r="AP779">
        <f t="shared" si="218"/>
        <v>15.364538751642458</v>
      </c>
    </row>
    <row r="780" spans="1:42" x14ac:dyDescent="0.2">
      <c r="A780" s="3">
        <v>780</v>
      </c>
      <c r="B780" s="3">
        <v>5.8699999999999995E-7</v>
      </c>
      <c r="C780" s="2">
        <v>4.0500000000000001E-2</v>
      </c>
      <c r="D780" s="3">
        <v>232000</v>
      </c>
      <c r="E780" s="3">
        <v>103000000000</v>
      </c>
      <c r="F780" s="3">
        <v>93900000000</v>
      </c>
      <c r="G780" s="2">
        <v>0</v>
      </c>
      <c r="H780" s="3">
        <v>9620000000</v>
      </c>
      <c r="I780" s="2"/>
      <c r="J780" s="7">
        <f t="shared" si="219"/>
        <v>0.58699999999999997</v>
      </c>
      <c r="K780" s="7">
        <f t="shared" si="220"/>
        <v>40.5</v>
      </c>
      <c r="L780" s="7">
        <f t="shared" si="221"/>
        <v>103</v>
      </c>
      <c r="M780" s="7">
        <f t="shared" si="222"/>
        <v>232</v>
      </c>
      <c r="O780">
        <f t="shared" si="223"/>
        <v>0.45607327586206892</v>
      </c>
      <c r="P780">
        <f t="shared" si="224"/>
        <v>456.0732758620689</v>
      </c>
      <c r="V780">
        <f t="shared" si="225"/>
        <v>963.04150261722339</v>
      </c>
      <c r="W780">
        <f t="shared" si="226"/>
        <v>120.45171437030591</v>
      </c>
      <c r="AE780">
        <f t="shared" si="210"/>
        <v>0.84464212138676953</v>
      </c>
      <c r="AF780">
        <f t="shared" si="211"/>
        <v>0.82498845350954408</v>
      </c>
      <c r="AG780">
        <f t="shared" si="212"/>
        <v>0.82960768425229359</v>
      </c>
      <c r="AI780">
        <f t="shared" si="213"/>
        <v>0.2895703720432104</v>
      </c>
      <c r="AJ780">
        <f t="shared" si="214"/>
        <v>18.070078802887505</v>
      </c>
      <c r="AL780">
        <f t="shared" si="215"/>
        <v>0.29646879576661106</v>
      </c>
      <c r="AM780">
        <f t="shared" si="216"/>
        <v>18.941299748157768</v>
      </c>
      <c r="AO780">
        <f t="shared" si="217"/>
        <v>0.29481806638974262</v>
      </c>
      <c r="AP780">
        <f t="shared" si="218"/>
        <v>18.730957792260259</v>
      </c>
    </row>
    <row r="781" spans="1:42" x14ac:dyDescent="0.2">
      <c r="A781" s="3">
        <v>780</v>
      </c>
      <c r="B781" s="3">
        <v>5.8800000000000002E-7</v>
      </c>
      <c r="C781" s="2">
        <v>4.0559999999999999E-2</v>
      </c>
      <c r="D781" s="3">
        <v>254000</v>
      </c>
      <c r="E781" s="3">
        <v>112000000000</v>
      </c>
      <c r="F781" s="3">
        <v>101000000000</v>
      </c>
      <c r="G781" s="3">
        <v>8920000000</v>
      </c>
      <c r="H781" s="3">
        <v>9390000000</v>
      </c>
      <c r="I781" s="2"/>
      <c r="J781" s="7">
        <f t="shared" si="219"/>
        <v>0.58800000000000008</v>
      </c>
      <c r="K781" s="7">
        <f t="shared" si="220"/>
        <v>40.56</v>
      </c>
      <c r="L781" s="7">
        <f t="shared" si="221"/>
        <v>112</v>
      </c>
      <c r="M781" s="7">
        <f t="shared" si="222"/>
        <v>254</v>
      </c>
      <c r="O781">
        <f t="shared" si="223"/>
        <v>0.46823622047244101</v>
      </c>
      <c r="P781">
        <f t="shared" si="224"/>
        <v>468.236220472441</v>
      </c>
      <c r="V781">
        <f t="shared" si="225"/>
        <v>974.3363175385947</v>
      </c>
      <c r="W781">
        <f t="shared" si="226"/>
        <v>130.34513618545208</v>
      </c>
      <c r="AE781">
        <f t="shared" ref="AE781:AE844" si="227">M781/(2*$Y$5)</f>
        <v>0.92473749496654944</v>
      </c>
      <c r="AF781">
        <f t="shared" ref="AF781:AF844" si="228">M781/(2*$Y$8)</f>
        <v>0.90322011720441464</v>
      </c>
      <c r="AG781">
        <f t="shared" ref="AG781:AG844" si="229">M781/(2*$Y$11)</f>
        <v>0.90827737844863188</v>
      </c>
      <c r="AI781">
        <f t="shared" ref="AI781:AI844" si="230">J781/(2.4*AE781)</f>
        <v>0.26494005199698584</v>
      </c>
      <c r="AJ781">
        <f t="shared" ref="AJ781:AJ844" si="231">K781/(3.14159*(AE781^2))</f>
        <v>15.097724846318986</v>
      </c>
      <c r="AL781">
        <f t="shared" ref="AL781:AL844" si="232">J781/(2.4*AF781)</f>
        <v>0.27125170856281117</v>
      </c>
      <c r="AM781">
        <f t="shared" ref="AM781:AM844" si="233">K781/(3.14159*(AF781^2))</f>
        <v>15.825638335547296</v>
      </c>
      <c r="AO781">
        <f t="shared" ref="AO781:AO844" si="234">J781/(2.4*AG781)</f>
        <v>0.26974138717235063</v>
      </c>
      <c r="AP781">
        <f t="shared" ref="AP781:AP844" si="235">K781/(3.14159*(AG781^2))</f>
        <v>15.649895605899117</v>
      </c>
    </row>
    <row r="782" spans="1:42" x14ac:dyDescent="0.2">
      <c r="A782" s="3">
        <v>780</v>
      </c>
      <c r="B782" s="3">
        <v>5.8800000000000002E-7</v>
      </c>
      <c r="C782" s="2">
        <v>4.061E-2</v>
      </c>
      <c r="D782" s="3">
        <v>221000</v>
      </c>
      <c r="E782" s="3">
        <v>98200000000</v>
      </c>
      <c r="F782" s="3">
        <v>90000000000</v>
      </c>
      <c r="G782" s="3">
        <v>9450000000</v>
      </c>
      <c r="H782" s="3">
        <v>9770000000</v>
      </c>
      <c r="I782" s="2"/>
      <c r="J782" s="7">
        <f t="shared" ref="J782:J845" si="236">B782*(10^6)</f>
        <v>0.58800000000000008</v>
      </c>
      <c r="K782" s="7">
        <f t="shared" ref="K782:K845" si="237">C782*1000</f>
        <v>40.61</v>
      </c>
      <c r="L782" s="7">
        <f t="shared" ref="L782:L845" si="238">E782*(10^-9)</f>
        <v>98.2</v>
      </c>
      <c r="M782" s="7">
        <f t="shared" ref="M782:M845" si="239">D782*(10^-3)</f>
        <v>221</v>
      </c>
      <c r="O782">
        <f t="shared" ref="O782:O845" si="240">J782-(0.75*(K782/M782))</f>
        <v>0.45018325791855213</v>
      </c>
      <c r="P782">
        <f t="shared" ref="P782:P845" si="241">O782*1000</f>
        <v>450.1832579185521</v>
      </c>
      <c r="V782">
        <f t="shared" si="225"/>
        <v>957.51156760880497</v>
      </c>
      <c r="W782">
        <f t="shared" si="226"/>
        <v>115.40330554538554</v>
      </c>
      <c r="AE782">
        <f t="shared" si="227"/>
        <v>0.80459443459687963</v>
      </c>
      <c r="AF782">
        <f t="shared" si="228"/>
        <v>0.78587262166210881</v>
      </c>
      <c r="AG782">
        <f t="shared" si="229"/>
        <v>0.79027283715412455</v>
      </c>
      <c r="AI782">
        <f t="shared" si="230"/>
        <v>0.3045012362318299</v>
      </c>
      <c r="AJ782">
        <f t="shared" si="231"/>
        <v>19.967764004979379</v>
      </c>
      <c r="AL782">
        <f t="shared" si="232"/>
        <v>0.31175535735273319</v>
      </c>
      <c r="AM782">
        <f t="shared" si="233"/>
        <v>20.930478911821503</v>
      </c>
      <c r="AO782">
        <f t="shared" si="234"/>
        <v>0.3100195128587197</v>
      </c>
      <c r="AP782">
        <f t="shared" si="235"/>
        <v>20.698047245002421</v>
      </c>
    </row>
    <row r="783" spans="1:42" x14ac:dyDescent="0.2">
      <c r="A783" s="3">
        <v>780</v>
      </c>
      <c r="B783" s="3">
        <v>5.8899999999999999E-7</v>
      </c>
      <c r="C783" s="2">
        <v>4.0660000000000002E-2</v>
      </c>
      <c r="D783" s="3">
        <v>248000</v>
      </c>
      <c r="E783" s="3">
        <v>110000000000</v>
      </c>
      <c r="F783" s="3">
        <v>99500000000</v>
      </c>
      <c r="G783" s="3">
        <v>1110000000</v>
      </c>
      <c r="H783" s="3">
        <v>9450000000</v>
      </c>
      <c r="I783" s="2"/>
      <c r="J783" s="7">
        <f t="shared" si="236"/>
        <v>0.58899999999999997</v>
      </c>
      <c r="K783" s="7">
        <f t="shared" si="237"/>
        <v>40.660000000000004</v>
      </c>
      <c r="L783" s="7">
        <f t="shared" si="238"/>
        <v>110</v>
      </c>
      <c r="M783" s="7">
        <f t="shared" si="239"/>
        <v>248</v>
      </c>
      <c r="O783">
        <f t="shared" si="240"/>
        <v>0.46603629032258059</v>
      </c>
      <c r="P783">
        <f t="shared" si="241"/>
        <v>466.03629032258061</v>
      </c>
      <c r="V783">
        <f t="shared" si="225"/>
        <v>972.30561938419544</v>
      </c>
      <c r="W783">
        <f t="shared" si="226"/>
        <v>127.53191746288037</v>
      </c>
      <c r="AE783">
        <f t="shared" si="227"/>
        <v>0.90289330217206398</v>
      </c>
      <c r="AF783">
        <f t="shared" si="228"/>
        <v>0.88188420892399533</v>
      </c>
      <c r="AG783">
        <f t="shared" si="229"/>
        <v>0.88682200730417593</v>
      </c>
      <c r="AI783">
        <f t="shared" si="230"/>
        <v>0.27181137137275796</v>
      </c>
      <c r="AJ783">
        <f t="shared" si="231"/>
        <v>15.876143134581168</v>
      </c>
      <c r="AL783">
        <f t="shared" si="232"/>
        <v>0.27828672311312214</v>
      </c>
      <c r="AM783">
        <f t="shared" si="233"/>
        <v>16.641586859527497</v>
      </c>
      <c r="AO783">
        <f t="shared" si="234"/>
        <v>0.27673723097231379</v>
      </c>
      <c r="AP783">
        <f t="shared" si="235"/>
        <v>16.456783072257736</v>
      </c>
    </row>
    <row r="784" spans="1:42" x14ac:dyDescent="0.2">
      <c r="A784" s="3">
        <v>780</v>
      </c>
      <c r="B784" s="3">
        <v>5.8899999999999999E-7</v>
      </c>
      <c r="C784" s="2">
        <v>4.0710000000000003E-2</v>
      </c>
      <c r="D784" s="3">
        <v>214000</v>
      </c>
      <c r="E784" s="3">
        <v>95200000000</v>
      </c>
      <c r="F784" s="3">
        <v>87500000000</v>
      </c>
      <c r="G784" s="3">
        <v>3190000000</v>
      </c>
      <c r="H784" s="3">
        <v>9860000000</v>
      </c>
      <c r="I784" s="2"/>
      <c r="J784" s="7">
        <f t="shared" si="236"/>
        <v>0.58899999999999997</v>
      </c>
      <c r="K784" s="7">
        <f t="shared" si="237"/>
        <v>40.71</v>
      </c>
      <c r="L784" s="7">
        <f t="shared" si="238"/>
        <v>95.2</v>
      </c>
      <c r="M784" s="7">
        <f t="shared" si="239"/>
        <v>214</v>
      </c>
      <c r="O784">
        <f t="shared" si="240"/>
        <v>0.44632476635514018</v>
      </c>
      <c r="P784">
        <f t="shared" si="241"/>
        <v>446.32476635514018</v>
      </c>
      <c r="V784">
        <f t="shared" si="225"/>
        <v>953.86708742031396</v>
      </c>
      <c r="W784">
        <f t="shared" si="226"/>
        <v>112.17495750836332</v>
      </c>
      <c r="AE784">
        <f t="shared" si="227"/>
        <v>0.77910954300331325</v>
      </c>
      <c r="AF784">
        <f t="shared" si="228"/>
        <v>0.76098072866828637</v>
      </c>
      <c r="AG784">
        <f t="shared" si="229"/>
        <v>0.76524157081892608</v>
      </c>
      <c r="AI784">
        <f t="shared" si="230"/>
        <v>0.3149963556095513</v>
      </c>
      <c r="AJ784">
        <f t="shared" si="231"/>
        <v>21.347869965310561</v>
      </c>
      <c r="AL784">
        <f t="shared" si="232"/>
        <v>0.32250050155165555</v>
      </c>
      <c r="AM784">
        <f t="shared" si="233"/>
        <v>22.377124549840239</v>
      </c>
      <c r="AO784">
        <f t="shared" si="234"/>
        <v>0.3207048284165131</v>
      </c>
      <c r="AP784">
        <f t="shared" si="235"/>
        <v>22.128627973166118</v>
      </c>
    </row>
    <row r="785" spans="1:42" x14ac:dyDescent="0.2">
      <c r="A785" s="3">
        <v>780</v>
      </c>
      <c r="B785" s="3">
        <v>5.8999999999999996E-7</v>
      </c>
      <c r="C785" s="2">
        <v>4.0759999999999998E-2</v>
      </c>
      <c r="D785" s="3">
        <v>230000</v>
      </c>
      <c r="E785" s="3">
        <v>102000000000</v>
      </c>
      <c r="F785" s="3">
        <v>92900000000</v>
      </c>
      <c r="G785" s="2">
        <v>0</v>
      </c>
      <c r="H785" s="3">
        <v>9660000000</v>
      </c>
      <c r="I785" s="2"/>
      <c r="J785" s="7">
        <f t="shared" si="236"/>
        <v>0.59</v>
      </c>
      <c r="K785" s="7">
        <f t="shared" si="237"/>
        <v>40.76</v>
      </c>
      <c r="L785" s="7">
        <f t="shared" si="238"/>
        <v>102</v>
      </c>
      <c r="M785" s="7">
        <f t="shared" si="239"/>
        <v>230</v>
      </c>
      <c r="O785">
        <f t="shared" si="240"/>
        <v>0.45708695652173909</v>
      </c>
      <c r="P785">
        <f t="shared" si="241"/>
        <v>457.08695652173907</v>
      </c>
      <c r="V785">
        <f t="shared" si="225"/>
        <v>963.98919257622651</v>
      </c>
      <c r="W785">
        <f t="shared" si="226"/>
        <v>119.29594323839527</v>
      </c>
      <c r="AE785">
        <f t="shared" si="227"/>
        <v>0.83736072378860771</v>
      </c>
      <c r="AF785">
        <f t="shared" si="228"/>
        <v>0.81787648408273761</v>
      </c>
      <c r="AG785">
        <f t="shared" si="229"/>
        <v>0.82245589387080831</v>
      </c>
      <c r="AI785">
        <f t="shared" si="230"/>
        <v>0.293581160841972</v>
      </c>
      <c r="AJ785">
        <f t="shared" si="231"/>
        <v>18.503739102333547</v>
      </c>
      <c r="AL785">
        <f t="shared" si="232"/>
        <v>0.30057513343110676</v>
      </c>
      <c r="AM785">
        <f t="shared" si="233"/>
        <v>19.395868309273883</v>
      </c>
      <c r="AO785">
        <f t="shared" si="234"/>
        <v>0.29890154008908948</v>
      </c>
      <c r="AP785">
        <f t="shared" si="235"/>
        <v>19.180478397771108</v>
      </c>
    </row>
    <row r="786" spans="1:42" x14ac:dyDescent="0.2">
      <c r="A786" s="3">
        <v>780</v>
      </c>
      <c r="B786" s="3">
        <v>5.9100000000000004E-7</v>
      </c>
      <c r="C786" s="2">
        <v>4.0820000000000002E-2</v>
      </c>
      <c r="D786" s="3">
        <v>213000</v>
      </c>
      <c r="E786" s="3">
        <v>94600000000</v>
      </c>
      <c r="F786" s="3">
        <v>87000000000</v>
      </c>
      <c r="G786" s="3">
        <v>7120000000</v>
      </c>
      <c r="H786" s="3">
        <v>9890000000</v>
      </c>
      <c r="I786" s="2"/>
      <c r="J786" s="7">
        <f t="shared" si="236"/>
        <v>0.59100000000000008</v>
      </c>
      <c r="K786" s="7">
        <f t="shared" si="237"/>
        <v>40.82</v>
      </c>
      <c r="L786" s="7">
        <f t="shared" si="238"/>
        <v>94.600000000000009</v>
      </c>
      <c r="M786" s="7">
        <f t="shared" si="239"/>
        <v>213</v>
      </c>
      <c r="O786">
        <f t="shared" si="240"/>
        <v>0.44726760563380286</v>
      </c>
      <c r="P786">
        <f t="shared" si="241"/>
        <v>447.26760563380287</v>
      </c>
      <c r="V786">
        <f t="shared" si="225"/>
        <v>954.75924709244225</v>
      </c>
      <c r="W786">
        <f t="shared" si="226"/>
        <v>111.54644516335163</v>
      </c>
      <c r="AE786">
        <f t="shared" si="227"/>
        <v>0.77546884420423234</v>
      </c>
      <c r="AF786">
        <f t="shared" si="228"/>
        <v>0.75742474395488313</v>
      </c>
      <c r="AG786">
        <f t="shared" si="229"/>
        <v>0.76166567562818333</v>
      </c>
      <c r="AI786">
        <f t="shared" si="230"/>
        <v>0.3175498304547566</v>
      </c>
      <c r="AJ786">
        <f t="shared" si="231"/>
        <v>21.607015654123817</v>
      </c>
      <c r="AL786">
        <f t="shared" si="232"/>
        <v>0.32511480772889589</v>
      </c>
      <c r="AM786">
        <f t="shared" si="233"/>
        <v>22.648764547861184</v>
      </c>
      <c r="AO786">
        <f t="shared" si="234"/>
        <v>0.32330457821524583</v>
      </c>
      <c r="AP786">
        <f t="shared" si="235"/>
        <v>22.397251425900134</v>
      </c>
    </row>
    <row r="787" spans="1:42" x14ac:dyDescent="0.2">
      <c r="A787" s="3">
        <v>790</v>
      </c>
      <c r="B787" s="3">
        <v>5.9100000000000004E-7</v>
      </c>
      <c r="C787" s="2">
        <v>4.0869999999999997E-2</v>
      </c>
      <c r="D787" s="3">
        <v>208000</v>
      </c>
      <c r="E787" s="3">
        <v>92700000000</v>
      </c>
      <c r="F787" s="3">
        <v>85400000000</v>
      </c>
      <c r="G787" s="2">
        <v>0</v>
      </c>
      <c r="H787" s="3">
        <v>9970000000</v>
      </c>
      <c r="I787" s="2"/>
      <c r="J787" s="7">
        <f t="shared" si="236"/>
        <v>0.59100000000000008</v>
      </c>
      <c r="K787" s="7">
        <f t="shared" si="237"/>
        <v>40.869999999999997</v>
      </c>
      <c r="L787" s="7">
        <f t="shared" si="238"/>
        <v>92.7</v>
      </c>
      <c r="M787" s="7">
        <f t="shared" si="239"/>
        <v>208</v>
      </c>
      <c r="O787">
        <f t="shared" si="240"/>
        <v>0.44363221153846166</v>
      </c>
      <c r="P787">
        <f t="shared" si="241"/>
        <v>443.63221153846166</v>
      </c>
      <c r="V787">
        <f t="shared" si="225"/>
        <v>951.31346854732124</v>
      </c>
      <c r="W787">
        <f t="shared" si="226"/>
        <v>109.32253504074795</v>
      </c>
      <c r="AE787">
        <f t="shared" si="227"/>
        <v>0.7572653502088279</v>
      </c>
      <c r="AF787">
        <f t="shared" si="228"/>
        <v>0.73964482038786705</v>
      </c>
      <c r="AG787">
        <f t="shared" si="229"/>
        <v>0.74378619967447013</v>
      </c>
      <c r="AI787">
        <f t="shared" si="230"/>
        <v>0.3251832398406882</v>
      </c>
      <c r="AJ787">
        <f t="shared" si="231"/>
        <v>22.68605396620806</v>
      </c>
      <c r="AL787">
        <f t="shared" si="232"/>
        <v>0.33293006753007132</v>
      </c>
      <c r="AM787">
        <f t="shared" si="233"/>
        <v>23.779827025888007</v>
      </c>
      <c r="AO787">
        <f t="shared" si="234"/>
        <v>0.3310763228838815</v>
      </c>
      <c r="AP787">
        <f t="shared" si="235"/>
        <v>23.515753525440065</v>
      </c>
    </row>
    <row r="788" spans="1:42" x14ac:dyDescent="0.2">
      <c r="A788" s="3">
        <v>790</v>
      </c>
      <c r="B788" s="3">
        <v>5.9100000000000004E-7</v>
      </c>
      <c r="C788" s="2">
        <v>4.0919999999999998E-2</v>
      </c>
      <c r="D788" s="3">
        <v>203000</v>
      </c>
      <c r="E788" s="3">
        <v>90500000000</v>
      </c>
      <c r="F788" s="3">
        <v>83500000000</v>
      </c>
      <c r="G788" s="3">
        <v>1310000000</v>
      </c>
      <c r="H788" s="3">
        <v>10100000000</v>
      </c>
      <c r="I788" s="2"/>
      <c r="J788" s="7">
        <f t="shared" si="236"/>
        <v>0.59100000000000008</v>
      </c>
      <c r="K788" s="7">
        <f t="shared" si="237"/>
        <v>40.919999999999995</v>
      </c>
      <c r="L788" s="7">
        <f t="shared" si="238"/>
        <v>90.5</v>
      </c>
      <c r="M788" s="7">
        <f t="shared" si="239"/>
        <v>203</v>
      </c>
      <c r="O788">
        <f t="shared" si="240"/>
        <v>0.4398177339901479</v>
      </c>
      <c r="P788">
        <f t="shared" si="241"/>
        <v>439.81773399014787</v>
      </c>
      <c r="V788">
        <f t="shared" si="225"/>
        <v>947.68099621183842</v>
      </c>
      <c r="W788">
        <f t="shared" si="226"/>
        <v>107.10355109549053</v>
      </c>
      <c r="AE788">
        <f t="shared" si="227"/>
        <v>0.73906185621342335</v>
      </c>
      <c r="AF788">
        <f t="shared" si="228"/>
        <v>0.72186489682085109</v>
      </c>
      <c r="AG788">
        <f t="shared" si="229"/>
        <v>0.72590672372075693</v>
      </c>
      <c r="AI788">
        <f t="shared" si="230"/>
        <v>0.33319267924563128</v>
      </c>
      <c r="AJ788">
        <f t="shared" si="231"/>
        <v>23.846494318622334</v>
      </c>
      <c r="AL788">
        <f t="shared" si="232"/>
        <v>0.34113031549879225</v>
      </c>
      <c r="AM788">
        <f t="shared" si="233"/>
        <v>24.996216217916555</v>
      </c>
      <c r="AO788">
        <f t="shared" si="234"/>
        <v>0.33923091211747464</v>
      </c>
      <c r="AP788">
        <f t="shared" si="235"/>
        <v>24.718634791128515</v>
      </c>
    </row>
    <row r="789" spans="1:42" x14ac:dyDescent="0.2">
      <c r="A789" s="3">
        <v>790</v>
      </c>
      <c r="B789" s="3">
        <v>5.9200000000000001E-7</v>
      </c>
      <c r="C789" s="2">
        <v>4.0969999999999999E-2</v>
      </c>
      <c r="D789" s="3">
        <v>216000</v>
      </c>
      <c r="E789" s="3">
        <v>95900000000</v>
      </c>
      <c r="F789" s="3">
        <v>88000000000</v>
      </c>
      <c r="G789" s="2">
        <v>0</v>
      </c>
      <c r="H789" s="3">
        <v>9860000000</v>
      </c>
      <c r="I789" s="2"/>
      <c r="J789" s="7">
        <f t="shared" si="236"/>
        <v>0.59199999999999997</v>
      </c>
      <c r="K789" s="7">
        <f t="shared" si="237"/>
        <v>40.97</v>
      </c>
      <c r="L789" s="7">
        <f t="shared" si="238"/>
        <v>95.9</v>
      </c>
      <c r="M789" s="7">
        <f t="shared" si="239"/>
        <v>216</v>
      </c>
      <c r="O789">
        <f t="shared" si="240"/>
        <v>0.44974305555555555</v>
      </c>
      <c r="P789">
        <f t="shared" si="241"/>
        <v>449.74305555555554</v>
      </c>
      <c r="V789">
        <f t="shared" si="225"/>
        <v>957.09666257781589</v>
      </c>
      <c r="W789">
        <f t="shared" si="226"/>
        <v>112.84126695115202</v>
      </c>
      <c r="AE789">
        <f t="shared" si="227"/>
        <v>0.78639094060147507</v>
      </c>
      <c r="AF789">
        <f t="shared" si="228"/>
        <v>0.76809269809509273</v>
      </c>
      <c r="AG789">
        <f t="shared" si="229"/>
        <v>0.77239336120041135</v>
      </c>
      <c r="AI789">
        <f t="shared" si="230"/>
        <v>0.31366926287070707</v>
      </c>
      <c r="AJ789">
        <f t="shared" si="231"/>
        <v>21.088197229899482</v>
      </c>
      <c r="AL789">
        <f t="shared" si="232"/>
        <v>0.32114179353405131</v>
      </c>
      <c r="AM789">
        <f t="shared" si="233"/>
        <v>22.104932094483633</v>
      </c>
      <c r="AO789">
        <f t="shared" si="234"/>
        <v>0.31935368564446343</v>
      </c>
      <c r="AP789">
        <f t="shared" si="235"/>
        <v>21.859458198100803</v>
      </c>
    </row>
    <row r="790" spans="1:42" x14ac:dyDescent="0.2">
      <c r="A790" s="3">
        <v>790</v>
      </c>
      <c r="B790" s="3">
        <v>5.9299999999999998E-7</v>
      </c>
      <c r="C790" s="2">
        <v>4.1020000000000001E-2</v>
      </c>
      <c r="D790" s="3">
        <v>235000</v>
      </c>
      <c r="E790" s="3">
        <v>104000000000</v>
      </c>
      <c r="F790" s="3">
        <v>94400000000</v>
      </c>
      <c r="G790" s="3">
        <v>4060000000</v>
      </c>
      <c r="H790" s="3">
        <v>9610000000</v>
      </c>
      <c r="I790" s="2"/>
      <c r="J790" s="7">
        <f t="shared" si="236"/>
        <v>0.59299999999999997</v>
      </c>
      <c r="K790" s="7">
        <f t="shared" si="237"/>
        <v>41.02</v>
      </c>
      <c r="L790" s="7">
        <f t="shared" si="238"/>
        <v>104</v>
      </c>
      <c r="M790" s="7">
        <f t="shared" si="239"/>
        <v>235</v>
      </c>
      <c r="O790">
        <f t="shared" si="240"/>
        <v>0.46208510638297867</v>
      </c>
      <c r="P790">
        <f t="shared" si="241"/>
        <v>462.08510638297867</v>
      </c>
      <c r="V790">
        <f t="shared" si="225"/>
        <v>968.64493424505577</v>
      </c>
      <c r="W790">
        <f t="shared" si="226"/>
        <v>121.30347854611698</v>
      </c>
      <c r="AE790">
        <f t="shared" si="227"/>
        <v>0.85556421778401226</v>
      </c>
      <c r="AF790">
        <f t="shared" si="228"/>
        <v>0.83565640764975369</v>
      </c>
      <c r="AG790">
        <f t="shared" si="229"/>
        <v>0.84033536982452162</v>
      </c>
      <c r="AI790">
        <f t="shared" si="230"/>
        <v>0.28879577733311618</v>
      </c>
      <c r="AJ790">
        <f t="shared" si="231"/>
        <v>17.837784980358034</v>
      </c>
      <c r="AL790">
        <f t="shared" si="232"/>
        <v>0.29567574791683127</v>
      </c>
      <c r="AM790">
        <f t="shared" si="233"/>
        <v>18.697806237688244</v>
      </c>
      <c r="AO790">
        <f t="shared" si="234"/>
        <v>0.29402943420664196</v>
      </c>
      <c r="AP790">
        <f t="shared" si="235"/>
        <v>18.490168262083611</v>
      </c>
    </row>
    <row r="791" spans="1:42" x14ac:dyDescent="0.2">
      <c r="A791" s="3">
        <v>790</v>
      </c>
      <c r="B791" s="3">
        <v>5.9400000000000005E-7</v>
      </c>
      <c r="C791" s="2">
        <v>4.1079999999999998E-2</v>
      </c>
      <c r="D791" s="3">
        <v>245000</v>
      </c>
      <c r="E791" s="3">
        <v>108000000000</v>
      </c>
      <c r="F791" s="3">
        <v>97900000000</v>
      </c>
      <c r="G791" s="3">
        <v>169000000</v>
      </c>
      <c r="H791" s="3">
        <v>9500000000</v>
      </c>
      <c r="I791" s="2"/>
      <c r="J791" s="7">
        <f t="shared" si="236"/>
        <v>0.59400000000000008</v>
      </c>
      <c r="K791" s="7">
        <f t="shared" si="237"/>
        <v>41.08</v>
      </c>
      <c r="L791" s="7">
        <f t="shared" si="238"/>
        <v>108</v>
      </c>
      <c r="M791" s="7">
        <f t="shared" si="239"/>
        <v>245</v>
      </c>
      <c r="O791">
        <f t="shared" si="240"/>
        <v>0.46824489795918378</v>
      </c>
      <c r="P791">
        <f t="shared" si="241"/>
        <v>468.24489795918379</v>
      </c>
      <c r="V791">
        <f t="shared" si="225"/>
        <v>974.34431696662386</v>
      </c>
      <c r="W791">
        <f t="shared" si="226"/>
        <v>125.72557551459116</v>
      </c>
      <c r="AE791">
        <f t="shared" si="227"/>
        <v>0.89197120577482125</v>
      </c>
      <c r="AF791">
        <f t="shared" si="228"/>
        <v>0.87121625478378573</v>
      </c>
      <c r="AG791">
        <f t="shared" si="229"/>
        <v>0.87609432173194801</v>
      </c>
      <c r="AI791">
        <f t="shared" si="230"/>
        <v>0.27747532476119147</v>
      </c>
      <c r="AJ791">
        <f t="shared" si="231"/>
        <v>16.435361436714221</v>
      </c>
      <c r="AL791">
        <f t="shared" si="232"/>
        <v>0.28408560864308413</v>
      </c>
      <c r="AM791">
        <f t="shared" si="233"/>
        <v>17.227767008540752</v>
      </c>
      <c r="AO791">
        <f t="shared" si="234"/>
        <v>0.28250382848129652</v>
      </c>
      <c r="AP791">
        <f t="shared" si="235"/>
        <v>17.036453727165988</v>
      </c>
    </row>
    <row r="792" spans="1:42" x14ac:dyDescent="0.2">
      <c r="A792" s="3">
        <v>790</v>
      </c>
      <c r="B792" s="3">
        <v>5.9500000000000002E-7</v>
      </c>
      <c r="C792" s="2">
        <v>4.113E-2</v>
      </c>
      <c r="D792" s="3">
        <v>217000</v>
      </c>
      <c r="E792" s="3">
        <v>95900000000</v>
      </c>
      <c r="F792" s="3">
        <v>88100000000</v>
      </c>
      <c r="G792" s="3">
        <v>6710000000</v>
      </c>
      <c r="H792" s="3">
        <v>9850000000</v>
      </c>
      <c r="I792" s="2"/>
      <c r="J792" s="7">
        <f t="shared" si="236"/>
        <v>0.59499999999999997</v>
      </c>
      <c r="K792" s="7">
        <f t="shared" si="237"/>
        <v>41.13</v>
      </c>
      <c r="L792" s="7">
        <f t="shared" si="238"/>
        <v>95.9</v>
      </c>
      <c r="M792" s="7">
        <f t="shared" si="239"/>
        <v>217</v>
      </c>
      <c r="O792">
        <f t="shared" si="240"/>
        <v>0.45284562211981561</v>
      </c>
      <c r="P792">
        <f t="shared" si="241"/>
        <v>452.84562211981563</v>
      </c>
      <c r="V792">
        <f t="shared" si="225"/>
        <v>960.01612977041214</v>
      </c>
      <c r="W792">
        <f t="shared" si="226"/>
        <v>113.01893440680811</v>
      </c>
      <c r="AE792">
        <f t="shared" si="227"/>
        <v>0.79003163940055599</v>
      </c>
      <c r="AF792">
        <f t="shared" si="228"/>
        <v>0.77164868280849597</v>
      </c>
      <c r="AG792">
        <f t="shared" si="229"/>
        <v>0.77596925639115399</v>
      </c>
      <c r="AI792">
        <f t="shared" si="230"/>
        <v>0.31380599751014504</v>
      </c>
      <c r="AJ792">
        <f t="shared" si="231"/>
        <v>20.975882176747294</v>
      </c>
      <c r="AL792">
        <f t="shared" si="232"/>
        <v>0.32128178559749249</v>
      </c>
      <c r="AM792">
        <f t="shared" si="233"/>
        <v>21.987201944483076</v>
      </c>
      <c r="AO792">
        <f t="shared" si="234"/>
        <v>0.31949289823628751</v>
      </c>
      <c r="AP792">
        <f t="shared" si="235"/>
        <v>21.743035434095322</v>
      </c>
    </row>
    <row r="793" spans="1:42" x14ac:dyDescent="0.2">
      <c r="A793" s="3">
        <v>790</v>
      </c>
      <c r="B793" s="3">
        <v>5.9500000000000002E-7</v>
      </c>
      <c r="C793" s="2">
        <v>4.1180000000000001E-2</v>
      </c>
      <c r="D793" s="3">
        <v>238000</v>
      </c>
      <c r="E793" s="3">
        <v>105000000000</v>
      </c>
      <c r="F793" s="3">
        <v>95300000000</v>
      </c>
      <c r="G793" s="3">
        <v>1630000000</v>
      </c>
      <c r="H793" s="3">
        <v>9600000000</v>
      </c>
      <c r="I793" s="2"/>
      <c r="J793" s="7">
        <f t="shared" si="236"/>
        <v>0.59499999999999997</v>
      </c>
      <c r="K793" s="7">
        <f t="shared" si="237"/>
        <v>41.18</v>
      </c>
      <c r="L793" s="7">
        <f t="shared" si="238"/>
        <v>105</v>
      </c>
      <c r="M793" s="7">
        <f t="shared" si="239"/>
        <v>238</v>
      </c>
      <c r="O793">
        <f t="shared" si="240"/>
        <v>0.46523109243697475</v>
      </c>
      <c r="P793">
        <f t="shared" si="241"/>
        <v>465.23109243697473</v>
      </c>
      <c r="V793">
        <f t="shared" si="225"/>
        <v>971.56102780302263</v>
      </c>
      <c r="W793">
        <f t="shared" si="226"/>
        <v>122.48329913880247</v>
      </c>
      <c r="AE793">
        <f t="shared" si="227"/>
        <v>0.86648631418125499</v>
      </c>
      <c r="AF793">
        <f t="shared" si="228"/>
        <v>0.84632436178996329</v>
      </c>
      <c r="AG793">
        <f t="shared" si="229"/>
        <v>0.85106305539674953</v>
      </c>
      <c r="AI793">
        <f t="shared" si="230"/>
        <v>0.28611723302395575</v>
      </c>
      <c r="AJ793">
        <f t="shared" si="231"/>
        <v>17.458761058592888</v>
      </c>
      <c r="AL793">
        <f t="shared" si="232"/>
        <v>0.29293339275065489</v>
      </c>
      <c r="AM793">
        <f t="shared" si="233"/>
        <v>18.300508262832221</v>
      </c>
      <c r="AO793">
        <f t="shared" si="234"/>
        <v>0.29130234839190922</v>
      </c>
      <c r="AP793">
        <f t="shared" si="235"/>
        <v>18.097282256533621</v>
      </c>
    </row>
    <row r="794" spans="1:42" x14ac:dyDescent="0.2">
      <c r="A794" s="3">
        <v>790</v>
      </c>
      <c r="B794" s="3">
        <v>5.9599999999999999E-7</v>
      </c>
      <c r="C794" s="2">
        <v>4.1230000000000003E-2</v>
      </c>
      <c r="D794" s="3">
        <v>226000</v>
      </c>
      <c r="E794" s="3">
        <v>99700000000</v>
      </c>
      <c r="F794" s="3">
        <v>91200000000</v>
      </c>
      <c r="G794" s="3">
        <v>13800000000</v>
      </c>
      <c r="H794" s="3">
        <v>9730000000</v>
      </c>
      <c r="I794" s="2"/>
      <c r="J794" s="7">
        <f t="shared" si="236"/>
        <v>0.59599999999999997</v>
      </c>
      <c r="K794" s="7">
        <f t="shared" si="237"/>
        <v>41.230000000000004</v>
      </c>
      <c r="L794" s="7">
        <f t="shared" si="238"/>
        <v>99.7</v>
      </c>
      <c r="M794" s="7">
        <f t="shared" si="239"/>
        <v>226</v>
      </c>
      <c r="O794">
        <f t="shared" si="240"/>
        <v>0.45917477876106194</v>
      </c>
      <c r="P794">
        <f t="shared" si="241"/>
        <v>459.17477876106193</v>
      </c>
      <c r="V794">
        <f t="shared" si="225"/>
        <v>965.93741572828867</v>
      </c>
      <c r="W794">
        <f t="shared" si="226"/>
        <v>116.98480477102267</v>
      </c>
      <c r="AE794">
        <f t="shared" si="227"/>
        <v>0.82279792859228407</v>
      </c>
      <c r="AF794">
        <f t="shared" si="228"/>
        <v>0.80365254522912477</v>
      </c>
      <c r="AG794">
        <f t="shared" si="229"/>
        <v>0.80815231310783775</v>
      </c>
      <c r="AI794">
        <f t="shared" si="230"/>
        <v>0.30181570067659763</v>
      </c>
      <c r="AJ794">
        <f t="shared" si="231"/>
        <v>19.385519754581757</v>
      </c>
      <c r="AL794">
        <f t="shared" si="232"/>
        <v>0.30900584438830148</v>
      </c>
      <c r="AM794">
        <f t="shared" si="233"/>
        <v>20.320162654005269</v>
      </c>
      <c r="AO794">
        <f t="shared" si="234"/>
        <v>0.30728530910013785</v>
      </c>
      <c r="AP794">
        <f t="shared" si="235"/>
        <v>20.094508511278622</v>
      </c>
    </row>
    <row r="795" spans="1:42" x14ac:dyDescent="0.2">
      <c r="A795" s="3">
        <v>790</v>
      </c>
      <c r="B795" s="3">
        <v>5.9599999999999999E-7</v>
      </c>
      <c r="C795" s="2">
        <v>4.129E-2</v>
      </c>
      <c r="D795" s="3">
        <v>242000</v>
      </c>
      <c r="E795" s="3">
        <v>106000000000</v>
      </c>
      <c r="F795" s="3">
        <v>96700000000</v>
      </c>
      <c r="G795" s="3">
        <v>2300000000</v>
      </c>
      <c r="H795" s="3">
        <v>9560000000</v>
      </c>
      <c r="I795" s="2"/>
      <c r="J795" s="7">
        <f t="shared" si="236"/>
        <v>0.59599999999999997</v>
      </c>
      <c r="K795" s="7">
        <f t="shared" si="237"/>
        <v>41.29</v>
      </c>
      <c r="L795" s="7">
        <f t="shared" si="238"/>
        <v>106</v>
      </c>
      <c r="M795" s="7">
        <f t="shared" si="239"/>
        <v>242</v>
      </c>
      <c r="O795">
        <f t="shared" si="240"/>
        <v>0.46803512396694213</v>
      </c>
      <c r="P795">
        <f t="shared" si="241"/>
        <v>468.03512396694214</v>
      </c>
      <c r="V795">
        <f t="shared" si="225"/>
        <v>974.15091157717143</v>
      </c>
      <c r="W795">
        <f t="shared" si="226"/>
        <v>124.21073425276417</v>
      </c>
      <c r="AE795">
        <f t="shared" si="227"/>
        <v>0.88104910937757852</v>
      </c>
      <c r="AF795">
        <f t="shared" si="228"/>
        <v>0.86054830064357613</v>
      </c>
      <c r="AG795">
        <f t="shared" si="229"/>
        <v>0.86536663615972009</v>
      </c>
      <c r="AI795">
        <f t="shared" si="230"/>
        <v>0.28186094360707048</v>
      </c>
      <c r="AJ795">
        <f t="shared" si="231"/>
        <v>16.931488656572579</v>
      </c>
      <c r="AL795">
        <f t="shared" si="232"/>
        <v>0.28857570591634768</v>
      </c>
      <c r="AM795">
        <f t="shared" si="233"/>
        <v>17.747814236174076</v>
      </c>
      <c r="AO795">
        <f t="shared" si="234"/>
        <v>0.28696892502740146</v>
      </c>
      <c r="AP795">
        <f t="shared" si="235"/>
        <v>17.550725862673961</v>
      </c>
    </row>
    <row r="796" spans="1:42" x14ac:dyDescent="0.2">
      <c r="A796" s="3">
        <v>790</v>
      </c>
      <c r="B796" s="3">
        <v>5.9699999999999996E-7</v>
      </c>
      <c r="C796" s="2">
        <v>4.1340000000000002E-2</v>
      </c>
      <c r="D796" s="3">
        <v>235000</v>
      </c>
      <c r="E796" s="3">
        <v>103000000000</v>
      </c>
      <c r="F796" s="3">
        <v>94300000000</v>
      </c>
      <c r="G796" s="3">
        <v>1030000000</v>
      </c>
      <c r="H796" s="3">
        <v>9630000000</v>
      </c>
      <c r="I796" s="2"/>
      <c r="J796" s="7">
        <f t="shared" si="236"/>
        <v>0.59699999999999998</v>
      </c>
      <c r="K796" s="7">
        <f t="shared" si="237"/>
        <v>41.34</v>
      </c>
      <c r="L796" s="7">
        <f t="shared" si="238"/>
        <v>103</v>
      </c>
      <c r="M796" s="7">
        <f t="shared" si="239"/>
        <v>235</v>
      </c>
      <c r="O796">
        <f t="shared" si="240"/>
        <v>0.46506382978723404</v>
      </c>
      <c r="P796">
        <f t="shared" si="241"/>
        <v>465.06382978723406</v>
      </c>
      <c r="V796">
        <f t="shared" si="225"/>
        <v>971.40626479992034</v>
      </c>
      <c r="W796">
        <f t="shared" si="226"/>
        <v>120.95865989108211</v>
      </c>
      <c r="AE796">
        <f t="shared" si="227"/>
        <v>0.85556421778401226</v>
      </c>
      <c r="AF796">
        <f t="shared" si="228"/>
        <v>0.83565640764975369</v>
      </c>
      <c r="AG796">
        <f t="shared" si="229"/>
        <v>0.84033536982452162</v>
      </c>
      <c r="AI796">
        <f t="shared" si="230"/>
        <v>0.29074380955796014</v>
      </c>
      <c r="AJ796">
        <f t="shared" si="231"/>
        <v>17.976938836860093</v>
      </c>
      <c r="AL796">
        <f t="shared" si="232"/>
        <v>0.2976701880376868</v>
      </c>
      <c r="AM796">
        <f t="shared" si="233"/>
        <v>18.843669182497123</v>
      </c>
      <c r="AO796">
        <f t="shared" si="234"/>
        <v>0.29601276934462945</v>
      </c>
      <c r="AP796">
        <f t="shared" si="235"/>
        <v>18.634411407960421</v>
      </c>
    </row>
    <row r="797" spans="1:42" x14ac:dyDescent="0.2">
      <c r="A797" s="3">
        <v>800</v>
      </c>
      <c r="B797" s="3">
        <v>5.9699999999999996E-7</v>
      </c>
      <c r="C797" s="2">
        <v>4.1390000000000003E-2</v>
      </c>
      <c r="D797" s="3">
        <v>236000</v>
      </c>
      <c r="E797" s="3">
        <v>104000000000</v>
      </c>
      <c r="F797" s="3">
        <v>94500000000</v>
      </c>
      <c r="G797" s="3">
        <v>3940000000</v>
      </c>
      <c r="H797" s="3">
        <v>9630000000</v>
      </c>
      <c r="I797" s="2"/>
      <c r="J797" s="7">
        <f t="shared" si="236"/>
        <v>0.59699999999999998</v>
      </c>
      <c r="K797" s="7">
        <f t="shared" si="237"/>
        <v>41.39</v>
      </c>
      <c r="L797" s="7">
        <f t="shared" si="238"/>
        <v>104</v>
      </c>
      <c r="M797" s="7">
        <f t="shared" si="239"/>
        <v>236</v>
      </c>
      <c r="O797">
        <f t="shared" si="240"/>
        <v>0.46546398305084746</v>
      </c>
      <c r="P797">
        <f t="shared" si="241"/>
        <v>465.46398305084745</v>
      </c>
      <c r="V797">
        <f t="shared" si="225"/>
        <v>971.77646274237975</v>
      </c>
      <c r="W797">
        <f t="shared" si="226"/>
        <v>121.42710234718052</v>
      </c>
      <c r="AE797">
        <f t="shared" si="227"/>
        <v>0.85920491658309317</v>
      </c>
      <c r="AF797">
        <f t="shared" si="228"/>
        <v>0.83921239236315692</v>
      </c>
      <c r="AG797">
        <f t="shared" si="229"/>
        <v>0.84391126501526426</v>
      </c>
      <c r="AI797">
        <f t="shared" si="230"/>
        <v>0.28951184426322302</v>
      </c>
      <c r="AJ797">
        <f t="shared" si="231"/>
        <v>17.846473586032765</v>
      </c>
      <c r="AL797">
        <f t="shared" si="232"/>
        <v>0.29640887368159485</v>
      </c>
      <c r="AM797">
        <f t="shared" si="233"/>
        <v>18.706913751068445</v>
      </c>
      <c r="AO797">
        <f t="shared" si="234"/>
        <v>0.29475847794910137</v>
      </c>
      <c r="AP797">
        <f t="shared" si="235"/>
        <v>18.499174637094047</v>
      </c>
    </row>
    <row r="798" spans="1:42" x14ac:dyDescent="0.2">
      <c r="A798" s="3">
        <v>800</v>
      </c>
      <c r="B798" s="3">
        <v>5.9800000000000003E-7</v>
      </c>
      <c r="C798" s="2">
        <v>4.1439999999999998E-2</v>
      </c>
      <c r="D798" s="3">
        <v>232000</v>
      </c>
      <c r="E798" s="3">
        <v>102000000000</v>
      </c>
      <c r="F798" s="3">
        <v>93100000000</v>
      </c>
      <c r="G798" s="2">
        <v>0</v>
      </c>
      <c r="H798" s="3">
        <v>9680000000</v>
      </c>
      <c r="I798" s="2"/>
      <c r="J798" s="7">
        <f t="shared" si="236"/>
        <v>0.59800000000000009</v>
      </c>
      <c r="K798" s="7">
        <f t="shared" si="237"/>
        <v>41.44</v>
      </c>
      <c r="L798" s="7">
        <f t="shared" si="238"/>
        <v>102</v>
      </c>
      <c r="M798" s="7">
        <f t="shared" si="239"/>
        <v>232</v>
      </c>
      <c r="O798">
        <f t="shared" si="240"/>
        <v>0.4640344827586208</v>
      </c>
      <c r="P798">
        <f t="shared" si="241"/>
        <v>464.03448275862081</v>
      </c>
      <c r="V798">
        <f t="shared" si="225"/>
        <v>970.45315835484087</v>
      </c>
      <c r="W798">
        <f t="shared" si="226"/>
        <v>119.53178677541614</v>
      </c>
      <c r="AE798">
        <f t="shared" si="227"/>
        <v>0.84464212138676953</v>
      </c>
      <c r="AF798">
        <f t="shared" si="228"/>
        <v>0.82498845350954408</v>
      </c>
      <c r="AG798">
        <f t="shared" si="229"/>
        <v>0.82960768425229359</v>
      </c>
      <c r="AI798">
        <f t="shared" si="230"/>
        <v>0.29499673335918208</v>
      </c>
      <c r="AJ798">
        <f t="shared" si="231"/>
        <v>18.489483101028597</v>
      </c>
      <c r="AL798">
        <f t="shared" si="232"/>
        <v>0.3020244290773994</v>
      </c>
      <c r="AM798">
        <f t="shared" si="233"/>
        <v>19.380924976880443</v>
      </c>
      <c r="AO798">
        <f t="shared" si="234"/>
        <v>0.30034276610062371</v>
      </c>
      <c r="AP798">
        <f t="shared" si="235"/>
        <v>19.165701010154692</v>
      </c>
    </row>
    <row r="799" spans="1:42" x14ac:dyDescent="0.2">
      <c r="A799" s="3">
        <v>800</v>
      </c>
      <c r="B799" s="3">
        <v>5.9800000000000003E-7</v>
      </c>
      <c r="C799" s="2">
        <v>4.1489999999999999E-2</v>
      </c>
      <c r="D799" s="3">
        <v>213000</v>
      </c>
      <c r="E799" s="3">
        <v>94200000000</v>
      </c>
      <c r="F799" s="3">
        <v>86600000000</v>
      </c>
      <c r="G799" s="3">
        <v>2770000000</v>
      </c>
      <c r="H799" s="3">
        <v>9930000000</v>
      </c>
      <c r="I799" s="2"/>
      <c r="J799" s="7">
        <f t="shared" si="236"/>
        <v>0.59800000000000009</v>
      </c>
      <c r="K799" s="7">
        <f t="shared" si="237"/>
        <v>41.49</v>
      </c>
      <c r="L799" s="7">
        <f t="shared" si="238"/>
        <v>94.2</v>
      </c>
      <c r="M799" s="7">
        <f t="shared" si="239"/>
        <v>213</v>
      </c>
      <c r="O799">
        <f t="shared" si="240"/>
        <v>0.45190845070422547</v>
      </c>
      <c r="P799">
        <f t="shared" si="241"/>
        <v>451.90845070422546</v>
      </c>
      <c r="V799">
        <f t="shared" si="225"/>
        <v>959.13544350993573</v>
      </c>
      <c r="W799">
        <f t="shared" si="226"/>
        <v>111.03749811420326</v>
      </c>
      <c r="AE799">
        <f t="shared" si="227"/>
        <v>0.77546884420423234</v>
      </c>
      <c r="AF799">
        <f t="shared" si="228"/>
        <v>0.75742474395488313</v>
      </c>
      <c r="AG799">
        <f t="shared" si="229"/>
        <v>0.76166567562818333</v>
      </c>
      <c r="AI799">
        <f t="shared" si="230"/>
        <v>0.32131099595929685</v>
      </c>
      <c r="AJ799">
        <f t="shared" si="231"/>
        <v>21.961662897834326</v>
      </c>
      <c r="AL799">
        <f t="shared" si="232"/>
        <v>0.32896557533312987</v>
      </c>
      <c r="AM799">
        <f t="shared" si="233"/>
        <v>23.020510560773161</v>
      </c>
      <c r="AO799">
        <f t="shared" si="234"/>
        <v>0.32713390486077326</v>
      </c>
      <c r="AP799">
        <f t="shared" si="235"/>
        <v>22.764869222454593</v>
      </c>
    </row>
    <row r="800" spans="1:42" x14ac:dyDescent="0.2">
      <c r="A800" s="3">
        <v>800</v>
      </c>
      <c r="B800" s="3">
        <v>5.99E-7</v>
      </c>
      <c r="C800" s="2">
        <v>4.1549999999999997E-2</v>
      </c>
      <c r="D800" s="3">
        <v>232000</v>
      </c>
      <c r="E800" s="3">
        <v>102000000000</v>
      </c>
      <c r="F800" s="3">
        <v>93000000000</v>
      </c>
      <c r="G800" s="3">
        <v>10500000000</v>
      </c>
      <c r="H800" s="3">
        <v>9680000000</v>
      </c>
      <c r="I800" s="2"/>
      <c r="J800" s="7">
        <f t="shared" si="236"/>
        <v>0.59899999999999998</v>
      </c>
      <c r="K800" s="7">
        <f t="shared" si="237"/>
        <v>41.55</v>
      </c>
      <c r="L800" s="7">
        <f t="shared" si="238"/>
        <v>102</v>
      </c>
      <c r="M800" s="7">
        <f t="shared" si="239"/>
        <v>232</v>
      </c>
      <c r="O800">
        <f t="shared" si="240"/>
        <v>0.46467887931034479</v>
      </c>
      <c r="P800">
        <f t="shared" si="241"/>
        <v>464.67887931034477</v>
      </c>
      <c r="V800">
        <f t="shared" si="225"/>
        <v>971.04996410076626</v>
      </c>
      <c r="W800">
        <f t="shared" si="226"/>
        <v>119.45832273154033</v>
      </c>
      <c r="AE800">
        <f t="shared" si="227"/>
        <v>0.84464212138676953</v>
      </c>
      <c r="AF800">
        <f t="shared" si="228"/>
        <v>0.82498845350954408</v>
      </c>
      <c r="AG800">
        <f t="shared" si="229"/>
        <v>0.82960768425229359</v>
      </c>
      <c r="AI800">
        <f t="shared" si="230"/>
        <v>0.29549003893336123</v>
      </c>
      <c r="AJ800">
        <f t="shared" si="231"/>
        <v>18.538562327406812</v>
      </c>
      <c r="AL800">
        <f t="shared" si="232"/>
        <v>0.3025294866511074</v>
      </c>
      <c r="AM800">
        <f t="shared" si="233"/>
        <v>19.432370482369265</v>
      </c>
      <c r="AO800">
        <f t="shared" si="234"/>
        <v>0.3008450115288856</v>
      </c>
      <c r="AP800">
        <f t="shared" si="235"/>
        <v>19.21657521650404</v>
      </c>
    </row>
    <row r="801" spans="1:42" x14ac:dyDescent="0.2">
      <c r="A801" s="3">
        <v>800</v>
      </c>
      <c r="B801" s="3">
        <v>5.9999999999999997E-7</v>
      </c>
      <c r="C801" s="2">
        <v>4.1599999999999998E-2</v>
      </c>
      <c r="D801" s="3">
        <v>229000</v>
      </c>
      <c r="E801" s="3">
        <v>101000000000</v>
      </c>
      <c r="F801" s="3">
        <v>91900000000</v>
      </c>
      <c r="G801" s="3">
        <v>2960000000</v>
      </c>
      <c r="H801" s="3">
        <v>9720000000</v>
      </c>
      <c r="I801" s="2"/>
      <c r="J801" s="7">
        <f t="shared" si="236"/>
        <v>0.6</v>
      </c>
      <c r="K801" s="7">
        <f t="shared" si="237"/>
        <v>41.6</v>
      </c>
      <c r="L801" s="7">
        <f t="shared" si="238"/>
        <v>101</v>
      </c>
      <c r="M801" s="7">
        <f t="shared" si="239"/>
        <v>229</v>
      </c>
      <c r="O801">
        <f t="shared" si="240"/>
        <v>0.46375545851528382</v>
      </c>
      <c r="P801">
        <f t="shared" si="241"/>
        <v>463.75545851528381</v>
      </c>
      <c r="V801">
        <f t="shared" si="225"/>
        <v>970.19459776070812</v>
      </c>
      <c r="W801">
        <f t="shared" si="226"/>
        <v>118.01756087312356</v>
      </c>
      <c r="AE801">
        <f t="shared" si="227"/>
        <v>0.8337200249895268</v>
      </c>
      <c r="AF801">
        <f t="shared" si="228"/>
        <v>0.81432049936933448</v>
      </c>
      <c r="AG801">
        <f t="shared" si="229"/>
        <v>0.81887999868006567</v>
      </c>
      <c r="AI801">
        <f t="shared" si="230"/>
        <v>0.29986085557095804</v>
      </c>
      <c r="AJ801">
        <f t="shared" si="231"/>
        <v>19.050367542427232</v>
      </c>
      <c r="AL801">
        <f t="shared" si="232"/>
        <v>0.30700442908365577</v>
      </c>
      <c r="AM801">
        <f t="shared" si="233"/>
        <v>19.968851595491085</v>
      </c>
      <c r="AO801">
        <f t="shared" si="234"/>
        <v>0.30529503761597476</v>
      </c>
      <c r="AP801">
        <f t="shared" si="235"/>
        <v>19.747098740224054</v>
      </c>
    </row>
    <row r="802" spans="1:42" x14ac:dyDescent="0.2">
      <c r="A802" s="3">
        <v>800</v>
      </c>
      <c r="B802" s="3">
        <v>5.9999999999999997E-7</v>
      </c>
      <c r="C802" s="2">
        <v>4.165E-2</v>
      </c>
      <c r="D802" s="3">
        <v>236000</v>
      </c>
      <c r="E802" s="3">
        <v>103000000000</v>
      </c>
      <c r="F802" s="3">
        <v>94300000000</v>
      </c>
      <c r="G802" s="2">
        <v>0</v>
      </c>
      <c r="H802" s="3">
        <v>9640000000</v>
      </c>
      <c r="I802" s="2"/>
      <c r="J802" s="7">
        <f t="shared" si="236"/>
        <v>0.6</v>
      </c>
      <c r="K802" s="7">
        <f t="shared" si="237"/>
        <v>41.65</v>
      </c>
      <c r="L802" s="7">
        <f t="shared" si="238"/>
        <v>103</v>
      </c>
      <c r="M802" s="7">
        <f t="shared" si="239"/>
        <v>236</v>
      </c>
      <c r="O802">
        <f t="shared" si="240"/>
        <v>0.46763771186440672</v>
      </c>
      <c r="P802">
        <f t="shared" si="241"/>
        <v>467.6377118644067</v>
      </c>
      <c r="V802">
        <f t="shared" si="225"/>
        <v>973.78437700324855</v>
      </c>
      <c r="W802">
        <f t="shared" si="226"/>
        <v>121.17672329385333</v>
      </c>
      <c r="AE802">
        <f t="shared" si="227"/>
        <v>0.85920491658309317</v>
      </c>
      <c r="AF802">
        <f t="shared" si="228"/>
        <v>0.83921239236315692</v>
      </c>
      <c r="AG802">
        <f t="shared" si="229"/>
        <v>0.84391126501526426</v>
      </c>
      <c r="AI802">
        <f t="shared" si="230"/>
        <v>0.29096667765148038</v>
      </c>
      <c r="AJ802">
        <f t="shared" si="231"/>
        <v>17.958579967583102</v>
      </c>
      <c r="AL802">
        <f t="shared" si="232"/>
        <v>0.29789836550914056</v>
      </c>
      <c r="AM802">
        <f t="shared" si="233"/>
        <v>18.824425168688105</v>
      </c>
      <c r="AO802">
        <f t="shared" si="234"/>
        <v>0.29623967633075515</v>
      </c>
      <c r="AP802">
        <f t="shared" si="235"/>
        <v>18.615381097728122</v>
      </c>
    </row>
    <row r="803" spans="1:42" x14ac:dyDescent="0.2">
      <c r="A803" s="3">
        <v>800</v>
      </c>
      <c r="B803" s="3">
        <v>6.0100000000000005E-7</v>
      </c>
      <c r="C803" s="2">
        <v>4.1700000000000001E-2</v>
      </c>
      <c r="D803" s="3">
        <v>227000</v>
      </c>
      <c r="E803" s="3">
        <v>99500000000</v>
      </c>
      <c r="F803" s="3">
        <v>91100000000</v>
      </c>
      <c r="G803" s="3">
        <v>6600000000</v>
      </c>
      <c r="H803" s="3">
        <v>9760000000</v>
      </c>
      <c r="I803" s="2"/>
      <c r="J803" s="7">
        <f t="shared" si="236"/>
        <v>0.60100000000000009</v>
      </c>
      <c r="K803" s="7">
        <f t="shared" si="237"/>
        <v>41.7</v>
      </c>
      <c r="L803" s="7">
        <f t="shared" si="238"/>
        <v>99.5</v>
      </c>
      <c r="M803" s="7">
        <f t="shared" si="239"/>
        <v>227</v>
      </c>
      <c r="O803">
        <f t="shared" si="240"/>
        <v>0.46322466960352432</v>
      </c>
      <c r="P803">
        <f t="shared" si="241"/>
        <v>463.22466960352432</v>
      </c>
      <c r="V803">
        <f t="shared" si="225"/>
        <v>969.70249762893934</v>
      </c>
      <c r="W803">
        <f t="shared" si="226"/>
        <v>117.04620775704265</v>
      </c>
      <c r="AE803">
        <f t="shared" si="227"/>
        <v>0.82643862739136498</v>
      </c>
      <c r="AF803">
        <f t="shared" si="228"/>
        <v>0.80720852994252801</v>
      </c>
      <c r="AG803">
        <f t="shared" si="229"/>
        <v>0.81172820829858039</v>
      </c>
      <c r="AI803">
        <f t="shared" si="230"/>
        <v>0.3030069727707444</v>
      </c>
      <c r="AJ803">
        <f t="shared" si="231"/>
        <v>19.434140298794677</v>
      </c>
      <c r="AL803">
        <f t="shared" si="232"/>
        <v>0.31022549611126632</v>
      </c>
      <c r="AM803">
        <f t="shared" si="233"/>
        <v>20.371127362676503</v>
      </c>
      <c r="AO803">
        <f t="shared" si="234"/>
        <v>0.3084981698388326</v>
      </c>
      <c r="AP803">
        <f t="shared" si="235"/>
        <v>20.144907260029147</v>
      </c>
    </row>
    <row r="804" spans="1:42" x14ac:dyDescent="0.2">
      <c r="A804" s="3">
        <v>800</v>
      </c>
      <c r="B804" s="3">
        <v>6.0100000000000005E-7</v>
      </c>
      <c r="C804" s="2">
        <v>4.1750000000000002E-2</v>
      </c>
      <c r="D804" s="3">
        <v>249000</v>
      </c>
      <c r="E804" s="3">
        <v>109000000000</v>
      </c>
      <c r="F804" s="3">
        <v>98800000000</v>
      </c>
      <c r="G804" s="2">
        <v>0</v>
      </c>
      <c r="H804" s="3">
        <v>9510000000</v>
      </c>
      <c r="I804" s="2"/>
      <c r="J804" s="7">
        <f t="shared" si="236"/>
        <v>0.60100000000000009</v>
      </c>
      <c r="K804" s="7">
        <f t="shared" si="237"/>
        <v>41.75</v>
      </c>
      <c r="L804" s="7">
        <f t="shared" si="238"/>
        <v>109</v>
      </c>
      <c r="M804" s="7">
        <f t="shared" si="239"/>
        <v>249</v>
      </c>
      <c r="O804">
        <f t="shared" si="240"/>
        <v>0.47524698795180731</v>
      </c>
      <c r="P804">
        <f t="shared" si="241"/>
        <v>475.24698795180728</v>
      </c>
      <c r="V804">
        <f t="shared" si="225"/>
        <v>980.77255549661129</v>
      </c>
      <c r="W804">
        <f t="shared" si="226"/>
        <v>126.94074615185352</v>
      </c>
      <c r="AE804">
        <f t="shared" si="227"/>
        <v>0.90653400097114489</v>
      </c>
      <c r="AF804">
        <f t="shared" si="228"/>
        <v>0.88544019363739856</v>
      </c>
      <c r="AG804">
        <f t="shared" si="229"/>
        <v>0.89039790249491857</v>
      </c>
      <c r="AI804">
        <f t="shared" si="230"/>
        <v>0.2762352723652971</v>
      </c>
      <c r="AJ804">
        <f t="shared" si="231"/>
        <v>16.17107080593334</v>
      </c>
      <c r="AL804">
        <f t="shared" si="232"/>
        <v>0.28281601452713839</v>
      </c>
      <c r="AM804">
        <f t="shared" si="233"/>
        <v>16.950734013120147</v>
      </c>
      <c r="AO804">
        <f t="shared" si="234"/>
        <v>0.28124130342736942</v>
      </c>
      <c r="AP804">
        <f t="shared" si="235"/>
        <v>16.762497165933098</v>
      </c>
    </row>
    <row r="805" spans="1:42" x14ac:dyDescent="0.2">
      <c r="A805" s="3">
        <v>800</v>
      </c>
      <c r="B805" s="3">
        <v>6.0200000000000002E-7</v>
      </c>
      <c r="C805" s="2">
        <v>4.1799999999999997E-2</v>
      </c>
      <c r="D805" s="3">
        <v>233000</v>
      </c>
      <c r="E805" s="3">
        <v>102000000000</v>
      </c>
      <c r="F805" s="3">
        <v>93200000000</v>
      </c>
      <c r="G805" s="3">
        <v>11500000000</v>
      </c>
      <c r="H805" s="3">
        <v>9680000000</v>
      </c>
      <c r="I805" s="2"/>
      <c r="J805" s="7">
        <f t="shared" si="236"/>
        <v>0.60199999999999998</v>
      </c>
      <c r="K805" s="7">
        <f t="shared" si="237"/>
        <v>41.8</v>
      </c>
      <c r="L805" s="7">
        <f t="shared" si="238"/>
        <v>102</v>
      </c>
      <c r="M805" s="7">
        <f t="shared" si="239"/>
        <v>233</v>
      </c>
      <c r="O805">
        <f t="shared" si="240"/>
        <v>0.46745064377682399</v>
      </c>
      <c r="P805">
        <f t="shared" si="241"/>
        <v>467.45064377682399</v>
      </c>
      <c r="V805">
        <f t="shared" si="225"/>
        <v>973.61178339654475</v>
      </c>
      <c r="W805">
        <f t="shared" si="226"/>
        <v>119.65754932995755</v>
      </c>
      <c r="AE805">
        <f t="shared" si="227"/>
        <v>0.84828282018585044</v>
      </c>
      <c r="AF805">
        <f t="shared" si="228"/>
        <v>0.82854443822294732</v>
      </c>
      <c r="AG805">
        <f t="shared" si="229"/>
        <v>0.83318357944303623</v>
      </c>
      <c r="AI805">
        <f t="shared" si="230"/>
        <v>0.29569540648999376</v>
      </c>
      <c r="AJ805">
        <f t="shared" si="231"/>
        <v>18.490362810528012</v>
      </c>
      <c r="AL805">
        <f t="shared" si="232"/>
        <v>0.30273974667106307</v>
      </c>
      <c r="AM805">
        <f t="shared" si="233"/>
        <v>19.381847100214905</v>
      </c>
      <c r="AO805">
        <f t="shared" si="234"/>
        <v>0.30105410082734657</v>
      </c>
      <c r="AP805">
        <f t="shared" si="235"/>
        <v>19.166612893366871</v>
      </c>
    </row>
    <row r="806" spans="1:42" x14ac:dyDescent="0.2">
      <c r="A806" s="3">
        <v>800</v>
      </c>
      <c r="B806" s="3">
        <v>6.0299999999999999E-7</v>
      </c>
      <c r="C806" s="2">
        <v>4.1860000000000001E-2</v>
      </c>
      <c r="D806" s="3">
        <v>223000</v>
      </c>
      <c r="E806" s="3">
        <v>98000000000</v>
      </c>
      <c r="F806" s="3">
        <v>89800000000</v>
      </c>
      <c r="G806" s="3">
        <v>2870000000</v>
      </c>
      <c r="H806" s="3">
        <v>9810000000</v>
      </c>
      <c r="I806" s="2"/>
      <c r="J806" s="7">
        <f t="shared" si="236"/>
        <v>0.60299999999999998</v>
      </c>
      <c r="K806" s="7">
        <f t="shared" si="237"/>
        <v>41.86</v>
      </c>
      <c r="L806" s="7">
        <f t="shared" si="238"/>
        <v>98</v>
      </c>
      <c r="M806" s="7">
        <f t="shared" si="239"/>
        <v>223</v>
      </c>
      <c r="O806">
        <f t="shared" si="240"/>
        <v>0.46221524663677127</v>
      </c>
      <c r="P806">
        <f t="shared" si="241"/>
        <v>462.21524663677127</v>
      </c>
      <c r="V806">
        <f t="shared" si="225"/>
        <v>968.765783384835</v>
      </c>
      <c r="W806">
        <f t="shared" si="226"/>
        <v>115.09489900688148</v>
      </c>
      <c r="AE806">
        <f t="shared" si="227"/>
        <v>0.81187583219504145</v>
      </c>
      <c r="AF806">
        <f t="shared" si="228"/>
        <v>0.79298459108891517</v>
      </c>
      <c r="AG806">
        <f t="shared" si="229"/>
        <v>0.79742462753560983</v>
      </c>
      <c r="AI806">
        <f t="shared" si="230"/>
        <v>0.30946850495685257</v>
      </c>
      <c r="AJ806">
        <f t="shared" si="231"/>
        <v>20.214848505283715</v>
      </c>
      <c r="AL806">
        <f t="shared" si="232"/>
        <v>0.31684096112761417</v>
      </c>
      <c r="AM806">
        <f t="shared" si="233"/>
        <v>21.18947620975473</v>
      </c>
      <c r="AO806">
        <f t="shared" si="234"/>
        <v>0.31507680014407402</v>
      </c>
      <c r="AP806">
        <f t="shared" si="235"/>
        <v>20.954168394047038</v>
      </c>
    </row>
    <row r="807" spans="1:42" x14ac:dyDescent="0.2">
      <c r="A807" s="3">
        <v>810</v>
      </c>
      <c r="B807" s="3">
        <v>6.0399999999999996E-7</v>
      </c>
      <c r="C807" s="2">
        <v>4.1910000000000003E-2</v>
      </c>
      <c r="D807" s="3">
        <v>226000</v>
      </c>
      <c r="E807" s="3">
        <v>98900000000</v>
      </c>
      <c r="F807" s="3">
        <v>90600000000</v>
      </c>
      <c r="G807" s="3">
        <v>8070000000</v>
      </c>
      <c r="H807" s="3">
        <v>9770000000</v>
      </c>
      <c r="I807" s="2"/>
      <c r="J807" s="7">
        <f t="shared" si="236"/>
        <v>0.60399999999999998</v>
      </c>
      <c r="K807" s="7">
        <f t="shared" si="237"/>
        <v>41.910000000000004</v>
      </c>
      <c r="L807" s="7">
        <f t="shared" si="238"/>
        <v>98.9</v>
      </c>
      <c r="M807" s="7">
        <f t="shared" si="239"/>
        <v>226</v>
      </c>
      <c r="O807">
        <f t="shared" si="240"/>
        <v>0.46491814159292033</v>
      </c>
      <c r="P807">
        <f t="shared" si="241"/>
        <v>464.91814159292034</v>
      </c>
      <c r="V807">
        <f t="shared" si="225"/>
        <v>971.27143871534975</v>
      </c>
      <c r="W807">
        <f t="shared" si="226"/>
        <v>116.34234828263789</v>
      </c>
      <c r="AE807">
        <f t="shared" si="227"/>
        <v>0.82279792859228407</v>
      </c>
      <c r="AF807">
        <f t="shared" si="228"/>
        <v>0.80365254522912477</v>
      </c>
      <c r="AG807">
        <f t="shared" si="229"/>
        <v>0.80815231310783775</v>
      </c>
      <c r="AI807">
        <f t="shared" si="230"/>
        <v>0.30586691813534389</v>
      </c>
      <c r="AJ807">
        <f t="shared" si="231"/>
        <v>19.70524212744413</v>
      </c>
      <c r="AL807">
        <f t="shared" si="232"/>
        <v>0.31315357384317799</v>
      </c>
      <c r="AM807">
        <f t="shared" si="233"/>
        <v>20.655299947352919</v>
      </c>
      <c r="AO807">
        <f t="shared" si="234"/>
        <v>0.31140994412161621</v>
      </c>
      <c r="AP807">
        <f t="shared" si="235"/>
        <v>20.425924125823116</v>
      </c>
    </row>
    <row r="808" spans="1:42" x14ac:dyDescent="0.2">
      <c r="A808" s="3">
        <v>810</v>
      </c>
      <c r="B808" s="3">
        <v>6.0399999999999996E-7</v>
      </c>
      <c r="C808" s="2">
        <v>4.1959999999999997E-2</v>
      </c>
      <c r="D808" s="3">
        <v>231000</v>
      </c>
      <c r="E808" s="3">
        <v>101000000000</v>
      </c>
      <c r="F808" s="3">
        <v>92500000000</v>
      </c>
      <c r="G808" s="3">
        <v>1540000000</v>
      </c>
      <c r="H808" s="3">
        <v>9710000000</v>
      </c>
      <c r="I808" s="2"/>
      <c r="J808" s="7">
        <f t="shared" si="236"/>
        <v>0.60399999999999998</v>
      </c>
      <c r="K808" s="7">
        <f t="shared" si="237"/>
        <v>41.959999999999994</v>
      </c>
      <c r="L808" s="7">
        <f t="shared" si="238"/>
        <v>101</v>
      </c>
      <c r="M808" s="7">
        <f t="shared" si="239"/>
        <v>231</v>
      </c>
      <c r="O808">
        <f t="shared" si="240"/>
        <v>0.46776623376623377</v>
      </c>
      <c r="P808">
        <f t="shared" si="241"/>
        <v>467.76623376623377</v>
      </c>
      <c r="V808">
        <f t="shared" si="225"/>
        <v>973.90293217811359</v>
      </c>
      <c r="W808">
        <f t="shared" si="226"/>
        <v>118.59498126952617</v>
      </c>
      <c r="AE808">
        <f t="shared" si="227"/>
        <v>0.84100142258768862</v>
      </c>
      <c r="AF808">
        <f t="shared" si="228"/>
        <v>0.82143246879614085</v>
      </c>
      <c r="AG808">
        <f t="shared" si="229"/>
        <v>0.82603178906155095</v>
      </c>
      <c r="AI808">
        <f t="shared" si="230"/>
        <v>0.29924642207180824</v>
      </c>
      <c r="AJ808">
        <f t="shared" si="231"/>
        <v>18.883935692423648</v>
      </c>
      <c r="AL808">
        <f t="shared" si="232"/>
        <v>0.30637535795912652</v>
      </c>
      <c r="AM808">
        <f t="shared" si="233"/>
        <v>19.79439549084729</v>
      </c>
      <c r="AO808">
        <f t="shared" si="234"/>
        <v>0.30466946914062887</v>
      </c>
      <c r="AP808">
        <f t="shared" si="235"/>
        <v>19.574579959774315</v>
      </c>
    </row>
    <row r="809" spans="1:42" x14ac:dyDescent="0.2">
      <c r="A809" s="3">
        <v>810</v>
      </c>
      <c r="B809" s="3">
        <v>6.0399999999999996E-7</v>
      </c>
      <c r="C809" s="2">
        <v>4.2020000000000002E-2</v>
      </c>
      <c r="D809" s="3">
        <v>257000</v>
      </c>
      <c r="E809" s="3">
        <v>112000000000</v>
      </c>
      <c r="F809" s="3">
        <v>101000000000</v>
      </c>
      <c r="G809" s="3">
        <v>2040000000</v>
      </c>
      <c r="H809" s="3">
        <v>9450000000</v>
      </c>
      <c r="I809" s="2"/>
      <c r="J809" s="7">
        <f t="shared" si="236"/>
        <v>0.60399999999999998</v>
      </c>
      <c r="K809" s="7">
        <f t="shared" si="237"/>
        <v>42.02</v>
      </c>
      <c r="L809" s="7">
        <f t="shared" si="238"/>
        <v>112</v>
      </c>
      <c r="M809" s="7">
        <f t="shared" si="239"/>
        <v>257</v>
      </c>
      <c r="O809">
        <f t="shared" si="240"/>
        <v>0.48137354085603112</v>
      </c>
      <c r="P809">
        <f t="shared" si="241"/>
        <v>481.37354085603113</v>
      </c>
      <c r="V809">
        <f t="shared" si="225"/>
        <v>986.35387481868077</v>
      </c>
      <c r="W809">
        <f t="shared" si="226"/>
        <v>130.2777869896054</v>
      </c>
      <c r="AE809">
        <f t="shared" si="227"/>
        <v>0.93565959136379206</v>
      </c>
      <c r="AF809">
        <f t="shared" si="228"/>
        <v>0.91388807134462424</v>
      </c>
      <c r="AG809">
        <f t="shared" si="229"/>
        <v>0.9190050640208598</v>
      </c>
      <c r="AI809">
        <f t="shared" si="230"/>
        <v>0.26897246497504951</v>
      </c>
      <c r="AJ809">
        <f t="shared" si="231"/>
        <v>15.278150875591113</v>
      </c>
      <c r="AL809">
        <f t="shared" si="232"/>
        <v>0.27538018555859228</v>
      </c>
      <c r="AM809">
        <f t="shared" si="233"/>
        <v>16.014763327202957</v>
      </c>
      <c r="AO809">
        <f t="shared" si="234"/>
        <v>0.27384687693184934</v>
      </c>
      <c r="AP809">
        <f t="shared" si="235"/>
        <v>15.836920376282587</v>
      </c>
    </row>
    <row r="810" spans="1:42" x14ac:dyDescent="0.2">
      <c r="A810" s="3">
        <v>810</v>
      </c>
      <c r="B810" s="3">
        <v>6.0500000000000003E-7</v>
      </c>
      <c r="C810" s="2">
        <v>4.2070000000000003E-2</v>
      </c>
      <c r="D810" s="3">
        <v>229000</v>
      </c>
      <c r="E810" s="3">
        <v>99900000000</v>
      </c>
      <c r="F810" s="3">
        <v>91400000000</v>
      </c>
      <c r="G810" s="2">
        <v>0</v>
      </c>
      <c r="H810" s="3">
        <v>9750000000</v>
      </c>
      <c r="I810" s="2"/>
      <c r="J810" s="7">
        <f t="shared" si="236"/>
        <v>0.60499999999999998</v>
      </c>
      <c r="K810" s="7">
        <f t="shared" si="237"/>
        <v>42.07</v>
      </c>
      <c r="L810" s="7">
        <f t="shared" si="238"/>
        <v>99.9</v>
      </c>
      <c r="M810" s="7">
        <f t="shared" si="239"/>
        <v>229</v>
      </c>
      <c r="O810">
        <f t="shared" si="240"/>
        <v>0.46721615720524012</v>
      </c>
      <c r="P810">
        <f t="shared" si="241"/>
        <v>467.21615720524011</v>
      </c>
      <c r="V810">
        <f t="shared" si="225"/>
        <v>973.39538599044647</v>
      </c>
      <c r="W810">
        <f t="shared" si="226"/>
        <v>117.6294871004492</v>
      </c>
      <c r="AE810">
        <f t="shared" si="227"/>
        <v>0.8337200249895268</v>
      </c>
      <c r="AF810">
        <f t="shared" si="228"/>
        <v>0.81432049936933448</v>
      </c>
      <c r="AG810">
        <f t="shared" si="229"/>
        <v>0.81887999868006567</v>
      </c>
      <c r="AI810">
        <f t="shared" si="230"/>
        <v>0.30235969603404933</v>
      </c>
      <c r="AJ810">
        <f t="shared" si="231"/>
        <v>19.26560006033446</v>
      </c>
      <c r="AL810">
        <f t="shared" si="232"/>
        <v>0.30956279932601954</v>
      </c>
      <c r="AM810">
        <f t="shared" si="233"/>
        <v>20.194461216882448</v>
      </c>
      <c r="AO810">
        <f t="shared" si="234"/>
        <v>0.30783916292944119</v>
      </c>
      <c r="AP810">
        <f t="shared" si="235"/>
        <v>19.9702029807987</v>
      </c>
    </row>
    <row r="811" spans="1:42" x14ac:dyDescent="0.2">
      <c r="A811" s="3">
        <v>810</v>
      </c>
      <c r="B811" s="3">
        <v>6.06E-7</v>
      </c>
      <c r="C811" s="2">
        <v>4.2119999999999998E-2</v>
      </c>
      <c r="D811" s="3">
        <v>228000</v>
      </c>
      <c r="E811" s="3">
        <v>99500000000</v>
      </c>
      <c r="F811" s="3">
        <v>91100000000</v>
      </c>
      <c r="G811" s="3">
        <v>827000000</v>
      </c>
      <c r="H811" s="3">
        <v>9760000000</v>
      </c>
      <c r="I811" s="2"/>
      <c r="J811" s="7">
        <f t="shared" si="236"/>
        <v>0.60599999999999998</v>
      </c>
      <c r="K811" s="7">
        <f t="shared" si="237"/>
        <v>42.12</v>
      </c>
      <c r="L811" s="7">
        <f t="shared" si="238"/>
        <v>99.5</v>
      </c>
      <c r="M811" s="7">
        <f t="shared" si="239"/>
        <v>228</v>
      </c>
      <c r="O811">
        <f t="shared" si="240"/>
        <v>0.46744736842105261</v>
      </c>
      <c r="P811">
        <f t="shared" si="241"/>
        <v>467.4473684210526</v>
      </c>
      <c r="V811">
        <f t="shared" si="225"/>
        <v>973.60876113030645</v>
      </c>
      <c r="W811">
        <f t="shared" si="226"/>
        <v>117.09015422956162</v>
      </c>
      <c r="AE811">
        <f t="shared" si="227"/>
        <v>0.83007932619044589</v>
      </c>
      <c r="AF811">
        <f t="shared" si="228"/>
        <v>0.81076451465593125</v>
      </c>
      <c r="AG811">
        <f t="shared" si="229"/>
        <v>0.81530410348932303</v>
      </c>
      <c r="AI811">
        <f t="shared" si="230"/>
        <v>0.3041877951096793</v>
      </c>
      <c r="AJ811">
        <f t="shared" si="231"/>
        <v>19.458065526817517</v>
      </c>
      <c r="AL811">
        <f t="shared" si="232"/>
        <v>0.31143444913490675</v>
      </c>
      <c r="AM811">
        <f t="shared" si="233"/>
        <v>20.396206108622604</v>
      </c>
      <c r="AO811">
        <f t="shared" si="234"/>
        <v>0.30970039144824035</v>
      </c>
      <c r="AP811">
        <f t="shared" si="235"/>
        <v>20.169707508060956</v>
      </c>
    </row>
    <row r="812" spans="1:42" x14ac:dyDescent="0.2">
      <c r="A812" s="3">
        <v>810</v>
      </c>
      <c r="B812" s="3">
        <v>6.0699999999999997E-7</v>
      </c>
      <c r="C812" s="2">
        <v>4.2169999999999999E-2</v>
      </c>
      <c r="D812" s="3">
        <v>251000</v>
      </c>
      <c r="E812" s="3">
        <v>109000000000</v>
      </c>
      <c r="F812" s="3">
        <v>98900000000</v>
      </c>
      <c r="G812" s="3">
        <v>1740000000</v>
      </c>
      <c r="H812" s="3">
        <v>9510000000</v>
      </c>
      <c r="I812" s="2"/>
      <c r="J812" s="7">
        <f t="shared" si="236"/>
        <v>0.60699999999999998</v>
      </c>
      <c r="K812" s="7">
        <f t="shared" si="237"/>
        <v>42.17</v>
      </c>
      <c r="L812" s="7">
        <f t="shared" si="238"/>
        <v>109</v>
      </c>
      <c r="M812" s="7">
        <f t="shared" si="239"/>
        <v>251</v>
      </c>
      <c r="O812">
        <f t="shared" si="240"/>
        <v>0.48099402390438245</v>
      </c>
      <c r="P812">
        <f t="shared" si="241"/>
        <v>480.99402390438246</v>
      </c>
      <c r="V812">
        <f t="shared" si="225"/>
        <v>986.00928659206488</v>
      </c>
      <c r="W812">
        <f t="shared" si="226"/>
        <v>127.28074847425071</v>
      </c>
      <c r="AE812">
        <f t="shared" si="227"/>
        <v>0.91381539856930671</v>
      </c>
      <c r="AF812">
        <f t="shared" si="228"/>
        <v>0.89255216306420504</v>
      </c>
      <c r="AG812">
        <f t="shared" si="229"/>
        <v>0.89754969287640385</v>
      </c>
      <c r="AI812">
        <f t="shared" si="230"/>
        <v>0.27676997680564325</v>
      </c>
      <c r="AJ812">
        <f t="shared" si="231"/>
        <v>16.074488086350438</v>
      </c>
      <c r="AL812">
        <f t="shared" si="232"/>
        <v>0.28336345721059364</v>
      </c>
      <c r="AM812">
        <f t="shared" si="233"/>
        <v>16.849494706857701</v>
      </c>
      <c r="AO812">
        <f t="shared" si="234"/>
        <v>0.28178569796635683</v>
      </c>
      <c r="AP812">
        <f t="shared" si="235"/>
        <v>16.662382115871445</v>
      </c>
    </row>
    <row r="813" spans="1:42" x14ac:dyDescent="0.2">
      <c r="A813" s="3">
        <v>810</v>
      </c>
      <c r="B813" s="3">
        <v>6.0699999999999997E-7</v>
      </c>
      <c r="C813" s="2">
        <v>4.2220000000000001E-2</v>
      </c>
      <c r="D813" s="3">
        <v>230000</v>
      </c>
      <c r="E813" s="3">
        <v>100000000000</v>
      </c>
      <c r="F813" s="3">
        <v>91800000000</v>
      </c>
      <c r="G813" s="3">
        <v>1520000000</v>
      </c>
      <c r="H813" s="3">
        <v>9730000000</v>
      </c>
      <c r="I813" s="2"/>
      <c r="J813" s="7">
        <f t="shared" si="236"/>
        <v>0.60699999999999998</v>
      </c>
      <c r="K813" s="7">
        <f t="shared" si="237"/>
        <v>42.22</v>
      </c>
      <c r="L813" s="7">
        <f t="shared" si="238"/>
        <v>100</v>
      </c>
      <c r="M813" s="7">
        <f t="shared" si="239"/>
        <v>230</v>
      </c>
      <c r="O813">
        <f t="shared" si="240"/>
        <v>0.46932608695652173</v>
      </c>
      <c r="P813">
        <f t="shared" si="241"/>
        <v>469.32608695652175</v>
      </c>
      <c r="V813">
        <f t="shared" si="225"/>
        <v>975.34037657314173</v>
      </c>
      <c r="W813">
        <f t="shared" si="226"/>
        <v>117.90755592837495</v>
      </c>
      <c r="AE813">
        <f t="shared" si="227"/>
        <v>0.83736072378860771</v>
      </c>
      <c r="AF813">
        <f t="shared" si="228"/>
        <v>0.81787648408273761</v>
      </c>
      <c r="AG813">
        <f t="shared" si="229"/>
        <v>0.82245589387080831</v>
      </c>
      <c r="AI813">
        <f t="shared" si="230"/>
        <v>0.30204027903572372</v>
      </c>
      <c r="AJ813">
        <f t="shared" si="231"/>
        <v>19.166532504919587</v>
      </c>
      <c r="AL813">
        <f t="shared" si="232"/>
        <v>0.30923577286895221</v>
      </c>
      <c r="AM813">
        <f t="shared" si="233"/>
        <v>20.09061727226554</v>
      </c>
      <c r="AO813">
        <f t="shared" si="234"/>
        <v>0.30751395734589376</v>
      </c>
      <c r="AP813">
        <f t="shared" si="235"/>
        <v>19.867512216729544</v>
      </c>
    </row>
    <row r="814" spans="1:42" x14ac:dyDescent="0.2">
      <c r="A814" s="3">
        <v>810</v>
      </c>
      <c r="B814" s="3">
        <v>6.0800000000000004E-7</v>
      </c>
      <c r="C814" s="2">
        <v>4.2270000000000002E-2</v>
      </c>
      <c r="D814" s="3">
        <v>217000</v>
      </c>
      <c r="E814" s="3">
        <v>95100000000</v>
      </c>
      <c r="F814" s="3">
        <v>87400000000</v>
      </c>
      <c r="G814" s="3">
        <v>5230000000</v>
      </c>
      <c r="H814" s="3">
        <v>9900000000</v>
      </c>
      <c r="I814" s="2"/>
      <c r="J814" s="7">
        <f t="shared" si="236"/>
        <v>0.6080000000000001</v>
      </c>
      <c r="K814" s="7">
        <f t="shared" si="237"/>
        <v>42.27</v>
      </c>
      <c r="L814" s="7">
        <f t="shared" si="238"/>
        <v>95.100000000000009</v>
      </c>
      <c r="M814" s="7">
        <f t="shared" si="239"/>
        <v>217</v>
      </c>
      <c r="O814">
        <f t="shared" si="240"/>
        <v>0.46190552995391709</v>
      </c>
      <c r="P814">
        <f t="shared" si="241"/>
        <v>461.9055299539171</v>
      </c>
      <c r="V814">
        <f t="shared" si="225"/>
        <v>968.47814720009944</v>
      </c>
      <c r="W814">
        <f t="shared" si="226"/>
        <v>112.03143851379289</v>
      </c>
      <c r="AE814">
        <f t="shared" si="227"/>
        <v>0.79003163940055599</v>
      </c>
      <c r="AF814">
        <f t="shared" si="228"/>
        <v>0.77164868280849597</v>
      </c>
      <c r="AG814">
        <f t="shared" si="229"/>
        <v>0.77596925639115399</v>
      </c>
      <c r="AI814">
        <f t="shared" si="230"/>
        <v>0.32066226300196338</v>
      </c>
      <c r="AJ814">
        <f t="shared" si="231"/>
        <v>21.557270595942335</v>
      </c>
      <c r="AL814">
        <f t="shared" si="232"/>
        <v>0.32830138763575706</v>
      </c>
      <c r="AM814">
        <f t="shared" si="233"/>
        <v>22.596621108516889</v>
      </c>
      <c r="AO814">
        <f t="shared" si="234"/>
        <v>0.32647341534060986</v>
      </c>
      <c r="AP814">
        <f t="shared" si="235"/>
        <v>22.345687036207373</v>
      </c>
    </row>
    <row r="815" spans="1:42" x14ac:dyDescent="0.2">
      <c r="A815" s="3">
        <v>810</v>
      </c>
      <c r="B815" s="3">
        <v>6.0900000000000001E-7</v>
      </c>
      <c r="C815" s="2">
        <v>4.233E-2</v>
      </c>
      <c r="D815" s="3">
        <v>216000</v>
      </c>
      <c r="E815" s="3">
        <v>94400000000</v>
      </c>
      <c r="F815" s="3">
        <v>86800000000</v>
      </c>
      <c r="G815" s="3">
        <v>4580000000</v>
      </c>
      <c r="H815" s="3">
        <v>9920000000</v>
      </c>
      <c r="I815" s="2"/>
      <c r="J815" s="7">
        <f t="shared" si="236"/>
        <v>0.60899999999999999</v>
      </c>
      <c r="K815" s="7">
        <f t="shared" si="237"/>
        <v>42.33</v>
      </c>
      <c r="L815" s="7">
        <f t="shared" si="238"/>
        <v>94.4</v>
      </c>
      <c r="M815" s="7">
        <f t="shared" si="239"/>
        <v>216</v>
      </c>
      <c r="O815">
        <f t="shared" si="240"/>
        <v>0.46202083333333333</v>
      </c>
      <c r="P815">
        <f t="shared" si="241"/>
        <v>462.02083333333331</v>
      </c>
      <c r="V815">
        <f t="shared" si="225"/>
        <v>968.58524285340729</v>
      </c>
      <c r="W815">
        <f t="shared" si="226"/>
        <v>111.50283446590308</v>
      </c>
      <c r="AE815">
        <f t="shared" si="227"/>
        <v>0.78639094060147507</v>
      </c>
      <c r="AF815">
        <f t="shared" si="228"/>
        <v>0.76809269809509273</v>
      </c>
      <c r="AG815">
        <f t="shared" si="229"/>
        <v>0.77239336120041135</v>
      </c>
      <c r="AI815">
        <f t="shared" si="230"/>
        <v>0.3226766572436835</v>
      </c>
      <c r="AJ815">
        <f t="shared" si="231"/>
        <v>21.788220374460458</v>
      </c>
      <c r="AL815">
        <f t="shared" si="232"/>
        <v>0.33036377071323858</v>
      </c>
      <c r="AM815">
        <f t="shared" si="233"/>
        <v>22.838705773968567</v>
      </c>
      <c r="AO815">
        <f t="shared" si="234"/>
        <v>0.32852431513087538</v>
      </c>
      <c r="AP815">
        <f t="shared" si="235"/>
        <v>22.585083366502488</v>
      </c>
    </row>
    <row r="816" spans="1:42" x14ac:dyDescent="0.2">
      <c r="A816" s="3">
        <v>810</v>
      </c>
      <c r="B816" s="3">
        <v>6.0999999999999998E-7</v>
      </c>
      <c r="C816" s="2">
        <v>4.2380000000000001E-2</v>
      </c>
      <c r="D816" s="3">
        <v>218000</v>
      </c>
      <c r="E816" s="3">
        <v>95200000000</v>
      </c>
      <c r="F816" s="3">
        <v>87500000000</v>
      </c>
      <c r="G816" s="3">
        <v>2580000000</v>
      </c>
      <c r="H816" s="3">
        <v>9890000000</v>
      </c>
      <c r="I816" s="2"/>
      <c r="J816" s="7">
        <f t="shared" si="236"/>
        <v>0.61</v>
      </c>
      <c r="K816" s="7">
        <f t="shared" si="237"/>
        <v>42.38</v>
      </c>
      <c r="L816" s="7">
        <f t="shared" si="238"/>
        <v>95.2</v>
      </c>
      <c r="M816" s="7">
        <f t="shared" si="239"/>
        <v>218</v>
      </c>
      <c r="O816">
        <f t="shared" si="240"/>
        <v>0.46419724770642201</v>
      </c>
      <c r="P816">
        <f t="shared" si="241"/>
        <v>464.19724770642199</v>
      </c>
      <c r="V816">
        <f t="shared" si="225"/>
        <v>970.6039461259362</v>
      </c>
      <c r="W816">
        <f t="shared" si="226"/>
        <v>112.30121249255379</v>
      </c>
      <c r="AE816">
        <f t="shared" si="227"/>
        <v>0.7936723381996369</v>
      </c>
      <c r="AF816">
        <f t="shared" si="228"/>
        <v>0.7752046675218992</v>
      </c>
      <c r="AG816">
        <f t="shared" si="229"/>
        <v>0.77954515158189663</v>
      </c>
      <c r="AI816">
        <f t="shared" si="230"/>
        <v>0.32024130668736334</v>
      </c>
      <c r="AJ816">
        <f t="shared" si="231"/>
        <v>21.415536473632468</v>
      </c>
      <c r="AL816">
        <f t="shared" si="232"/>
        <v>0.3278704028952284</v>
      </c>
      <c r="AM816">
        <f t="shared" si="233"/>
        <v>22.448053494368786</v>
      </c>
      <c r="AO816">
        <f t="shared" si="234"/>
        <v>0.32604483031021031</v>
      </c>
      <c r="AP816">
        <f t="shared" si="235"/>
        <v>22.198769256176167</v>
      </c>
    </row>
    <row r="817" spans="1:42" x14ac:dyDescent="0.2">
      <c r="A817" s="3">
        <v>820</v>
      </c>
      <c r="B817" s="3">
        <v>6.1099999999999995E-7</v>
      </c>
      <c r="C817" s="2">
        <v>4.2430000000000002E-2</v>
      </c>
      <c r="D817" s="3">
        <v>267000</v>
      </c>
      <c r="E817" s="3">
        <v>115000000000</v>
      </c>
      <c r="F817" s="3">
        <v>104000000000</v>
      </c>
      <c r="G817" s="3">
        <v>13600000000</v>
      </c>
      <c r="H817" s="3">
        <v>9350000000</v>
      </c>
      <c r="I817" s="2"/>
      <c r="J817" s="7">
        <f t="shared" si="236"/>
        <v>0.61099999999999999</v>
      </c>
      <c r="K817" s="7">
        <f t="shared" si="237"/>
        <v>42.43</v>
      </c>
      <c r="L817" s="7">
        <f t="shared" si="238"/>
        <v>115.00000000000001</v>
      </c>
      <c r="M817" s="7">
        <f t="shared" si="239"/>
        <v>267</v>
      </c>
      <c r="O817">
        <f t="shared" si="240"/>
        <v>0.49181460674157301</v>
      </c>
      <c r="P817">
        <f t="shared" si="241"/>
        <v>491.81460674157302</v>
      </c>
      <c r="V817">
        <f t="shared" si="225"/>
        <v>995.77530221671611</v>
      </c>
      <c r="W817">
        <f t="shared" si="226"/>
        <v>134.06638998056377</v>
      </c>
      <c r="AE817">
        <f t="shared" si="227"/>
        <v>0.97206657935460117</v>
      </c>
      <c r="AF817">
        <f t="shared" si="228"/>
        <v>0.94944791847865628</v>
      </c>
      <c r="AG817">
        <f t="shared" si="229"/>
        <v>0.95476401592828619</v>
      </c>
      <c r="AI817">
        <f t="shared" si="230"/>
        <v>0.26189907022866965</v>
      </c>
      <c r="AJ817">
        <f t="shared" si="231"/>
        <v>14.293266856808083</v>
      </c>
      <c r="AL817">
        <f t="shared" si="232"/>
        <v>0.2681382816039703</v>
      </c>
      <c r="AM817">
        <f t="shared" si="233"/>
        <v>14.982394646333754</v>
      </c>
      <c r="AO817">
        <f t="shared" si="234"/>
        <v>0.26664529568158285</v>
      </c>
      <c r="AP817">
        <f t="shared" si="235"/>
        <v>14.816016085419806</v>
      </c>
    </row>
    <row r="818" spans="1:42" x14ac:dyDescent="0.2">
      <c r="A818" s="3">
        <v>820</v>
      </c>
      <c r="B818" s="3">
        <v>6.1200000000000003E-7</v>
      </c>
      <c r="C818" s="2">
        <v>4.2479999999999997E-2</v>
      </c>
      <c r="D818" s="3">
        <v>208000</v>
      </c>
      <c r="E818" s="3">
        <v>91100000000</v>
      </c>
      <c r="F818" s="3">
        <v>84000000000</v>
      </c>
      <c r="G818" s="3">
        <v>7110000000</v>
      </c>
      <c r="H818" s="3">
        <v>10000000000</v>
      </c>
      <c r="I818" s="2"/>
      <c r="J818" s="7">
        <f t="shared" si="236"/>
        <v>0.61199999999999999</v>
      </c>
      <c r="K818" s="7">
        <f t="shared" si="237"/>
        <v>42.48</v>
      </c>
      <c r="L818" s="7">
        <f t="shared" si="238"/>
        <v>91.100000000000009</v>
      </c>
      <c r="M818" s="7">
        <f t="shared" si="239"/>
        <v>208</v>
      </c>
      <c r="O818">
        <f t="shared" si="240"/>
        <v>0.45882692307692308</v>
      </c>
      <c r="P818">
        <f t="shared" si="241"/>
        <v>458.82692307692309</v>
      </c>
      <c r="V818">
        <f t="shared" si="225"/>
        <v>965.61316194490382</v>
      </c>
      <c r="W818">
        <f t="shared" si="226"/>
        <v>107.70358576153507</v>
      </c>
      <c r="AE818">
        <f t="shared" si="227"/>
        <v>0.7572653502088279</v>
      </c>
      <c r="AF818">
        <f t="shared" si="228"/>
        <v>0.73964482038786705</v>
      </c>
      <c r="AG818">
        <f t="shared" si="229"/>
        <v>0.74378619967447013</v>
      </c>
      <c r="AI818">
        <f t="shared" si="230"/>
        <v>0.336737974251271</v>
      </c>
      <c r="AJ818">
        <f t="shared" si="231"/>
        <v>23.579730180683104</v>
      </c>
      <c r="AL818">
        <f t="shared" si="232"/>
        <v>0.34476006992961694</v>
      </c>
      <c r="AM818">
        <f t="shared" si="233"/>
        <v>24.716590459009605</v>
      </c>
      <c r="AO818">
        <f t="shared" si="234"/>
        <v>0.34284045618432396</v>
      </c>
      <c r="AP818">
        <f t="shared" si="235"/>
        <v>24.442114258886566</v>
      </c>
    </row>
    <row r="819" spans="1:42" x14ac:dyDescent="0.2">
      <c r="A819" s="3">
        <v>820</v>
      </c>
      <c r="B819" s="3">
        <v>6.1200000000000003E-7</v>
      </c>
      <c r="C819" s="2">
        <v>4.2540000000000001E-2</v>
      </c>
      <c r="D819" s="3">
        <v>234000</v>
      </c>
      <c r="E819" s="3">
        <v>101000000000</v>
      </c>
      <c r="F819" s="3">
        <v>92600000000</v>
      </c>
      <c r="G819" s="3">
        <v>1490000000</v>
      </c>
      <c r="H819" s="3">
        <v>9690000000</v>
      </c>
      <c r="I819" s="2"/>
      <c r="J819" s="7">
        <f t="shared" si="236"/>
        <v>0.61199999999999999</v>
      </c>
      <c r="K819" s="7">
        <f t="shared" si="237"/>
        <v>42.54</v>
      </c>
      <c r="L819" s="7">
        <f t="shared" si="238"/>
        <v>101</v>
      </c>
      <c r="M819" s="7">
        <f t="shared" si="239"/>
        <v>234</v>
      </c>
      <c r="O819">
        <f t="shared" si="240"/>
        <v>0.47565384615384615</v>
      </c>
      <c r="P819">
        <f t="shared" si="241"/>
        <v>475.65384615384613</v>
      </c>
      <c r="V819">
        <f t="shared" si="225"/>
        <v>981.14444321101053</v>
      </c>
      <c r="W819">
        <f t="shared" si="226"/>
        <v>119.24849680347964</v>
      </c>
      <c r="AE819">
        <f t="shared" si="227"/>
        <v>0.85192351898493135</v>
      </c>
      <c r="AF819">
        <f t="shared" si="228"/>
        <v>0.83210042293635045</v>
      </c>
      <c r="AG819">
        <f t="shared" si="229"/>
        <v>0.83675947463377898</v>
      </c>
      <c r="AI819">
        <f t="shared" si="230"/>
        <v>0.29932264377890755</v>
      </c>
      <c r="AJ819">
        <f t="shared" si="231"/>
        <v>18.657212748111121</v>
      </c>
      <c r="AL819">
        <f t="shared" si="232"/>
        <v>0.30645339549299283</v>
      </c>
      <c r="AM819">
        <f t="shared" si="233"/>
        <v>19.556741449885262</v>
      </c>
      <c r="AO819">
        <f t="shared" si="234"/>
        <v>0.30474707216384345</v>
      </c>
      <c r="AP819">
        <f t="shared" si="235"/>
        <v>19.339565052159394</v>
      </c>
    </row>
    <row r="820" spans="1:42" x14ac:dyDescent="0.2">
      <c r="A820" s="3">
        <v>820</v>
      </c>
      <c r="B820" s="3">
        <v>6.13E-7</v>
      </c>
      <c r="C820" s="2">
        <v>4.2590000000000003E-2</v>
      </c>
      <c r="D820" s="3">
        <v>209000</v>
      </c>
      <c r="E820" s="3">
        <v>91200000000</v>
      </c>
      <c r="F820" s="3">
        <v>84100000000</v>
      </c>
      <c r="G820" s="3">
        <v>6290000000</v>
      </c>
      <c r="H820" s="3">
        <v>10000000000</v>
      </c>
      <c r="I820" s="2"/>
      <c r="J820" s="7">
        <f t="shared" si="236"/>
        <v>0.61299999999999999</v>
      </c>
      <c r="K820" s="7">
        <f t="shared" si="237"/>
        <v>42.59</v>
      </c>
      <c r="L820" s="7">
        <f t="shared" si="238"/>
        <v>91.2</v>
      </c>
      <c r="M820" s="7">
        <f t="shared" si="239"/>
        <v>209</v>
      </c>
      <c r="O820">
        <f t="shared" si="240"/>
        <v>0.46016507177033489</v>
      </c>
      <c r="P820">
        <f t="shared" si="241"/>
        <v>460.16507177033486</v>
      </c>
      <c r="V820">
        <f t="shared" si="225"/>
        <v>966.8597691847234</v>
      </c>
      <c r="W820">
        <f t="shared" si="226"/>
        <v>108.08185771150309</v>
      </c>
      <c r="AE820">
        <f t="shared" si="227"/>
        <v>0.76090604900790881</v>
      </c>
      <c r="AF820">
        <f t="shared" si="228"/>
        <v>0.74320080510127029</v>
      </c>
      <c r="AG820">
        <f t="shared" si="229"/>
        <v>0.74736209486521277</v>
      </c>
      <c r="AI820">
        <f t="shared" si="230"/>
        <v>0.33567438056207632</v>
      </c>
      <c r="AJ820">
        <f t="shared" si="231"/>
        <v>23.415102374434074</v>
      </c>
      <c r="AL820">
        <f t="shared" si="232"/>
        <v>0.34367113828928508</v>
      </c>
      <c r="AM820">
        <f t="shared" si="233"/>
        <v>24.544025377304141</v>
      </c>
      <c r="AO820">
        <f t="shared" si="234"/>
        <v>0.34175758768275666</v>
      </c>
      <c r="AP820">
        <f t="shared" si="235"/>
        <v>24.271465501683021</v>
      </c>
    </row>
    <row r="821" spans="1:42" x14ac:dyDescent="0.2">
      <c r="A821" s="3">
        <v>820</v>
      </c>
      <c r="B821" s="3">
        <v>6.13E-7</v>
      </c>
      <c r="C821" s="2">
        <v>4.2639999999999997E-2</v>
      </c>
      <c r="D821" s="3">
        <v>213000</v>
      </c>
      <c r="E821" s="3">
        <v>92900000000</v>
      </c>
      <c r="F821" s="3">
        <v>85500000000</v>
      </c>
      <c r="G821" s="3">
        <v>8630000000</v>
      </c>
      <c r="H821" s="3">
        <v>9980000000</v>
      </c>
      <c r="I821" s="2"/>
      <c r="J821" s="7">
        <f t="shared" si="236"/>
        <v>0.61299999999999999</v>
      </c>
      <c r="K821" s="7">
        <f t="shared" si="237"/>
        <v>42.64</v>
      </c>
      <c r="L821" s="7">
        <f t="shared" si="238"/>
        <v>92.9</v>
      </c>
      <c r="M821" s="7">
        <f t="shared" si="239"/>
        <v>213</v>
      </c>
      <c r="O821">
        <f t="shared" si="240"/>
        <v>0.46285915492957741</v>
      </c>
      <c r="P821">
        <f t="shared" si="241"/>
        <v>462.85915492957741</v>
      </c>
      <c r="V821">
        <f t="shared" si="225"/>
        <v>969.36344239957737</v>
      </c>
      <c r="W821">
        <f t="shared" si="226"/>
        <v>109.86591338370286</v>
      </c>
      <c r="AE821">
        <f t="shared" si="227"/>
        <v>0.77546884420423234</v>
      </c>
      <c r="AF821">
        <f t="shared" si="228"/>
        <v>0.75742474395488313</v>
      </c>
      <c r="AG821">
        <f t="shared" si="229"/>
        <v>0.76166567562818333</v>
      </c>
      <c r="AI821">
        <f t="shared" si="230"/>
        <v>0.32937063632616881</v>
      </c>
      <c r="AJ821">
        <f t="shared" si="231"/>
        <v>22.570385778829973</v>
      </c>
      <c r="AL821">
        <f t="shared" si="232"/>
        <v>0.33721722019934541</v>
      </c>
      <c r="AM821">
        <f t="shared" si="233"/>
        <v>23.658582075472829</v>
      </c>
      <c r="AO821">
        <f t="shared" si="234"/>
        <v>0.33533960481547487</v>
      </c>
      <c r="AP821">
        <f t="shared" si="235"/>
        <v>23.395854992660009</v>
      </c>
    </row>
    <row r="822" spans="1:42" x14ac:dyDescent="0.2">
      <c r="A822" s="3">
        <v>820</v>
      </c>
      <c r="B822" s="3">
        <v>6.1399999999999997E-7</v>
      </c>
      <c r="C822" s="2">
        <v>4.2689999999999999E-2</v>
      </c>
      <c r="D822" s="3">
        <v>209000</v>
      </c>
      <c r="E822" s="3">
        <v>91300000000</v>
      </c>
      <c r="F822" s="3">
        <v>84200000000</v>
      </c>
      <c r="G822" s="2">
        <v>0</v>
      </c>
      <c r="H822" s="3">
        <v>10000000000</v>
      </c>
      <c r="I822" s="2"/>
      <c r="J822" s="7">
        <f t="shared" si="236"/>
        <v>0.61399999999999999</v>
      </c>
      <c r="K822" s="7">
        <f t="shared" si="237"/>
        <v>42.69</v>
      </c>
      <c r="L822" s="7">
        <f t="shared" si="238"/>
        <v>91.300000000000011</v>
      </c>
      <c r="M822" s="7">
        <f t="shared" si="239"/>
        <v>209</v>
      </c>
      <c r="O822">
        <f t="shared" si="240"/>
        <v>0.46080622009569377</v>
      </c>
      <c r="P822">
        <f t="shared" si="241"/>
        <v>460.80622009569379</v>
      </c>
      <c r="V822">
        <f t="shared" si="225"/>
        <v>967.45634172283167</v>
      </c>
      <c r="W822">
        <f t="shared" si="226"/>
        <v>108.01521008576778</v>
      </c>
      <c r="AE822">
        <f t="shared" si="227"/>
        <v>0.76090604900790881</v>
      </c>
      <c r="AF822">
        <f t="shared" si="228"/>
        <v>0.74320080510127029</v>
      </c>
      <c r="AG822">
        <f t="shared" si="229"/>
        <v>0.74736209486521277</v>
      </c>
      <c r="AI822">
        <f t="shared" si="230"/>
        <v>0.33622197335255283</v>
      </c>
      <c r="AJ822">
        <f t="shared" si="231"/>
        <v>23.470080309100503</v>
      </c>
      <c r="AL822">
        <f t="shared" si="232"/>
        <v>0.34423177636153512</v>
      </c>
      <c r="AM822">
        <f t="shared" si="233"/>
        <v>24.601653988192385</v>
      </c>
      <c r="AO822">
        <f t="shared" si="234"/>
        <v>0.34231510413900912</v>
      </c>
      <c r="AP822">
        <f t="shared" si="235"/>
        <v>24.328454150430805</v>
      </c>
    </row>
    <row r="823" spans="1:42" x14ac:dyDescent="0.2">
      <c r="A823" s="3">
        <v>820</v>
      </c>
      <c r="B823" s="3">
        <v>6.1500000000000004E-7</v>
      </c>
      <c r="C823" s="2">
        <v>4.274E-2</v>
      </c>
      <c r="D823" s="3">
        <v>243000</v>
      </c>
      <c r="E823" s="3">
        <v>105000000000</v>
      </c>
      <c r="F823" s="3">
        <v>95600000000</v>
      </c>
      <c r="G823" s="3">
        <v>779000000</v>
      </c>
      <c r="H823" s="3">
        <v>9580000000</v>
      </c>
      <c r="I823" s="2"/>
      <c r="J823" s="7">
        <f t="shared" si="236"/>
        <v>0.61499999999999999</v>
      </c>
      <c r="K823" s="7">
        <f t="shared" si="237"/>
        <v>42.74</v>
      </c>
      <c r="L823" s="7">
        <f t="shared" si="238"/>
        <v>105</v>
      </c>
      <c r="M823" s="7">
        <f t="shared" si="239"/>
        <v>243</v>
      </c>
      <c r="O823">
        <f t="shared" si="240"/>
        <v>0.48308641975308642</v>
      </c>
      <c r="P823">
        <f t="shared" si="241"/>
        <v>483.08641975308643</v>
      </c>
      <c r="V823">
        <f t="shared" si="225"/>
        <v>987.90722991054997</v>
      </c>
      <c r="W823">
        <f t="shared" si="226"/>
        <v>122.98725661821628</v>
      </c>
      <c r="AE823">
        <f t="shared" si="227"/>
        <v>0.88468980817665943</v>
      </c>
      <c r="AF823">
        <f t="shared" si="228"/>
        <v>0.86410428535697936</v>
      </c>
      <c r="AG823">
        <f t="shared" si="229"/>
        <v>0.86894253135046273</v>
      </c>
      <c r="AI823">
        <f t="shared" si="230"/>
        <v>0.28964954454277003</v>
      </c>
      <c r="AJ823">
        <f t="shared" si="231"/>
        <v>17.382128800892509</v>
      </c>
      <c r="AL823">
        <f t="shared" si="232"/>
        <v>0.29654985438955189</v>
      </c>
      <c r="AM823">
        <f t="shared" si="233"/>
        <v>18.220181299164022</v>
      </c>
      <c r="AO823">
        <f t="shared" si="234"/>
        <v>0.29489867368069828</v>
      </c>
      <c r="AP823">
        <f t="shared" si="235"/>
        <v>18.01784731880208</v>
      </c>
    </row>
    <row r="824" spans="1:42" x14ac:dyDescent="0.2">
      <c r="A824" s="3">
        <v>820</v>
      </c>
      <c r="B824" s="3">
        <v>6.1500000000000004E-7</v>
      </c>
      <c r="C824" s="2">
        <v>4.2799999999999998E-2</v>
      </c>
      <c r="D824" s="3">
        <v>244000</v>
      </c>
      <c r="E824" s="3">
        <v>105000000000</v>
      </c>
      <c r="F824" s="3">
        <v>95900000000</v>
      </c>
      <c r="G824" s="2">
        <v>0</v>
      </c>
      <c r="H824" s="3">
        <v>9580000000</v>
      </c>
      <c r="I824" s="2"/>
      <c r="J824" s="7">
        <f t="shared" si="236"/>
        <v>0.61499999999999999</v>
      </c>
      <c r="K824" s="7">
        <f t="shared" si="237"/>
        <v>42.8</v>
      </c>
      <c r="L824" s="7">
        <f t="shared" si="238"/>
        <v>105</v>
      </c>
      <c r="M824" s="7">
        <f t="shared" si="239"/>
        <v>244</v>
      </c>
      <c r="O824">
        <f t="shared" si="240"/>
        <v>0.48344262295081969</v>
      </c>
      <c r="P824">
        <f t="shared" si="241"/>
        <v>483.44262295081967</v>
      </c>
      <c r="V824">
        <f t="shared" si="225"/>
        <v>988.2298737124114</v>
      </c>
      <c r="W824">
        <f t="shared" si="226"/>
        <v>123.45305808424051</v>
      </c>
      <c r="AE824">
        <f t="shared" si="227"/>
        <v>0.88833050697574034</v>
      </c>
      <c r="AF824">
        <f t="shared" si="228"/>
        <v>0.8676602700703826</v>
      </c>
      <c r="AG824">
        <f t="shared" si="229"/>
        <v>0.87251842654120537</v>
      </c>
      <c r="AI824">
        <f t="shared" si="230"/>
        <v>0.28846245624546363</v>
      </c>
      <c r="AJ824">
        <f t="shared" si="231"/>
        <v>17.264146369631824</v>
      </c>
      <c r="AL824">
        <f t="shared" si="232"/>
        <v>0.29533448613385693</v>
      </c>
      <c r="AM824">
        <f t="shared" si="233"/>
        <v>18.096510527171151</v>
      </c>
      <c r="AO824">
        <f t="shared" si="234"/>
        <v>0.29369007255905599</v>
      </c>
      <c r="AP824">
        <f t="shared" si="235"/>
        <v>17.895549903042113</v>
      </c>
    </row>
    <row r="825" spans="1:42" x14ac:dyDescent="0.2">
      <c r="A825" s="3">
        <v>820</v>
      </c>
      <c r="B825" s="3">
        <v>6.1600000000000001E-7</v>
      </c>
      <c r="C825" s="2">
        <v>4.2849999999999999E-2</v>
      </c>
      <c r="D825" s="3">
        <v>249000</v>
      </c>
      <c r="E825" s="3">
        <v>107000000000</v>
      </c>
      <c r="F825" s="3">
        <v>97600000000</v>
      </c>
      <c r="G825" s="3">
        <v>1290000000</v>
      </c>
      <c r="H825" s="3">
        <v>9530000000</v>
      </c>
      <c r="I825" s="2"/>
      <c r="J825" s="7">
        <f t="shared" si="236"/>
        <v>0.61599999999999999</v>
      </c>
      <c r="K825" s="7">
        <f t="shared" si="237"/>
        <v>42.85</v>
      </c>
      <c r="L825" s="7">
        <f t="shared" si="238"/>
        <v>107</v>
      </c>
      <c r="M825" s="7">
        <f t="shared" si="239"/>
        <v>249</v>
      </c>
      <c r="O825">
        <f t="shared" si="240"/>
        <v>0.486933734939759</v>
      </c>
      <c r="P825">
        <f t="shared" si="241"/>
        <v>486.93373493975901</v>
      </c>
      <c r="V825">
        <f t="shared" si="225"/>
        <v>991.38509003722163</v>
      </c>
      <c r="W825">
        <f t="shared" si="226"/>
        <v>125.58187655951699</v>
      </c>
      <c r="AE825">
        <f t="shared" si="227"/>
        <v>0.90653400097114489</v>
      </c>
      <c r="AF825">
        <f t="shared" si="228"/>
        <v>0.88544019363739856</v>
      </c>
      <c r="AG825">
        <f t="shared" si="229"/>
        <v>0.89039790249491857</v>
      </c>
      <c r="AI825">
        <f t="shared" si="230"/>
        <v>0.28312966352250085</v>
      </c>
      <c r="AJ825">
        <f t="shared" si="231"/>
        <v>16.597134946927991</v>
      </c>
      <c r="AL825">
        <f t="shared" si="232"/>
        <v>0.28987465049703365</v>
      </c>
      <c r="AM825">
        <f t="shared" si="233"/>
        <v>17.397340178735291</v>
      </c>
      <c r="AO825">
        <f t="shared" si="234"/>
        <v>0.28826063712355998</v>
      </c>
      <c r="AP825">
        <f t="shared" si="235"/>
        <v>17.204143797849898</v>
      </c>
    </row>
    <row r="826" spans="1:42" x14ac:dyDescent="0.2">
      <c r="A826" s="3">
        <v>820</v>
      </c>
      <c r="B826" s="3">
        <v>6.1699999999999998E-7</v>
      </c>
      <c r="C826" s="2">
        <v>4.2900000000000001E-2</v>
      </c>
      <c r="D826" s="3">
        <v>237000</v>
      </c>
      <c r="E826" s="3">
        <v>102000000000</v>
      </c>
      <c r="F826" s="3">
        <v>93300000000</v>
      </c>
      <c r="G826" s="3">
        <v>10500000000</v>
      </c>
      <c r="H826" s="3">
        <v>9660000000</v>
      </c>
      <c r="I826" s="2"/>
      <c r="J826" s="7">
        <f t="shared" si="236"/>
        <v>0.61699999999999999</v>
      </c>
      <c r="K826" s="7">
        <f t="shared" si="237"/>
        <v>42.9</v>
      </c>
      <c r="L826" s="7">
        <f t="shared" si="238"/>
        <v>102</v>
      </c>
      <c r="M826" s="7">
        <f t="shared" si="239"/>
        <v>237</v>
      </c>
      <c r="O826">
        <f t="shared" si="240"/>
        <v>0.48124050632911392</v>
      </c>
      <c r="P826">
        <f t="shared" si="241"/>
        <v>481.24050632911394</v>
      </c>
      <c r="V826">
        <f t="shared" si="225"/>
        <v>986.23310131347387</v>
      </c>
      <c r="W826">
        <f t="shared" si="226"/>
        <v>120.15415000995269</v>
      </c>
      <c r="AE826">
        <f t="shared" si="227"/>
        <v>0.86284561538217408</v>
      </c>
      <c r="AF826">
        <f t="shared" si="228"/>
        <v>0.84276837707656005</v>
      </c>
      <c r="AG826">
        <f t="shared" si="229"/>
        <v>0.8474871602060069</v>
      </c>
      <c r="AI826">
        <f t="shared" si="230"/>
        <v>0.2979482409717818</v>
      </c>
      <c r="AJ826">
        <f t="shared" si="231"/>
        <v>18.341784782114058</v>
      </c>
      <c r="AL826">
        <f t="shared" si="232"/>
        <v>0.30504625034118832</v>
      </c>
      <c r="AM826">
        <f t="shared" si="233"/>
        <v>19.226105611598417</v>
      </c>
      <c r="AO826">
        <f t="shared" si="234"/>
        <v>0.30334776195410629</v>
      </c>
      <c r="AP826">
        <f t="shared" si="235"/>
        <v>19.012600904297159</v>
      </c>
    </row>
    <row r="827" spans="1:42" x14ac:dyDescent="0.2">
      <c r="A827" s="3">
        <v>830</v>
      </c>
      <c r="B827" s="3">
        <v>6.1699999999999998E-7</v>
      </c>
      <c r="C827" s="2">
        <v>4.2950000000000002E-2</v>
      </c>
      <c r="D827" s="3">
        <v>222000</v>
      </c>
      <c r="E827" s="3">
        <v>96300000000</v>
      </c>
      <c r="F827" s="3">
        <v>88400000000</v>
      </c>
      <c r="G827" s="2">
        <v>0</v>
      </c>
      <c r="H827" s="3">
        <v>9850000000</v>
      </c>
      <c r="I827" s="2"/>
      <c r="J827" s="7">
        <f t="shared" si="236"/>
        <v>0.61699999999999999</v>
      </c>
      <c r="K827" s="7">
        <f t="shared" si="237"/>
        <v>42.95</v>
      </c>
      <c r="L827" s="7">
        <f t="shared" si="238"/>
        <v>96.300000000000011</v>
      </c>
      <c r="M827" s="7">
        <f t="shared" si="239"/>
        <v>222</v>
      </c>
      <c r="O827">
        <f t="shared" si="240"/>
        <v>0.47189864864864861</v>
      </c>
      <c r="P827">
        <f t="shared" si="241"/>
        <v>471.89864864864859</v>
      </c>
      <c r="V827">
        <f t="shared" si="225"/>
        <v>977.70525630358145</v>
      </c>
      <c r="W827">
        <f t="shared" si="226"/>
        <v>113.53114784271351</v>
      </c>
      <c r="AE827">
        <f t="shared" si="227"/>
        <v>0.80823513339596054</v>
      </c>
      <c r="AF827">
        <f t="shared" si="228"/>
        <v>0.78942860637551204</v>
      </c>
      <c r="AG827">
        <f t="shared" si="229"/>
        <v>0.79384873234486719</v>
      </c>
      <c r="AI827">
        <f t="shared" si="230"/>
        <v>0.31807987887528055</v>
      </c>
      <c r="AJ827">
        <f t="shared" si="231"/>
        <v>20.928505296011828</v>
      </c>
      <c r="AL827">
        <f t="shared" si="232"/>
        <v>0.32565748347234968</v>
      </c>
      <c r="AM827">
        <f t="shared" si="233"/>
        <v>21.937540860603363</v>
      </c>
      <c r="AO827">
        <f t="shared" si="234"/>
        <v>0.3238442323564108</v>
      </c>
      <c r="AP827">
        <f t="shared" si="235"/>
        <v>21.693925833464075</v>
      </c>
    </row>
    <row r="828" spans="1:42" x14ac:dyDescent="0.2">
      <c r="A828" s="3">
        <v>830</v>
      </c>
      <c r="B828" s="3">
        <v>6.1799999999999995E-7</v>
      </c>
      <c r="C828" s="2">
        <v>4.2999999999999997E-2</v>
      </c>
      <c r="D828" s="3">
        <v>236000</v>
      </c>
      <c r="E828" s="3">
        <v>102000000000</v>
      </c>
      <c r="F828" s="3">
        <v>92900000000</v>
      </c>
      <c r="G828" s="2">
        <v>0</v>
      </c>
      <c r="H828" s="3">
        <v>9680000000</v>
      </c>
      <c r="I828" s="2"/>
      <c r="J828" s="7">
        <f t="shared" si="236"/>
        <v>0.61799999999999999</v>
      </c>
      <c r="K828" s="7">
        <f t="shared" si="237"/>
        <v>43</v>
      </c>
      <c r="L828" s="7">
        <f t="shared" si="238"/>
        <v>102</v>
      </c>
      <c r="M828" s="7">
        <f t="shared" si="239"/>
        <v>236</v>
      </c>
      <c r="O828">
        <f t="shared" si="240"/>
        <v>0.48134745762711861</v>
      </c>
      <c r="P828">
        <f t="shared" si="241"/>
        <v>481.34745762711862</v>
      </c>
      <c r="V828">
        <f t="shared" si="225"/>
        <v>986.33019699517217</v>
      </c>
      <c r="W828">
        <f t="shared" si="226"/>
        <v>119.63539224438605</v>
      </c>
      <c r="AE828">
        <f t="shared" si="227"/>
        <v>0.85920491658309317</v>
      </c>
      <c r="AF828">
        <f t="shared" si="228"/>
        <v>0.83921239236315692</v>
      </c>
      <c r="AG828">
        <f t="shared" si="229"/>
        <v>0.84391126501526426</v>
      </c>
      <c r="AI828">
        <f t="shared" si="230"/>
        <v>0.29969567798102481</v>
      </c>
      <c r="AJ828">
        <f t="shared" si="231"/>
        <v>18.540670794863708</v>
      </c>
      <c r="AL828">
        <f t="shared" si="232"/>
        <v>0.30683531647441481</v>
      </c>
      <c r="AM828">
        <f t="shared" si="233"/>
        <v>19.434580606328659</v>
      </c>
      <c r="AO828">
        <f t="shared" si="234"/>
        <v>0.30512686662067784</v>
      </c>
      <c r="AP828">
        <f t="shared" si="235"/>
        <v>19.218760797174294</v>
      </c>
    </row>
    <row r="829" spans="1:42" x14ac:dyDescent="0.2">
      <c r="A829" s="3">
        <v>830</v>
      </c>
      <c r="B829" s="3">
        <v>6.1900000000000002E-7</v>
      </c>
      <c r="C829" s="2">
        <v>4.3049999999999998E-2</v>
      </c>
      <c r="D829" s="3">
        <v>233000</v>
      </c>
      <c r="E829" s="3">
        <v>101000000000</v>
      </c>
      <c r="F829" s="3">
        <v>92000000000</v>
      </c>
      <c r="G829" s="3">
        <v>6540000000</v>
      </c>
      <c r="H829" s="3">
        <v>9710000000</v>
      </c>
      <c r="I829" s="2"/>
      <c r="J829" s="7">
        <f t="shared" si="236"/>
        <v>0.61899999999999999</v>
      </c>
      <c r="K829" s="7">
        <f t="shared" si="237"/>
        <v>43.05</v>
      </c>
      <c r="L829" s="7">
        <f t="shared" si="238"/>
        <v>101</v>
      </c>
      <c r="M829" s="7">
        <f t="shared" si="239"/>
        <v>233</v>
      </c>
      <c r="O829">
        <f t="shared" si="240"/>
        <v>0.4804270386266094</v>
      </c>
      <c r="P829">
        <f t="shared" si="241"/>
        <v>480.42703862660943</v>
      </c>
      <c r="V829">
        <f t="shared" si="225"/>
        <v>985.49420139028825</v>
      </c>
      <c r="W829">
        <f t="shared" si="226"/>
        <v>118.21480008268679</v>
      </c>
      <c r="AE829">
        <f t="shared" si="227"/>
        <v>0.84828282018585044</v>
      </c>
      <c r="AF829">
        <f t="shared" si="228"/>
        <v>0.82854443822294732</v>
      </c>
      <c r="AG829">
        <f t="shared" si="229"/>
        <v>0.83318357944303623</v>
      </c>
      <c r="AI829">
        <f t="shared" si="230"/>
        <v>0.30404560899884742</v>
      </c>
      <c r="AJ829">
        <f t="shared" si="231"/>
        <v>19.043304282134713</v>
      </c>
      <c r="AL829">
        <f t="shared" si="232"/>
        <v>0.31128887572988045</v>
      </c>
      <c r="AM829">
        <f t="shared" si="233"/>
        <v>19.961447791010805</v>
      </c>
      <c r="AO829">
        <f t="shared" si="234"/>
        <v>0.30955562859157398</v>
      </c>
      <c r="AP829">
        <f t="shared" si="235"/>
        <v>19.739777154532145</v>
      </c>
    </row>
    <row r="830" spans="1:42" x14ac:dyDescent="0.2">
      <c r="A830" s="3">
        <v>830</v>
      </c>
      <c r="B830" s="3">
        <v>6.1999999999999999E-7</v>
      </c>
      <c r="C830" s="2">
        <v>4.3110000000000002E-2</v>
      </c>
      <c r="D830" s="3">
        <v>223000</v>
      </c>
      <c r="E830" s="3">
        <v>96500000000</v>
      </c>
      <c r="F830" s="3">
        <v>88500000000</v>
      </c>
      <c r="G830" s="3">
        <v>6250000000</v>
      </c>
      <c r="H830" s="3">
        <v>9840000000</v>
      </c>
      <c r="I830" s="2"/>
      <c r="J830" s="7">
        <f t="shared" si="236"/>
        <v>0.62</v>
      </c>
      <c r="K830" s="7">
        <f t="shared" si="237"/>
        <v>43.11</v>
      </c>
      <c r="L830" s="7">
        <f t="shared" si="238"/>
        <v>96.5</v>
      </c>
      <c r="M830" s="7">
        <f t="shared" si="239"/>
        <v>223</v>
      </c>
      <c r="O830">
        <f t="shared" si="240"/>
        <v>0.47501121076233183</v>
      </c>
      <c r="P830">
        <f t="shared" si="241"/>
        <v>475.01121076233181</v>
      </c>
      <c r="V830">
        <f t="shared" si="225"/>
        <v>980.5569627895801</v>
      </c>
      <c r="W830">
        <f t="shared" si="226"/>
        <v>113.71088496765591</v>
      </c>
      <c r="AE830">
        <f t="shared" si="227"/>
        <v>0.81187583219504145</v>
      </c>
      <c r="AF830">
        <f t="shared" si="228"/>
        <v>0.79298459108891517</v>
      </c>
      <c r="AG830">
        <f t="shared" si="229"/>
        <v>0.79742462753560983</v>
      </c>
      <c r="AI830">
        <f t="shared" si="230"/>
        <v>0.31819315600870413</v>
      </c>
      <c r="AJ830">
        <f t="shared" si="231"/>
        <v>20.818493049755876</v>
      </c>
      <c r="AL830">
        <f t="shared" si="232"/>
        <v>0.32577345920252204</v>
      </c>
      <c r="AM830">
        <f t="shared" si="233"/>
        <v>21.822224543777505</v>
      </c>
      <c r="AO830">
        <f t="shared" si="234"/>
        <v>0.32395956233719053</v>
      </c>
      <c r="AP830">
        <f t="shared" si="235"/>
        <v>21.579890097165976</v>
      </c>
    </row>
    <row r="831" spans="1:42" x14ac:dyDescent="0.2">
      <c r="A831" s="3">
        <v>830</v>
      </c>
      <c r="B831" s="3">
        <v>6.1999999999999999E-7</v>
      </c>
      <c r="C831" s="2">
        <v>4.3159999999999997E-2</v>
      </c>
      <c r="D831" s="3">
        <v>235000</v>
      </c>
      <c r="E831" s="3">
        <v>101000000000</v>
      </c>
      <c r="F831" s="3">
        <v>92400000000</v>
      </c>
      <c r="G831" s="3">
        <v>2310000000</v>
      </c>
      <c r="H831" s="3">
        <v>9690000000</v>
      </c>
      <c r="I831" s="2"/>
      <c r="J831" s="7">
        <f t="shared" si="236"/>
        <v>0.62</v>
      </c>
      <c r="K831" s="7">
        <f t="shared" si="237"/>
        <v>43.16</v>
      </c>
      <c r="L831" s="7">
        <f t="shared" si="238"/>
        <v>101</v>
      </c>
      <c r="M831" s="7">
        <f t="shared" si="239"/>
        <v>235</v>
      </c>
      <c r="O831">
        <f t="shared" si="240"/>
        <v>0.48225531914893616</v>
      </c>
      <c r="P831">
        <f t="shared" si="241"/>
        <v>482.25531914893617</v>
      </c>
      <c r="V831">
        <f t="shared" si="225"/>
        <v>987.15391514861722</v>
      </c>
      <c r="W831">
        <f t="shared" si="226"/>
        <v>119.02905737076496</v>
      </c>
      <c r="AE831">
        <f t="shared" si="227"/>
        <v>0.85556421778401226</v>
      </c>
      <c r="AF831">
        <f t="shared" si="228"/>
        <v>0.83565640764975369</v>
      </c>
      <c r="AG831">
        <f t="shared" si="229"/>
        <v>0.84033536982452162</v>
      </c>
      <c r="AI831">
        <f t="shared" si="230"/>
        <v>0.30194499485081289</v>
      </c>
      <c r="AJ831">
        <f t="shared" si="231"/>
        <v>18.768376395715567</v>
      </c>
      <c r="AL831">
        <f t="shared" si="232"/>
        <v>0.30913821873260605</v>
      </c>
      <c r="AM831">
        <f t="shared" si="233"/>
        <v>19.673264681097621</v>
      </c>
      <c r="AO831">
        <f t="shared" si="234"/>
        <v>0.30741694638805739</v>
      </c>
      <c r="AP831">
        <f t="shared" si="235"/>
        <v>19.454794300134775</v>
      </c>
    </row>
    <row r="832" spans="1:42" x14ac:dyDescent="0.2">
      <c r="A832" s="3">
        <v>830</v>
      </c>
      <c r="B832" s="3">
        <v>6.2099999999999996E-7</v>
      </c>
      <c r="C832" s="2">
        <v>4.3209999999999998E-2</v>
      </c>
      <c r="D832" s="3">
        <v>236000</v>
      </c>
      <c r="E832" s="3">
        <v>102000000000</v>
      </c>
      <c r="F832" s="3">
        <v>92800000000</v>
      </c>
      <c r="G832" s="2">
        <v>0</v>
      </c>
      <c r="H832" s="3">
        <v>9670000000</v>
      </c>
      <c r="I832" s="2"/>
      <c r="J832" s="7">
        <f t="shared" si="236"/>
        <v>0.621</v>
      </c>
      <c r="K832" s="7">
        <f t="shared" si="237"/>
        <v>43.21</v>
      </c>
      <c r="L832" s="7">
        <f t="shared" si="238"/>
        <v>102</v>
      </c>
      <c r="M832" s="7">
        <f t="shared" si="239"/>
        <v>236</v>
      </c>
      <c r="O832">
        <f t="shared" si="240"/>
        <v>0.48368008474576268</v>
      </c>
      <c r="P832">
        <f t="shared" si="241"/>
        <v>483.68008474576266</v>
      </c>
      <c r="V832">
        <f t="shared" si="225"/>
        <v>988.4448896850879</v>
      </c>
      <c r="W832">
        <f t="shared" si="226"/>
        <v>119.37944262890977</v>
      </c>
      <c r="AE832">
        <f t="shared" si="227"/>
        <v>0.85920491658309317</v>
      </c>
      <c r="AF832">
        <f t="shared" si="228"/>
        <v>0.83921239236315692</v>
      </c>
      <c r="AG832">
        <f t="shared" si="229"/>
        <v>0.84391126501526426</v>
      </c>
      <c r="AI832">
        <f t="shared" si="230"/>
        <v>0.30115051136928223</v>
      </c>
      <c r="AJ832">
        <f t="shared" si="231"/>
        <v>18.631218256885138</v>
      </c>
      <c r="AL832">
        <f t="shared" si="232"/>
        <v>0.30832480830196052</v>
      </c>
      <c r="AM832">
        <f t="shared" si="233"/>
        <v>19.529493674406076</v>
      </c>
      <c r="AO832">
        <f t="shared" si="234"/>
        <v>0.30660806500233162</v>
      </c>
      <c r="AP832">
        <f t="shared" si="235"/>
        <v>19.312619861532585</v>
      </c>
    </row>
    <row r="833" spans="1:42" x14ac:dyDescent="0.2">
      <c r="A833" s="3">
        <v>830</v>
      </c>
      <c r="B833" s="3">
        <v>6.2200000000000004E-7</v>
      </c>
      <c r="C833" s="2">
        <v>4.326E-2</v>
      </c>
      <c r="D833" s="3">
        <v>232000</v>
      </c>
      <c r="E833" s="3">
        <v>99900000000</v>
      </c>
      <c r="F833" s="3">
        <v>91400000000</v>
      </c>
      <c r="G833" s="3">
        <v>4210000000</v>
      </c>
      <c r="H833" s="3">
        <v>9710000000</v>
      </c>
      <c r="I833" s="2"/>
      <c r="J833" s="7">
        <f t="shared" si="236"/>
        <v>0.622</v>
      </c>
      <c r="K833" s="7">
        <f t="shared" si="237"/>
        <v>43.26</v>
      </c>
      <c r="L833" s="7">
        <f t="shared" si="238"/>
        <v>99.9</v>
      </c>
      <c r="M833" s="7">
        <f t="shared" si="239"/>
        <v>232</v>
      </c>
      <c r="O833">
        <f t="shared" si="240"/>
        <v>0.48215086206896551</v>
      </c>
      <c r="P833">
        <f t="shared" si="241"/>
        <v>482.15086206896552</v>
      </c>
      <c r="V833">
        <f t="shared" si="225"/>
        <v>987.0591834642787</v>
      </c>
      <c r="W833">
        <f t="shared" si="226"/>
        <v>117.52081531005582</v>
      </c>
      <c r="AE833">
        <f t="shared" si="227"/>
        <v>0.84464212138676953</v>
      </c>
      <c r="AF833">
        <f t="shared" si="228"/>
        <v>0.82498845350954408</v>
      </c>
      <c r="AG833">
        <f t="shared" si="229"/>
        <v>0.82960768425229359</v>
      </c>
      <c r="AI833">
        <f t="shared" si="230"/>
        <v>0.30683606713948364</v>
      </c>
      <c r="AJ833">
        <f t="shared" si="231"/>
        <v>19.301521210195393</v>
      </c>
      <c r="AL833">
        <f t="shared" si="232"/>
        <v>0.31414581084639198</v>
      </c>
      <c r="AM833">
        <f t="shared" si="233"/>
        <v>20.232114249513703</v>
      </c>
      <c r="AO833">
        <f t="shared" si="234"/>
        <v>0.31239665637890962</v>
      </c>
      <c r="AP833">
        <f t="shared" si="235"/>
        <v>20.00743787884392</v>
      </c>
    </row>
    <row r="834" spans="1:42" x14ac:dyDescent="0.2">
      <c r="A834" s="3">
        <v>830</v>
      </c>
      <c r="B834" s="3">
        <v>6.2300000000000001E-7</v>
      </c>
      <c r="C834" s="2">
        <v>4.3319999999999997E-2</v>
      </c>
      <c r="D834" s="3">
        <v>229000</v>
      </c>
      <c r="E834" s="3">
        <v>98500000000</v>
      </c>
      <c r="F834" s="3">
        <v>90300000000</v>
      </c>
      <c r="G834" s="2">
        <v>0</v>
      </c>
      <c r="H834" s="3">
        <v>9750000000</v>
      </c>
      <c r="I834" s="2"/>
      <c r="J834" s="7">
        <f t="shared" si="236"/>
        <v>0.623</v>
      </c>
      <c r="K834" s="7">
        <f t="shared" si="237"/>
        <v>43.32</v>
      </c>
      <c r="L834" s="7">
        <f t="shared" si="238"/>
        <v>98.5</v>
      </c>
      <c r="M834" s="7">
        <f t="shared" si="239"/>
        <v>229</v>
      </c>
      <c r="O834">
        <f t="shared" si="240"/>
        <v>0.48112227074235808</v>
      </c>
      <c r="P834">
        <f t="shared" si="241"/>
        <v>481.12227074235807</v>
      </c>
      <c r="V834">
        <f t="shared" si="225"/>
        <v>986.12574720701252</v>
      </c>
      <c r="W834">
        <f t="shared" si="226"/>
        <v>116.11095270993222</v>
      </c>
      <c r="AE834">
        <f t="shared" si="227"/>
        <v>0.8337200249895268</v>
      </c>
      <c r="AF834">
        <f t="shared" si="228"/>
        <v>0.81432049936933448</v>
      </c>
      <c r="AG834">
        <f t="shared" si="229"/>
        <v>0.81887999868006567</v>
      </c>
      <c r="AI834">
        <f t="shared" si="230"/>
        <v>0.31135552170117808</v>
      </c>
      <c r="AJ834">
        <f t="shared" si="231"/>
        <v>19.838026969662202</v>
      </c>
      <c r="AL834">
        <f t="shared" si="232"/>
        <v>0.31877293219852926</v>
      </c>
      <c r="AM834">
        <f t="shared" si="233"/>
        <v>20.794486805689274</v>
      </c>
      <c r="AO834">
        <f t="shared" si="234"/>
        <v>0.31699801405792044</v>
      </c>
      <c r="AP834">
        <f t="shared" si="235"/>
        <v>20.563565322752549</v>
      </c>
    </row>
    <row r="835" spans="1:42" x14ac:dyDescent="0.2">
      <c r="A835" s="3">
        <v>830</v>
      </c>
      <c r="B835" s="3">
        <v>6.2399999999999998E-7</v>
      </c>
      <c r="C835" s="2">
        <v>4.3369999999999999E-2</v>
      </c>
      <c r="D835" s="3">
        <v>240000</v>
      </c>
      <c r="E835" s="3">
        <v>103000000000</v>
      </c>
      <c r="F835" s="3">
        <v>94000000000</v>
      </c>
      <c r="G835" s="2">
        <v>0</v>
      </c>
      <c r="H835" s="3">
        <v>9610000000</v>
      </c>
      <c r="I835" s="2"/>
      <c r="J835" s="7">
        <f t="shared" si="236"/>
        <v>0.624</v>
      </c>
      <c r="K835" s="7">
        <f t="shared" si="237"/>
        <v>43.37</v>
      </c>
      <c r="L835" s="7">
        <f t="shared" si="238"/>
        <v>103</v>
      </c>
      <c r="M835" s="7">
        <f t="shared" si="239"/>
        <v>240</v>
      </c>
      <c r="O835">
        <f t="shared" si="240"/>
        <v>0.48846875000000001</v>
      </c>
      <c r="P835">
        <f t="shared" si="241"/>
        <v>488.46875</v>
      </c>
      <c r="V835">
        <f t="shared" si="225"/>
        <v>992.76842602371562</v>
      </c>
      <c r="W835">
        <f t="shared" si="226"/>
        <v>120.87411006877993</v>
      </c>
      <c r="AE835">
        <f t="shared" si="227"/>
        <v>0.87376771177941681</v>
      </c>
      <c r="AF835">
        <f t="shared" si="228"/>
        <v>0.85343633121676976</v>
      </c>
      <c r="AG835">
        <f t="shared" si="229"/>
        <v>0.85821484577823481</v>
      </c>
      <c r="AI835">
        <f t="shared" si="230"/>
        <v>0.29756192234491396</v>
      </c>
      <c r="AJ835">
        <f t="shared" si="231"/>
        <v>18.082061074620444</v>
      </c>
      <c r="AL835">
        <f t="shared" si="232"/>
        <v>0.30465072846068109</v>
      </c>
      <c r="AM835">
        <f t="shared" si="233"/>
        <v>18.953859726619022</v>
      </c>
      <c r="AO835">
        <f t="shared" si="234"/>
        <v>0.30295444232758562</v>
      </c>
      <c r="AP835">
        <f t="shared" si="235"/>
        <v>18.74337829294171</v>
      </c>
    </row>
    <row r="836" spans="1:42" x14ac:dyDescent="0.2">
      <c r="A836" s="3">
        <v>830</v>
      </c>
      <c r="B836" s="3">
        <v>6.2500000000000005E-7</v>
      </c>
      <c r="C836" s="2">
        <v>4.342E-2</v>
      </c>
      <c r="D836" s="3">
        <v>230000</v>
      </c>
      <c r="E836" s="3">
        <v>98900000000</v>
      </c>
      <c r="F836" s="3">
        <v>90500000000</v>
      </c>
      <c r="G836" s="3">
        <v>3060000000</v>
      </c>
      <c r="H836" s="3">
        <v>9720000000</v>
      </c>
      <c r="I836" s="2"/>
      <c r="J836" s="7">
        <f t="shared" si="236"/>
        <v>0.625</v>
      </c>
      <c r="K836" s="7">
        <f t="shared" si="237"/>
        <v>43.42</v>
      </c>
      <c r="L836" s="7">
        <f t="shared" si="238"/>
        <v>98.9</v>
      </c>
      <c r="M836" s="7">
        <f t="shared" si="239"/>
        <v>230</v>
      </c>
      <c r="O836">
        <f t="shared" si="240"/>
        <v>0.48341304347826086</v>
      </c>
      <c r="P836">
        <f t="shared" si="241"/>
        <v>483.41304347826087</v>
      </c>
      <c r="V836">
        <f t="shared" si="225"/>
        <v>988.20308608809955</v>
      </c>
      <c r="W836">
        <f t="shared" si="226"/>
        <v>116.37284037964196</v>
      </c>
      <c r="AE836">
        <f t="shared" si="227"/>
        <v>0.83736072378860771</v>
      </c>
      <c r="AF836">
        <f t="shared" si="228"/>
        <v>0.81787648408273761</v>
      </c>
      <c r="AG836">
        <f t="shared" si="229"/>
        <v>0.82245589387080831</v>
      </c>
      <c r="AI836">
        <f t="shared" si="230"/>
        <v>0.31099699241734324</v>
      </c>
      <c r="AJ836">
        <f t="shared" si="231"/>
        <v>19.711294205675237</v>
      </c>
      <c r="AL836">
        <f t="shared" si="232"/>
        <v>0.31840586168549451</v>
      </c>
      <c r="AM836">
        <f t="shared" si="233"/>
        <v>20.661643817190189</v>
      </c>
      <c r="AO836">
        <f t="shared" si="234"/>
        <v>0.31663298738251006</v>
      </c>
      <c r="AP836">
        <f t="shared" si="235"/>
        <v>20.432197547380312</v>
      </c>
    </row>
    <row r="837" spans="1:42" x14ac:dyDescent="0.2">
      <c r="A837" s="3">
        <v>840</v>
      </c>
      <c r="B837" s="3">
        <v>6.2600000000000002E-7</v>
      </c>
      <c r="C837" s="2">
        <v>4.3470000000000002E-2</v>
      </c>
      <c r="D837" s="3">
        <v>236000</v>
      </c>
      <c r="E837" s="3">
        <v>101000000000</v>
      </c>
      <c r="F837" s="3">
        <v>92300000000</v>
      </c>
      <c r="G837" s="3">
        <v>4490000000</v>
      </c>
      <c r="H837" s="3">
        <v>9660000000</v>
      </c>
      <c r="I837" s="2"/>
      <c r="J837" s="7">
        <f t="shared" si="236"/>
        <v>0.626</v>
      </c>
      <c r="K837" s="7">
        <f t="shared" si="237"/>
        <v>43.47</v>
      </c>
      <c r="L837" s="7">
        <f t="shared" si="238"/>
        <v>101</v>
      </c>
      <c r="M837" s="7">
        <f t="shared" si="239"/>
        <v>236</v>
      </c>
      <c r="O837">
        <f t="shared" si="240"/>
        <v>0.487853813559322</v>
      </c>
      <c r="P837">
        <f t="shared" si="241"/>
        <v>487.85381355932202</v>
      </c>
      <c r="V837">
        <f t="shared" ref="V837:V900" si="242">$S$3*(P837^$S$4)</f>
        <v>992.21454425857394</v>
      </c>
      <c r="W837">
        <f t="shared" ref="W837:W900" si="243">M837/(2*(V837/1000))</f>
        <v>118.92589227078379</v>
      </c>
      <c r="AE837">
        <f t="shared" si="227"/>
        <v>0.85920491658309317</v>
      </c>
      <c r="AF837">
        <f t="shared" si="228"/>
        <v>0.83921239236315692</v>
      </c>
      <c r="AG837">
        <f t="shared" si="229"/>
        <v>0.84391126501526426</v>
      </c>
      <c r="AI837">
        <f t="shared" si="230"/>
        <v>0.30357523368304457</v>
      </c>
      <c r="AJ837">
        <f t="shared" si="231"/>
        <v>18.743324638435475</v>
      </c>
      <c r="AL837">
        <f t="shared" si="232"/>
        <v>0.31080729468120333</v>
      </c>
      <c r="AM837">
        <f t="shared" si="233"/>
        <v>19.647005092025736</v>
      </c>
      <c r="AO837">
        <f t="shared" si="234"/>
        <v>0.30907672897175459</v>
      </c>
      <c r="AP837">
        <f t="shared" si="235"/>
        <v>19.428826322166664</v>
      </c>
    </row>
    <row r="838" spans="1:42" x14ac:dyDescent="0.2">
      <c r="A838" s="3">
        <v>840</v>
      </c>
      <c r="B838" s="3">
        <v>6.2600000000000002E-7</v>
      </c>
      <c r="C838" s="2">
        <v>4.3520000000000003E-2</v>
      </c>
      <c r="D838" s="3">
        <v>248000</v>
      </c>
      <c r="E838" s="3">
        <v>106000000000</v>
      </c>
      <c r="F838" s="3">
        <v>96400000000</v>
      </c>
      <c r="G838" s="3">
        <v>4610000000</v>
      </c>
      <c r="H838" s="3">
        <v>9530000000</v>
      </c>
      <c r="I838" s="2"/>
      <c r="J838" s="7">
        <f t="shared" si="236"/>
        <v>0.626</v>
      </c>
      <c r="K838" s="7">
        <f t="shared" si="237"/>
        <v>43.52</v>
      </c>
      <c r="L838" s="7">
        <f t="shared" si="238"/>
        <v>106</v>
      </c>
      <c r="M838" s="7">
        <f t="shared" si="239"/>
        <v>248</v>
      </c>
      <c r="O838">
        <f t="shared" si="240"/>
        <v>0.49438709677419357</v>
      </c>
      <c r="P838">
        <f t="shared" si="241"/>
        <v>494.38709677419359</v>
      </c>
      <c r="V838">
        <f t="shared" si="242"/>
        <v>998.07942484503269</v>
      </c>
      <c r="W838">
        <f t="shared" si="243"/>
        <v>124.23860958686021</v>
      </c>
      <c r="AE838">
        <f t="shared" si="227"/>
        <v>0.90289330217206398</v>
      </c>
      <c r="AF838">
        <f t="shared" si="228"/>
        <v>0.88188420892399533</v>
      </c>
      <c r="AG838">
        <f t="shared" si="229"/>
        <v>0.88682200730417593</v>
      </c>
      <c r="AI838">
        <f t="shared" si="230"/>
        <v>0.2888861094725747</v>
      </c>
      <c r="AJ838">
        <f t="shared" si="231"/>
        <v>16.992861515419882</v>
      </c>
      <c r="AL838">
        <f t="shared" si="232"/>
        <v>0.29576823203533864</v>
      </c>
      <c r="AM838">
        <f t="shared" si="233"/>
        <v>17.812146092637398</v>
      </c>
      <c r="AO838">
        <f t="shared" si="234"/>
        <v>0.29412140337634707</v>
      </c>
      <c r="AP838">
        <f t="shared" si="235"/>
        <v>17.614343317871533</v>
      </c>
    </row>
    <row r="839" spans="1:42" x14ac:dyDescent="0.2">
      <c r="A839" s="3">
        <v>840</v>
      </c>
      <c r="B839" s="3">
        <v>6.2699999999999999E-7</v>
      </c>
      <c r="C839" s="2">
        <v>4.3569999999999998E-2</v>
      </c>
      <c r="D839" s="3">
        <v>226000</v>
      </c>
      <c r="E839" s="3">
        <v>96900000000</v>
      </c>
      <c r="F839" s="3">
        <v>88900000000</v>
      </c>
      <c r="G839" s="2">
        <v>0</v>
      </c>
      <c r="H839" s="3">
        <v>9780000000</v>
      </c>
      <c r="I839" s="2"/>
      <c r="J839" s="7">
        <f t="shared" si="236"/>
        <v>0.627</v>
      </c>
      <c r="K839" s="7">
        <f t="shared" si="237"/>
        <v>43.57</v>
      </c>
      <c r="L839" s="7">
        <f t="shared" si="238"/>
        <v>96.9</v>
      </c>
      <c r="M839" s="7">
        <f t="shared" si="239"/>
        <v>226</v>
      </c>
      <c r="O839">
        <f t="shared" si="240"/>
        <v>0.48240929203539823</v>
      </c>
      <c r="P839">
        <f t="shared" si="241"/>
        <v>482.40929203539821</v>
      </c>
      <c r="V839">
        <f t="shared" si="242"/>
        <v>987.29353167194313</v>
      </c>
      <c r="W839">
        <f t="shared" si="243"/>
        <v>114.45431006586148</v>
      </c>
      <c r="AE839">
        <f t="shared" si="227"/>
        <v>0.82279792859228407</v>
      </c>
      <c r="AF839">
        <f t="shared" si="228"/>
        <v>0.80365254522912477</v>
      </c>
      <c r="AG839">
        <f t="shared" si="229"/>
        <v>0.80815231310783775</v>
      </c>
      <c r="AI839">
        <f t="shared" si="230"/>
        <v>0.31751416832923945</v>
      </c>
      <c r="AJ839">
        <f t="shared" si="231"/>
        <v>20.48574086119639</v>
      </c>
      <c r="AL839">
        <f t="shared" si="232"/>
        <v>0.32507829602594807</v>
      </c>
      <c r="AM839">
        <f t="shared" si="233"/>
        <v>21.473429222289827</v>
      </c>
      <c r="AO839">
        <f t="shared" si="234"/>
        <v>0.32326826980836654</v>
      </c>
      <c r="AP839">
        <f t="shared" si="235"/>
        <v>21.234968126034673</v>
      </c>
    </row>
    <row r="840" spans="1:42" x14ac:dyDescent="0.2">
      <c r="A840" s="3">
        <v>840</v>
      </c>
      <c r="B840" s="3">
        <v>6.2799999999999996E-7</v>
      </c>
      <c r="C840" s="2">
        <v>4.3630000000000002E-2</v>
      </c>
      <c r="D840" s="3">
        <v>260000</v>
      </c>
      <c r="E840" s="3">
        <v>111000000000</v>
      </c>
      <c r="F840" s="3">
        <v>100000000000</v>
      </c>
      <c r="G840" s="3">
        <v>12600000000</v>
      </c>
      <c r="H840" s="3">
        <v>9410000000</v>
      </c>
      <c r="I840" s="2"/>
      <c r="J840" s="7">
        <f t="shared" si="236"/>
        <v>0.628</v>
      </c>
      <c r="K840" s="7">
        <f t="shared" si="237"/>
        <v>43.63</v>
      </c>
      <c r="L840" s="7">
        <f t="shared" si="238"/>
        <v>111</v>
      </c>
      <c r="M840" s="7">
        <f t="shared" si="239"/>
        <v>260</v>
      </c>
      <c r="O840">
        <f t="shared" si="240"/>
        <v>0.50214423076923076</v>
      </c>
      <c r="P840">
        <f t="shared" si="241"/>
        <v>502.14423076923077</v>
      </c>
      <c r="V840">
        <f t="shared" si="242"/>
        <v>1004.9871668369406</v>
      </c>
      <c r="W840">
        <f t="shared" si="243"/>
        <v>129.3548856043179</v>
      </c>
      <c r="AE840">
        <f t="shared" si="227"/>
        <v>0.9465816877610348</v>
      </c>
      <c r="AF840">
        <f t="shared" si="228"/>
        <v>0.92455602548483384</v>
      </c>
      <c r="AG840">
        <f t="shared" si="229"/>
        <v>0.92973274959308772</v>
      </c>
      <c r="AI840">
        <f t="shared" si="230"/>
        <v>0.27643326513699112</v>
      </c>
      <c r="AJ840">
        <f t="shared" si="231"/>
        <v>15.499565013682924</v>
      </c>
      <c r="AL840">
        <f t="shared" si="232"/>
        <v>0.28301872407294043</v>
      </c>
      <c r="AM840">
        <f t="shared" si="233"/>
        <v>16.246852606050307</v>
      </c>
      <c r="AO840">
        <f t="shared" si="234"/>
        <v>0.28144288429249076</v>
      </c>
      <c r="AP840">
        <f t="shared" si="235"/>
        <v>16.066432318120093</v>
      </c>
    </row>
    <row r="841" spans="1:42" x14ac:dyDescent="0.2">
      <c r="A841" s="3">
        <v>840</v>
      </c>
      <c r="B841" s="3">
        <v>6.2900000000000003E-7</v>
      </c>
      <c r="C841" s="2">
        <v>4.3679999999999997E-2</v>
      </c>
      <c r="D841" s="3">
        <v>255000</v>
      </c>
      <c r="E841" s="3">
        <v>109000000000</v>
      </c>
      <c r="F841" s="3">
        <v>98700000000</v>
      </c>
      <c r="G841" s="3">
        <v>9900000000</v>
      </c>
      <c r="H841" s="3">
        <v>9470000000</v>
      </c>
      <c r="I841" s="2"/>
      <c r="J841" s="7">
        <f t="shared" si="236"/>
        <v>0.629</v>
      </c>
      <c r="K841" s="7">
        <f t="shared" si="237"/>
        <v>43.68</v>
      </c>
      <c r="L841" s="7">
        <f t="shared" si="238"/>
        <v>109</v>
      </c>
      <c r="M841" s="7">
        <f t="shared" si="239"/>
        <v>255</v>
      </c>
      <c r="O841">
        <f t="shared" si="240"/>
        <v>0.50052941176470589</v>
      </c>
      <c r="P841">
        <f t="shared" si="241"/>
        <v>500.52941176470591</v>
      </c>
      <c r="V841">
        <f t="shared" si="242"/>
        <v>1003.554092743059</v>
      </c>
      <c r="W841">
        <f t="shared" si="243"/>
        <v>127.04845799741454</v>
      </c>
      <c r="AE841">
        <f t="shared" si="227"/>
        <v>0.92837819376563036</v>
      </c>
      <c r="AF841">
        <f t="shared" si="228"/>
        <v>0.90677610191781788</v>
      </c>
      <c r="AG841">
        <f t="shared" si="229"/>
        <v>0.91185327363937452</v>
      </c>
      <c r="AI841">
        <f t="shared" si="230"/>
        <v>0.28230233658363635</v>
      </c>
      <c r="AJ841">
        <f t="shared" si="231"/>
        <v>16.131816078539757</v>
      </c>
      <c r="AL841">
        <f t="shared" si="232"/>
        <v>0.28902761418064621</v>
      </c>
      <c r="AM841">
        <f t="shared" si="233"/>
        <v>16.909586679663288</v>
      </c>
      <c r="AO841">
        <f t="shared" si="234"/>
        <v>0.28741831708001708</v>
      </c>
      <c r="AP841">
        <f t="shared" si="235"/>
        <v>16.721806771055654</v>
      </c>
    </row>
    <row r="842" spans="1:42" x14ac:dyDescent="0.2">
      <c r="A842" s="3">
        <v>840</v>
      </c>
      <c r="B842" s="3">
        <v>6.2900000000000003E-7</v>
      </c>
      <c r="C842" s="2">
        <v>4.3740000000000001E-2</v>
      </c>
      <c r="D842" s="3">
        <v>226000</v>
      </c>
      <c r="E842" s="3">
        <v>96900000000</v>
      </c>
      <c r="F842" s="3">
        <v>88900000000</v>
      </c>
      <c r="G842" s="3">
        <v>3200000000</v>
      </c>
      <c r="H842" s="3">
        <v>9780000000</v>
      </c>
      <c r="I842" s="2"/>
      <c r="J842" s="7">
        <f t="shared" si="236"/>
        <v>0.629</v>
      </c>
      <c r="K842" s="7">
        <f t="shared" si="237"/>
        <v>43.74</v>
      </c>
      <c r="L842" s="7">
        <f t="shared" si="238"/>
        <v>96.9</v>
      </c>
      <c r="M842" s="7">
        <f t="shared" si="239"/>
        <v>226</v>
      </c>
      <c r="O842">
        <f t="shared" si="240"/>
        <v>0.48384513274336283</v>
      </c>
      <c r="P842">
        <f t="shared" si="241"/>
        <v>483.84513274336285</v>
      </c>
      <c r="V842">
        <f t="shared" si="242"/>
        <v>988.59430206423986</v>
      </c>
      <c r="W842">
        <f t="shared" si="243"/>
        <v>114.30371363060632</v>
      </c>
      <c r="AE842">
        <f t="shared" si="227"/>
        <v>0.82279792859228407</v>
      </c>
      <c r="AF842">
        <f t="shared" si="228"/>
        <v>0.80365254522912477</v>
      </c>
      <c r="AG842">
        <f t="shared" si="229"/>
        <v>0.80815231310783775</v>
      </c>
      <c r="AI842">
        <f t="shared" si="230"/>
        <v>0.31852697269392599</v>
      </c>
      <c r="AJ842">
        <f t="shared" si="231"/>
        <v>20.565671454411984</v>
      </c>
      <c r="AL842">
        <f t="shared" si="232"/>
        <v>0.32611522838966717</v>
      </c>
      <c r="AM842">
        <f t="shared" si="233"/>
        <v>21.557213545626738</v>
      </c>
      <c r="AO842">
        <f t="shared" si="234"/>
        <v>0.32429942856373611</v>
      </c>
      <c r="AP842">
        <f t="shared" si="235"/>
        <v>21.317822029670797</v>
      </c>
    </row>
    <row r="843" spans="1:42" x14ac:dyDescent="0.2">
      <c r="A843" s="3">
        <v>840</v>
      </c>
      <c r="B843" s="3">
        <v>6.3099999999999997E-7</v>
      </c>
      <c r="C843" s="2">
        <v>4.3790000000000003E-2</v>
      </c>
      <c r="D843" s="3">
        <v>260000</v>
      </c>
      <c r="E843" s="3">
        <v>110000000000</v>
      </c>
      <c r="F843" s="3">
        <v>100000000000</v>
      </c>
      <c r="G843" s="3">
        <v>5840000000</v>
      </c>
      <c r="H843" s="3">
        <v>9420000000</v>
      </c>
      <c r="I843" s="2"/>
      <c r="J843" s="7">
        <f t="shared" si="236"/>
        <v>0.63100000000000001</v>
      </c>
      <c r="K843" s="7">
        <f t="shared" si="237"/>
        <v>43.79</v>
      </c>
      <c r="L843" s="7">
        <f t="shared" si="238"/>
        <v>110</v>
      </c>
      <c r="M843" s="7">
        <f t="shared" si="239"/>
        <v>260</v>
      </c>
      <c r="O843">
        <f t="shared" si="240"/>
        <v>0.50468269230769236</v>
      </c>
      <c r="P843">
        <f t="shared" si="241"/>
        <v>504.68269230769238</v>
      </c>
      <c r="V843">
        <f t="shared" si="242"/>
        <v>1007.2347497126468</v>
      </c>
      <c r="W843">
        <f t="shared" si="243"/>
        <v>129.06623807120198</v>
      </c>
      <c r="AE843">
        <f t="shared" si="227"/>
        <v>0.9465816877610348</v>
      </c>
      <c r="AF843">
        <f t="shared" si="228"/>
        <v>0.92455602548483384</v>
      </c>
      <c r="AG843">
        <f t="shared" si="229"/>
        <v>0.92973274959308772</v>
      </c>
      <c r="AI843">
        <f t="shared" si="230"/>
        <v>0.2777538062124863</v>
      </c>
      <c r="AJ843">
        <f t="shared" si="231"/>
        <v>15.556405041237113</v>
      </c>
      <c r="AL843">
        <f t="shared" si="232"/>
        <v>0.28437072434717425</v>
      </c>
      <c r="AM843">
        <f t="shared" si="233"/>
        <v>16.306433087759405</v>
      </c>
      <c r="AO843">
        <f t="shared" si="234"/>
        <v>0.28278735666968419</v>
      </c>
      <c r="AP843">
        <f t="shared" si="235"/>
        <v>16.125351162284637</v>
      </c>
    </row>
    <row r="844" spans="1:42" x14ac:dyDescent="0.2">
      <c r="A844" s="3">
        <v>840</v>
      </c>
      <c r="B844" s="3">
        <v>6.3099999999999997E-7</v>
      </c>
      <c r="C844" s="2">
        <v>4.3839999999999997E-2</v>
      </c>
      <c r="D844" s="3">
        <v>254000</v>
      </c>
      <c r="E844" s="3">
        <v>108000000000</v>
      </c>
      <c r="F844" s="3">
        <v>98200000000</v>
      </c>
      <c r="G844" s="3">
        <v>11500000000</v>
      </c>
      <c r="H844" s="3">
        <v>9470000000</v>
      </c>
      <c r="I844" s="2"/>
      <c r="J844" s="7">
        <f t="shared" si="236"/>
        <v>0.63100000000000001</v>
      </c>
      <c r="K844" s="7">
        <f t="shared" si="237"/>
        <v>43.839999999999996</v>
      </c>
      <c r="L844" s="7">
        <f t="shared" si="238"/>
        <v>108</v>
      </c>
      <c r="M844" s="7">
        <f t="shared" si="239"/>
        <v>254</v>
      </c>
      <c r="O844">
        <f t="shared" si="240"/>
        <v>0.5015511811023623</v>
      </c>
      <c r="P844">
        <f t="shared" si="241"/>
        <v>501.55118110236231</v>
      </c>
      <c r="V844">
        <f t="shared" si="242"/>
        <v>1004.461162476869</v>
      </c>
      <c r="W844">
        <f t="shared" si="243"/>
        <v>126.43594868997693</v>
      </c>
      <c r="AE844">
        <f t="shared" si="227"/>
        <v>0.92473749496654944</v>
      </c>
      <c r="AF844">
        <f t="shared" si="228"/>
        <v>0.90322011720441464</v>
      </c>
      <c r="AG844">
        <f t="shared" si="229"/>
        <v>0.90827737844863188</v>
      </c>
      <c r="AI844">
        <f t="shared" si="230"/>
        <v>0.28431491974506473</v>
      </c>
      <c r="AJ844">
        <f t="shared" si="231"/>
        <v>16.318645396021306</v>
      </c>
      <c r="AL844">
        <f t="shared" si="232"/>
        <v>0.29108814303254055</v>
      </c>
      <c r="AM844">
        <f t="shared" si="233"/>
        <v>17.105423684181297</v>
      </c>
      <c r="AO844">
        <f t="shared" si="234"/>
        <v>0.28946737296896807</v>
      </c>
      <c r="AP844">
        <f t="shared" si="235"/>
        <v>16.915469017816005</v>
      </c>
    </row>
    <row r="845" spans="1:42" x14ac:dyDescent="0.2">
      <c r="A845" s="3">
        <v>840</v>
      </c>
      <c r="B845" s="3">
        <v>6.3200000000000005E-7</v>
      </c>
      <c r="C845" s="2">
        <v>4.3889999999999998E-2</v>
      </c>
      <c r="D845" s="3">
        <v>226000</v>
      </c>
      <c r="E845" s="3">
        <v>96400000000</v>
      </c>
      <c r="F845" s="3">
        <v>88500000000</v>
      </c>
      <c r="G845" s="2">
        <v>0</v>
      </c>
      <c r="H845" s="3">
        <v>9780000000</v>
      </c>
      <c r="I845" s="2"/>
      <c r="J845" s="7">
        <f t="shared" si="236"/>
        <v>0.63200000000000001</v>
      </c>
      <c r="K845" s="7">
        <f t="shared" si="237"/>
        <v>43.89</v>
      </c>
      <c r="L845" s="7">
        <f t="shared" si="238"/>
        <v>96.4</v>
      </c>
      <c r="M845" s="7">
        <f t="shared" si="239"/>
        <v>226</v>
      </c>
      <c r="O845">
        <f t="shared" si="240"/>
        <v>0.48634734513274336</v>
      </c>
      <c r="P845">
        <f t="shared" si="241"/>
        <v>486.34734513274338</v>
      </c>
      <c r="V845">
        <f t="shared" si="242"/>
        <v>990.85600195232246</v>
      </c>
      <c r="W845">
        <f t="shared" si="243"/>
        <v>114.04280720644742</v>
      </c>
      <c r="AE845">
        <f t="shared" ref="AE845:AE908" si="244">M845/(2*$Y$5)</f>
        <v>0.82279792859228407</v>
      </c>
      <c r="AF845">
        <f t="shared" ref="AF845:AF908" si="245">M845/(2*$Y$8)</f>
        <v>0.80365254522912477</v>
      </c>
      <c r="AG845">
        <f t="shared" ref="AG845:AG908" si="246">M845/(2*$Y$11)</f>
        <v>0.80815231310783775</v>
      </c>
      <c r="AI845">
        <f t="shared" ref="AI845:AI908" si="247">J845/(2.4*AE845)</f>
        <v>0.32004617924095585</v>
      </c>
      <c r="AJ845">
        <f t="shared" ref="AJ845:AJ908" si="248">K845/(3.14159*(AE845^2))</f>
        <v>20.636198448425741</v>
      </c>
      <c r="AL845">
        <f t="shared" ref="AL845:AL908" si="249">J845/(2.4*AF845)</f>
        <v>0.3276706269352459</v>
      </c>
      <c r="AM845">
        <f t="shared" ref="AM845:AM908" si="250">K845/(3.14159*(AF845^2))</f>
        <v>21.631140889747542</v>
      </c>
      <c r="AO845">
        <f t="shared" ref="AO845:AO908" si="251">J845/(2.4*AG845)</f>
        <v>0.32584616669679051</v>
      </c>
      <c r="AP845">
        <f t="shared" ref="AP845:AP908" si="252">K845/(3.14159*(AG845^2))</f>
        <v>21.390928415232082</v>
      </c>
    </row>
    <row r="846" spans="1:42" x14ac:dyDescent="0.2">
      <c r="A846" s="3">
        <v>840</v>
      </c>
      <c r="B846" s="3">
        <v>6.3300000000000002E-7</v>
      </c>
      <c r="C846" s="2">
        <v>4.394E-2</v>
      </c>
      <c r="D846" s="3">
        <v>210000</v>
      </c>
      <c r="E846" s="3">
        <v>90200000000</v>
      </c>
      <c r="F846" s="3">
        <v>83200000000</v>
      </c>
      <c r="G846" s="3">
        <v>4250000000</v>
      </c>
      <c r="H846" s="3">
        <v>10000000000</v>
      </c>
      <c r="I846" s="2"/>
      <c r="J846" s="7">
        <f t="shared" ref="J846:J909" si="253">B846*(10^6)</f>
        <v>0.63300000000000001</v>
      </c>
      <c r="K846" s="7">
        <f t="shared" ref="K846:K909" si="254">C846*1000</f>
        <v>43.94</v>
      </c>
      <c r="L846" s="7">
        <f t="shared" ref="L846:L909" si="255">E846*(10^-9)</f>
        <v>90.2</v>
      </c>
      <c r="M846" s="7">
        <f t="shared" ref="M846:M909" si="256">D846*(10^-3)</f>
        <v>210</v>
      </c>
      <c r="O846">
        <f t="shared" ref="O846:O909" si="257">J846-(0.75*(K846/M846))</f>
        <v>0.47607142857142859</v>
      </c>
      <c r="P846">
        <f t="shared" ref="P846:P909" si="258">O846*1000</f>
        <v>476.07142857142861</v>
      </c>
      <c r="V846">
        <f t="shared" si="242"/>
        <v>981.52594917148758</v>
      </c>
      <c r="W846">
        <f t="shared" si="243"/>
        <v>106.9762853326814</v>
      </c>
      <c r="AE846">
        <f t="shared" si="244"/>
        <v>0.76454674780698961</v>
      </c>
      <c r="AF846">
        <f t="shared" si="245"/>
        <v>0.74675678981467353</v>
      </c>
      <c r="AG846">
        <f t="shared" si="246"/>
        <v>0.75093799005595541</v>
      </c>
      <c r="AI846">
        <f t="shared" si="247"/>
        <v>0.3449756352460267</v>
      </c>
      <c r="AJ846">
        <f t="shared" si="248"/>
        <v>23.92778271051872</v>
      </c>
      <c r="AL846">
        <f t="shared" si="249"/>
        <v>0.35319397640221822</v>
      </c>
      <c r="AM846">
        <f t="shared" si="250"/>
        <v>25.081423804100908</v>
      </c>
      <c r="AO846">
        <f t="shared" si="251"/>
        <v>0.35122740291824484</v>
      </c>
      <c r="AP846">
        <f t="shared" si="252"/>
        <v>24.802896152366664</v>
      </c>
    </row>
    <row r="847" spans="1:42" x14ac:dyDescent="0.2">
      <c r="A847" s="3">
        <v>850</v>
      </c>
      <c r="B847" s="3">
        <v>6.3399999999999999E-7</v>
      </c>
      <c r="C847" s="2">
        <v>4.3990000000000001E-2</v>
      </c>
      <c r="D847" s="3">
        <v>228000</v>
      </c>
      <c r="E847" s="3">
        <v>97200000000</v>
      </c>
      <c r="F847" s="3">
        <v>89200000000</v>
      </c>
      <c r="G847" s="3">
        <v>684000000</v>
      </c>
      <c r="H847" s="3">
        <v>9750000000</v>
      </c>
      <c r="I847" s="2"/>
      <c r="J847" s="7">
        <f t="shared" si="253"/>
        <v>0.63400000000000001</v>
      </c>
      <c r="K847" s="7">
        <f t="shared" si="254"/>
        <v>43.99</v>
      </c>
      <c r="L847" s="7">
        <f t="shared" si="255"/>
        <v>97.2</v>
      </c>
      <c r="M847" s="7">
        <f t="shared" si="256"/>
        <v>228</v>
      </c>
      <c r="O847">
        <f t="shared" si="257"/>
        <v>0.48929605263157894</v>
      </c>
      <c r="P847">
        <f t="shared" si="258"/>
        <v>489.29605263157896</v>
      </c>
      <c r="V847">
        <f t="shared" si="242"/>
        <v>993.5129765905956</v>
      </c>
      <c r="W847">
        <f t="shared" si="243"/>
        <v>114.74434927987544</v>
      </c>
      <c r="AE847">
        <f t="shared" si="244"/>
        <v>0.83007932619044589</v>
      </c>
      <c r="AF847">
        <f t="shared" si="245"/>
        <v>0.81076451465593125</v>
      </c>
      <c r="AG847">
        <f t="shared" si="246"/>
        <v>0.81530410348932303</v>
      </c>
      <c r="AI847">
        <f t="shared" si="247"/>
        <v>0.31824267673190876</v>
      </c>
      <c r="AJ847">
        <f t="shared" si="248"/>
        <v>20.321944504385154</v>
      </c>
      <c r="AL847">
        <f t="shared" si="249"/>
        <v>0.3258241596559916</v>
      </c>
      <c r="AM847">
        <f t="shared" si="250"/>
        <v>21.301735677072848</v>
      </c>
      <c r="AO847">
        <f t="shared" si="251"/>
        <v>0.32400998049205348</v>
      </c>
      <c r="AP847">
        <f t="shared" si="252"/>
        <v>21.065181226961098</v>
      </c>
    </row>
    <row r="848" spans="1:42" x14ac:dyDescent="0.2">
      <c r="A848" s="3">
        <v>850</v>
      </c>
      <c r="B848" s="3">
        <v>6.3399999999999999E-7</v>
      </c>
      <c r="C848" s="2">
        <v>4.4040000000000003E-2</v>
      </c>
      <c r="D848" s="3">
        <v>216000</v>
      </c>
      <c r="E848" s="3">
        <v>92500000000</v>
      </c>
      <c r="F848" s="3">
        <v>85200000000</v>
      </c>
      <c r="G848" s="3">
        <v>5870000000</v>
      </c>
      <c r="H848" s="3">
        <v>9910000000</v>
      </c>
      <c r="I848" s="2"/>
      <c r="J848" s="7">
        <f t="shared" si="253"/>
        <v>0.63400000000000001</v>
      </c>
      <c r="K848" s="7">
        <f t="shared" si="254"/>
        <v>44.040000000000006</v>
      </c>
      <c r="L848" s="7">
        <f t="shared" si="255"/>
        <v>92.5</v>
      </c>
      <c r="M848" s="7">
        <f t="shared" si="256"/>
        <v>216</v>
      </c>
      <c r="O848">
        <f t="shared" si="257"/>
        <v>0.48108333333333331</v>
      </c>
      <c r="P848">
        <f t="shared" si="258"/>
        <v>481.08333333333331</v>
      </c>
      <c r="V848">
        <f t="shared" si="242"/>
        <v>986.09039007677336</v>
      </c>
      <c r="W848">
        <f t="shared" si="243"/>
        <v>109.52342816320471</v>
      </c>
      <c r="AE848">
        <f t="shared" si="244"/>
        <v>0.78639094060147507</v>
      </c>
      <c r="AF848">
        <f t="shared" si="245"/>
        <v>0.76809269809509273</v>
      </c>
      <c r="AG848">
        <f t="shared" si="246"/>
        <v>0.77239336120041135</v>
      </c>
      <c r="AI848">
        <f t="shared" si="247"/>
        <v>0.33592282543923702</v>
      </c>
      <c r="AJ848">
        <f t="shared" si="248"/>
        <v>22.668396534165812</v>
      </c>
      <c r="AL848">
        <f t="shared" si="249"/>
        <v>0.34392550185910226</v>
      </c>
      <c r="AM848">
        <f t="shared" si="250"/>
        <v>23.761318268026834</v>
      </c>
      <c r="AO848">
        <f t="shared" si="251"/>
        <v>0.34201053496383416</v>
      </c>
      <c r="AP848">
        <f t="shared" si="252"/>
        <v>23.497450306184025</v>
      </c>
    </row>
    <row r="849" spans="1:42" x14ac:dyDescent="0.2">
      <c r="A849" s="3">
        <v>850</v>
      </c>
      <c r="B849" s="3">
        <v>6.3499999999999996E-7</v>
      </c>
      <c r="C849" s="2">
        <v>4.41E-2</v>
      </c>
      <c r="D849" s="3">
        <v>222000</v>
      </c>
      <c r="E849" s="3">
        <v>94900000000</v>
      </c>
      <c r="F849" s="3">
        <v>87200000000</v>
      </c>
      <c r="G849" s="3">
        <v>2850000000</v>
      </c>
      <c r="H849" s="3">
        <v>9820000000</v>
      </c>
      <c r="I849" s="2"/>
      <c r="J849" s="7">
        <f t="shared" si="253"/>
        <v>0.63500000000000001</v>
      </c>
      <c r="K849" s="7">
        <f t="shared" si="254"/>
        <v>44.1</v>
      </c>
      <c r="L849" s="7">
        <f t="shared" si="255"/>
        <v>94.9</v>
      </c>
      <c r="M849" s="7">
        <f t="shared" si="256"/>
        <v>222</v>
      </c>
      <c r="O849">
        <f t="shared" si="257"/>
        <v>0.48601351351351352</v>
      </c>
      <c r="P849">
        <f t="shared" si="258"/>
        <v>486.01351351351354</v>
      </c>
      <c r="V849">
        <f t="shared" si="242"/>
        <v>990.55463346602005</v>
      </c>
      <c r="W849">
        <f t="shared" si="243"/>
        <v>112.05843297265011</v>
      </c>
      <c r="AE849">
        <f t="shared" si="244"/>
        <v>0.80823513339596054</v>
      </c>
      <c r="AF849">
        <f t="shared" si="245"/>
        <v>0.78942860637551204</v>
      </c>
      <c r="AG849">
        <f t="shared" si="246"/>
        <v>0.79384873234486719</v>
      </c>
      <c r="AI849">
        <f t="shared" si="247"/>
        <v>0.32735935670308453</v>
      </c>
      <c r="AJ849">
        <f t="shared" si="248"/>
        <v>21.488872725357894</v>
      </c>
      <c r="AL849">
        <f t="shared" si="249"/>
        <v>0.33515802593993849</v>
      </c>
      <c r="AM849">
        <f t="shared" si="250"/>
        <v>22.524925540223709</v>
      </c>
      <c r="AO849">
        <f t="shared" si="251"/>
        <v>0.33329187608804034</v>
      </c>
      <c r="AP849">
        <f t="shared" si="252"/>
        <v>22.274787642741927</v>
      </c>
    </row>
    <row r="850" spans="1:42" x14ac:dyDescent="0.2">
      <c r="A850" s="3">
        <v>850</v>
      </c>
      <c r="B850" s="3">
        <v>6.3600000000000003E-7</v>
      </c>
      <c r="C850" s="2">
        <v>4.4150000000000002E-2</v>
      </c>
      <c r="D850" s="3">
        <v>237000</v>
      </c>
      <c r="E850" s="3">
        <v>101000000000</v>
      </c>
      <c r="F850" s="3">
        <v>92000000000</v>
      </c>
      <c r="G850" s="3">
        <v>7270000000</v>
      </c>
      <c r="H850" s="3">
        <v>9650000000</v>
      </c>
      <c r="I850" s="2"/>
      <c r="J850" s="7">
        <f t="shared" si="253"/>
        <v>0.63600000000000001</v>
      </c>
      <c r="K850" s="7">
        <f t="shared" si="254"/>
        <v>44.15</v>
      </c>
      <c r="L850" s="7">
        <f t="shared" si="255"/>
        <v>101</v>
      </c>
      <c r="M850" s="7">
        <f t="shared" si="256"/>
        <v>237</v>
      </c>
      <c r="O850">
        <f t="shared" si="257"/>
        <v>0.49628481012658232</v>
      </c>
      <c r="P850">
        <f t="shared" si="258"/>
        <v>496.28481012658233</v>
      </c>
      <c r="V850">
        <f t="shared" si="242"/>
        <v>999.77488793980137</v>
      </c>
      <c r="W850">
        <f t="shared" si="243"/>
        <v>118.52668178552524</v>
      </c>
      <c r="AE850">
        <f t="shared" si="244"/>
        <v>0.86284561538217408</v>
      </c>
      <c r="AF850">
        <f t="shared" si="245"/>
        <v>0.84276837707656005</v>
      </c>
      <c r="AG850">
        <f t="shared" si="246"/>
        <v>0.8474871602060069</v>
      </c>
      <c r="AI850">
        <f t="shared" si="247"/>
        <v>0.30712330835989177</v>
      </c>
      <c r="AJ850">
        <f t="shared" si="248"/>
        <v>18.876219070637195</v>
      </c>
      <c r="AL850">
        <f t="shared" si="249"/>
        <v>0.31443989500323466</v>
      </c>
      <c r="AM850">
        <f t="shared" si="250"/>
        <v>19.786306824057579</v>
      </c>
      <c r="AO850">
        <f t="shared" si="251"/>
        <v>0.31268910308397346</v>
      </c>
      <c r="AP850">
        <f t="shared" si="252"/>
        <v>19.566581117126333</v>
      </c>
    </row>
    <row r="851" spans="1:42" x14ac:dyDescent="0.2">
      <c r="A851" s="3">
        <v>850</v>
      </c>
      <c r="B851" s="3">
        <v>6.3600000000000003E-7</v>
      </c>
      <c r="C851" s="2">
        <v>4.4200000000000003E-2</v>
      </c>
      <c r="D851" s="3">
        <v>242000</v>
      </c>
      <c r="E851" s="3">
        <v>103000000000</v>
      </c>
      <c r="F851" s="3">
        <v>93800000000</v>
      </c>
      <c r="G851" s="3">
        <v>9240000000</v>
      </c>
      <c r="H851" s="3">
        <v>9590000000</v>
      </c>
      <c r="I851" s="2"/>
      <c r="J851" s="7">
        <f t="shared" si="253"/>
        <v>0.63600000000000001</v>
      </c>
      <c r="K851" s="7">
        <f t="shared" si="254"/>
        <v>44.2</v>
      </c>
      <c r="L851" s="7">
        <f t="shared" si="255"/>
        <v>103</v>
      </c>
      <c r="M851" s="7">
        <f t="shared" si="256"/>
        <v>242</v>
      </c>
      <c r="O851">
        <f t="shared" si="257"/>
        <v>0.49901652892561987</v>
      </c>
      <c r="P851">
        <f t="shared" si="258"/>
        <v>499.01652892561987</v>
      </c>
      <c r="V851">
        <f t="shared" si="242"/>
        <v>1002.2091437842146</v>
      </c>
      <c r="W851">
        <f t="shared" si="243"/>
        <v>120.73328281871321</v>
      </c>
      <c r="AE851">
        <f t="shared" si="244"/>
        <v>0.88104910937757852</v>
      </c>
      <c r="AF851">
        <f t="shared" si="245"/>
        <v>0.86054830064357613</v>
      </c>
      <c r="AG851">
        <f t="shared" si="246"/>
        <v>0.86536663615972009</v>
      </c>
      <c r="AI851">
        <f t="shared" si="247"/>
        <v>0.30077778545989403</v>
      </c>
      <c r="AJ851">
        <f t="shared" si="248"/>
        <v>18.12477109761463</v>
      </c>
      <c r="AL851">
        <f t="shared" si="249"/>
        <v>0.30794320295771327</v>
      </c>
      <c r="AM851">
        <f t="shared" si="250"/>
        <v>18.998628947418123</v>
      </c>
      <c r="AO851">
        <f t="shared" si="251"/>
        <v>0.30622858442521367</v>
      </c>
      <c r="AP851">
        <f t="shared" si="252"/>
        <v>18.787650354327663</v>
      </c>
    </row>
    <row r="852" spans="1:42" x14ac:dyDescent="0.2">
      <c r="A852" s="3">
        <v>850</v>
      </c>
      <c r="B852" s="3">
        <v>6.37E-7</v>
      </c>
      <c r="C852" s="2">
        <v>4.4249999999999998E-2</v>
      </c>
      <c r="D852" s="3">
        <v>250000</v>
      </c>
      <c r="E852" s="3">
        <v>106000000000</v>
      </c>
      <c r="F852" s="3">
        <v>96200000000</v>
      </c>
      <c r="G852" s="2">
        <v>0</v>
      </c>
      <c r="H852" s="3">
        <v>9520000000</v>
      </c>
      <c r="I852" s="2"/>
      <c r="J852" s="7">
        <f t="shared" si="253"/>
        <v>0.63700000000000001</v>
      </c>
      <c r="K852" s="7">
        <f t="shared" si="254"/>
        <v>44.25</v>
      </c>
      <c r="L852" s="7">
        <f t="shared" si="255"/>
        <v>106</v>
      </c>
      <c r="M852" s="7">
        <f t="shared" si="256"/>
        <v>250</v>
      </c>
      <c r="O852">
        <f t="shared" si="257"/>
        <v>0.50425000000000009</v>
      </c>
      <c r="P852">
        <f t="shared" si="258"/>
        <v>504.25000000000011</v>
      </c>
      <c r="V852">
        <f t="shared" si="242"/>
        <v>1006.852084904017</v>
      </c>
      <c r="W852">
        <f t="shared" si="243"/>
        <v>124.14931833002682</v>
      </c>
      <c r="AE852">
        <f t="shared" si="244"/>
        <v>0.9101746997702258</v>
      </c>
      <c r="AF852">
        <f t="shared" si="245"/>
        <v>0.8889961783508018</v>
      </c>
      <c r="AG852">
        <f t="shared" si="246"/>
        <v>0.89397379768566121</v>
      </c>
      <c r="AI852">
        <f t="shared" si="247"/>
        <v>0.29161068389801575</v>
      </c>
      <c r="AJ852">
        <f t="shared" si="248"/>
        <v>17.002557442284562</v>
      </c>
      <c r="AL852">
        <f t="shared" si="249"/>
        <v>0.29855771389146746</v>
      </c>
      <c r="AM852">
        <f t="shared" si="250"/>
        <v>17.822309493643193</v>
      </c>
      <c r="AO852">
        <f t="shared" si="251"/>
        <v>0.29689535348103391</v>
      </c>
      <c r="AP852">
        <f t="shared" si="252"/>
        <v>17.624393854941143</v>
      </c>
    </row>
    <row r="853" spans="1:42" x14ac:dyDescent="0.2">
      <c r="A853" s="3">
        <v>850</v>
      </c>
      <c r="B853" s="3">
        <v>6.3799999999999997E-7</v>
      </c>
      <c r="C853" s="2">
        <v>4.4299999999999999E-2</v>
      </c>
      <c r="D853" s="3">
        <v>215000</v>
      </c>
      <c r="E853" s="3">
        <v>91800000000</v>
      </c>
      <c r="F853" s="3">
        <v>84600000000</v>
      </c>
      <c r="G853" s="3">
        <v>1920000000</v>
      </c>
      <c r="H853" s="3">
        <v>9920000000</v>
      </c>
      <c r="I853" s="2"/>
      <c r="J853" s="7">
        <f t="shared" si="253"/>
        <v>0.63800000000000001</v>
      </c>
      <c r="K853" s="7">
        <f t="shared" si="254"/>
        <v>44.3</v>
      </c>
      <c r="L853" s="7">
        <f t="shared" si="255"/>
        <v>91.800000000000011</v>
      </c>
      <c r="M853" s="7">
        <f t="shared" si="256"/>
        <v>215</v>
      </c>
      <c r="O853">
        <f t="shared" si="257"/>
        <v>0.4834651162790698</v>
      </c>
      <c r="P853">
        <f t="shared" si="258"/>
        <v>483.46511627906978</v>
      </c>
      <c r="V853">
        <f t="shared" si="242"/>
        <v>988.25024340464608</v>
      </c>
      <c r="W853">
        <f t="shared" si="243"/>
        <v>108.77811639048933</v>
      </c>
      <c r="AE853">
        <f t="shared" si="244"/>
        <v>0.78275024180239416</v>
      </c>
      <c r="AF853">
        <f t="shared" si="245"/>
        <v>0.76453671338168949</v>
      </c>
      <c r="AG853">
        <f t="shared" si="246"/>
        <v>0.76881746600966872</v>
      </c>
      <c r="AI853">
        <f t="shared" si="247"/>
        <v>0.33961450171029539</v>
      </c>
      <c r="AJ853">
        <f t="shared" si="248"/>
        <v>23.014831492155057</v>
      </c>
      <c r="AL853">
        <f t="shared" si="249"/>
        <v>0.34770512479054483</v>
      </c>
      <c r="AM853">
        <f t="shared" si="250"/>
        <v>24.124456052543092</v>
      </c>
      <c r="AO853">
        <f t="shared" si="251"/>
        <v>0.34576911306797781</v>
      </c>
      <c r="AP853">
        <f t="shared" si="252"/>
        <v>23.856555468183821</v>
      </c>
    </row>
    <row r="854" spans="1:42" x14ac:dyDescent="0.2">
      <c r="A854" s="3">
        <v>850</v>
      </c>
      <c r="B854" s="3">
        <v>6.3900000000000004E-7</v>
      </c>
      <c r="C854" s="2">
        <v>4.4359999999999997E-2</v>
      </c>
      <c r="D854" s="3">
        <v>256000</v>
      </c>
      <c r="E854" s="3">
        <v>108000000000</v>
      </c>
      <c r="F854" s="3">
        <v>98200000000</v>
      </c>
      <c r="G854" s="3">
        <v>514000000</v>
      </c>
      <c r="H854" s="3">
        <v>9450000000</v>
      </c>
      <c r="I854" s="2"/>
      <c r="J854" s="7">
        <f t="shared" si="253"/>
        <v>0.63900000000000001</v>
      </c>
      <c r="K854" s="7">
        <f t="shared" si="254"/>
        <v>44.36</v>
      </c>
      <c r="L854" s="7">
        <f t="shared" si="255"/>
        <v>108</v>
      </c>
      <c r="M854" s="7">
        <f t="shared" si="256"/>
        <v>256</v>
      </c>
      <c r="O854">
        <f t="shared" si="257"/>
        <v>0.50903906250000008</v>
      </c>
      <c r="P854">
        <f t="shared" si="258"/>
        <v>509.03906250000006</v>
      </c>
      <c r="V854">
        <f t="shared" si="242"/>
        <v>1011.0773021793912</v>
      </c>
      <c r="W854">
        <f t="shared" si="243"/>
        <v>126.59763968995668</v>
      </c>
      <c r="AE854">
        <f t="shared" si="244"/>
        <v>0.93201889256471127</v>
      </c>
      <c r="AF854">
        <f t="shared" si="245"/>
        <v>0.910332086631221</v>
      </c>
      <c r="AG854">
        <f t="shared" si="246"/>
        <v>0.91542916883011716</v>
      </c>
      <c r="AI854">
        <f t="shared" si="247"/>
        <v>0.28567017484735585</v>
      </c>
      <c r="AJ854">
        <f t="shared" si="248"/>
        <v>16.255210577749118</v>
      </c>
      <c r="AL854">
        <f t="shared" si="249"/>
        <v>0.29247568432448207</v>
      </c>
      <c r="AM854">
        <f t="shared" si="250"/>
        <v>17.038930454103546</v>
      </c>
      <c r="AO854">
        <f t="shared" si="251"/>
        <v>0.29084718847254687</v>
      </c>
      <c r="AP854">
        <f t="shared" si="252"/>
        <v>16.849714190923592</v>
      </c>
    </row>
    <row r="855" spans="1:42" x14ac:dyDescent="0.2">
      <c r="A855" s="3">
        <v>850</v>
      </c>
      <c r="B855" s="3">
        <v>6.4000000000000001E-7</v>
      </c>
      <c r="C855" s="2">
        <v>4.4409999999999998E-2</v>
      </c>
      <c r="D855" s="3">
        <v>234000</v>
      </c>
      <c r="E855" s="3">
        <v>99200000000</v>
      </c>
      <c r="F855" s="3">
        <v>90800000000</v>
      </c>
      <c r="G855" s="3">
        <v>6730000000</v>
      </c>
      <c r="H855" s="3">
        <v>9680000000</v>
      </c>
      <c r="I855" s="2"/>
      <c r="J855" s="7">
        <f t="shared" si="253"/>
        <v>0.64</v>
      </c>
      <c r="K855" s="7">
        <f t="shared" si="254"/>
        <v>44.41</v>
      </c>
      <c r="L855" s="7">
        <f t="shared" si="255"/>
        <v>99.2</v>
      </c>
      <c r="M855" s="7">
        <f t="shared" si="256"/>
        <v>234</v>
      </c>
      <c r="O855">
        <f t="shared" si="257"/>
        <v>0.49766025641025646</v>
      </c>
      <c r="P855">
        <f t="shared" si="258"/>
        <v>497.66025641025647</v>
      </c>
      <c r="V855">
        <f t="shared" si="242"/>
        <v>1001.0014890641627</v>
      </c>
      <c r="W855">
        <f t="shared" si="243"/>
        <v>116.88294301078754</v>
      </c>
      <c r="AE855">
        <f t="shared" si="244"/>
        <v>0.85192351898493135</v>
      </c>
      <c r="AF855">
        <f t="shared" si="245"/>
        <v>0.83210042293635045</v>
      </c>
      <c r="AG855">
        <f t="shared" si="246"/>
        <v>0.83675947463377898</v>
      </c>
      <c r="AI855">
        <f t="shared" si="247"/>
        <v>0.31301714382107981</v>
      </c>
      <c r="AJ855">
        <f t="shared" si="248"/>
        <v>19.477358207419247</v>
      </c>
      <c r="AL855">
        <f t="shared" si="249"/>
        <v>0.32047413907763955</v>
      </c>
      <c r="AM855">
        <f t="shared" si="250"/>
        <v>20.416428956027374</v>
      </c>
      <c r="AO855">
        <f t="shared" si="251"/>
        <v>0.31868974866807159</v>
      </c>
      <c r="AP855">
        <f t="shared" si="252"/>
        <v>20.189705782002786</v>
      </c>
    </row>
    <row r="856" spans="1:42" x14ac:dyDescent="0.2">
      <c r="A856" s="3">
        <v>850</v>
      </c>
      <c r="B856" s="3">
        <v>6.4000000000000001E-7</v>
      </c>
      <c r="C856" s="2">
        <v>4.446E-2</v>
      </c>
      <c r="D856" s="3">
        <v>254000</v>
      </c>
      <c r="E856" s="3">
        <v>107000000000</v>
      </c>
      <c r="F856" s="3">
        <v>97300000000</v>
      </c>
      <c r="G856" s="3">
        <v>2040000000</v>
      </c>
      <c r="H856" s="3">
        <v>9480000000</v>
      </c>
      <c r="I856" s="2"/>
      <c r="J856" s="7">
        <f t="shared" si="253"/>
        <v>0.64</v>
      </c>
      <c r="K856" s="7">
        <f t="shared" si="254"/>
        <v>44.46</v>
      </c>
      <c r="L856" s="7">
        <f t="shared" si="255"/>
        <v>107</v>
      </c>
      <c r="M856" s="7">
        <f t="shared" si="256"/>
        <v>254</v>
      </c>
      <c r="O856">
        <f t="shared" si="257"/>
        <v>0.50872047244094487</v>
      </c>
      <c r="P856">
        <f t="shared" si="258"/>
        <v>508.72047244094489</v>
      </c>
      <c r="V856">
        <f t="shared" si="242"/>
        <v>1010.7969108897738</v>
      </c>
      <c r="W856">
        <f t="shared" si="243"/>
        <v>125.64343898539001</v>
      </c>
      <c r="AE856">
        <f t="shared" si="244"/>
        <v>0.92473749496654944</v>
      </c>
      <c r="AF856">
        <f t="shared" si="245"/>
        <v>0.90322011720441464</v>
      </c>
      <c r="AG856">
        <f t="shared" si="246"/>
        <v>0.90827737844863188</v>
      </c>
      <c r="AI856">
        <f t="shared" si="247"/>
        <v>0.28837012462256961</v>
      </c>
      <c r="AJ856">
        <f t="shared" si="248"/>
        <v>16.549429158465042</v>
      </c>
      <c r="AL856">
        <f t="shared" si="249"/>
        <v>0.29523995489829785</v>
      </c>
      <c r="AM856">
        <f t="shared" si="250"/>
        <v>17.34733432934992</v>
      </c>
      <c r="AO856">
        <f t="shared" si="251"/>
        <v>0.29359606767058571</v>
      </c>
      <c r="AP856">
        <f t="shared" si="252"/>
        <v>17.154693260312492</v>
      </c>
    </row>
    <row r="857" spans="1:42" x14ac:dyDescent="0.2">
      <c r="A857" s="3">
        <v>860</v>
      </c>
      <c r="B857" s="3">
        <v>6.4099999999999998E-7</v>
      </c>
      <c r="C857" s="2">
        <v>4.4510000000000001E-2</v>
      </c>
      <c r="D857" s="3">
        <v>220000</v>
      </c>
      <c r="E857" s="3">
        <v>93500000000</v>
      </c>
      <c r="F857" s="3">
        <v>86000000000</v>
      </c>
      <c r="G857" s="3">
        <v>3560000000</v>
      </c>
      <c r="H857" s="3">
        <v>9870000000</v>
      </c>
      <c r="I857" s="2"/>
      <c r="J857" s="7">
        <f t="shared" si="253"/>
        <v>0.64100000000000001</v>
      </c>
      <c r="K857" s="7">
        <f t="shared" si="254"/>
        <v>44.51</v>
      </c>
      <c r="L857" s="7">
        <f t="shared" si="255"/>
        <v>93.5</v>
      </c>
      <c r="M857" s="7">
        <f t="shared" si="256"/>
        <v>220</v>
      </c>
      <c r="O857">
        <f t="shared" si="257"/>
        <v>0.48926136363636363</v>
      </c>
      <c r="P857">
        <f t="shared" si="258"/>
        <v>489.26136363636363</v>
      </c>
      <c r="V857">
        <f t="shared" si="242"/>
        <v>993.48177149913192</v>
      </c>
      <c r="W857">
        <f t="shared" si="243"/>
        <v>110.72170940188822</v>
      </c>
      <c r="AE857">
        <f t="shared" si="244"/>
        <v>0.80095373579779872</v>
      </c>
      <c r="AF857">
        <f t="shared" si="245"/>
        <v>0.78231663694870557</v>
      </c>
      <c r="AG857">
        <f t="shared" si="246"/>
        <v>0.78669694196338191</v>
      </c>
      <c r="AI857">
        <f t="shared" si="247"/>
        <v>0.33345662976064661</v>
      </c>
      <c r="AJ857">
        <f t="shared" si="248"/>
        <v>22.08478754482671</v>
      </c>
      <c r="AL857">
        <f t="shared" si="249"/>
        <v>0.34140055409667236</v>
      </c>
      <c r="AM857">
        <f t="shared" si="250"/>
        <v>23.149571472488518</v>
      </c>
      <c r="AO857">
        <f t="shared" si="251"/>
        <v>0.33949964603493421</v>
      </c>
      <c r="AP857">
        <f t="shared" si="252"/>
        <v>22.892496920770597</v>
      </c>
    </row>
    <row r="858" spans="1:42" x14ac:dyDescent="0.2">
      <c r="A858" s="3">
        <v>860</v>
      </c>
      <c r="B858" s="3">
        <v>6.4199999999999995E-7</v>
      </c>
      <c r="C858" s="2">
        <v>4.4560000000000002E-2</v>
      </c>
      <c r="D858" s="3">
        <v>222000</v>
      </c>
      <c r="E858" s="3">
        <v>94300000000</v>
      </c>
      <c r="F858" s="3">
        <v>86700000000</v>
      </c>
      <c r="G858" s="2">
        <v>0</v>
      </c>
      <c r="H858" s="3">
        <v>9830000000</v>
      </c>
      <c r="I858" s="2"/>
      <c r="J858" s="7">
        <f t="shared" si="253"/>
        <v>0.6419999999999999</v>
      </c>
      <c r="K858" s="7">
        <f t="shared" si="254"/>
        <v>44.56</v>
      </c>
      <c r="L858" s="7">
        <f t="shared" si="255"/>
        <v>94.300000000000011</v>
      </c>
      <c r="M858" s="7">
        <f t="shared" si="256"/>
        <v>222</v>
      </c>
      <c r="O858">
        <f t="shared" si="257"/>
        <v>0.49145945945945935</v>
      </c>
      <c r="P858">
        <f t="shared" si="258"/>
        <v>491.45945945945937</v>
      </c>
      <c r="V858">
        <f t="shared" si="242"/>
        <v>995.45667775326672</v>
      </c>
      <c r="W858">
        <f t="shared" si="243"/>
        <v>111.50661046397882</v>
      </c>
      <c r="AE858">
        <f t="shared" si="244"/>
        <v>0.80823513339596054</v>
      </c>
      <c r="AF858">
        <f t="shared" si="245"/>
        <v>0.78942860637551204</v>
      </c>
      <c r="AG858">
        <f t="shared" si="246"/>
        <v>0.79384873234486719</v>
      </c>
      <c r="AI858">
        <f t="shared" si="247"/>
        <v>0.33096804252500822</v>
      </c>
      <c r="AJ858">
        <f t="shared" si="248"/>
        <v>21.713019697096321</v>
      </c>
      <c r="AL858">
        <f t="shared" si="249"/>
        <v>0.33885268134400076</v>
      </c>
      <c r="AM858">
        <f t="shared" si="250"/>
        <v>22.759879412071847</v>
      </c>
      <c r="AO858">
        <f t="shared" si="251"/>
        <v>0.33696595976145172</v>
      </c>
      <c r="AP858">
        <f t="shared" si="252"/>
        <v>22.507132366453067</v>
      </c>
    </row>
    <row r="859" spans="1:42" x14ac:dyDescent="0.2">
      <c r="A859" s="3">
        <v>860</v>
      </c>
      <c r="B859" s="3">
        <v>6.4199999999999995E-7</v>
      </c>
      <c r="C859" s="2">
        <v>4.462E-2</v>
      </c>
      <c r="D859" s="3">
        <v>221000</v>
      </c>
      <c r="E859" s="3">
        <v>93700000000</v>
      </c>
      <c r="F859" s="3">
        <v>86200000000</v>
      </c>
      <c r="G859" s="3">
        <v>1590000000</v>
      </c>
      <c r="H859" s="3">
        <v>9860000000</v>
      </c>
      <c r="I859" s="2"/>
      <c r="J859" s="7">
        <f t="shared" si="253"/>
        <v>0.6419999999999999</v>
      </c>
      <c r="K859" s="7">
        <f t="shared" si="254"/>
        <v>44.62</v>
      </c>
      <c r="L859" s="7">
        <f t="shared" si="255"/>
        <v>93.7</v>
      </c>
      <c r="M859" s="7">
        <f t="shared" si="256"/>
        <v>221</v>
      </c>
      <c r="O859">
        <f t="shared" si="257"/>
        <v>0.49057466063348409</v>
      </c>
      <c r="P859">
        <f t="shared" si="258"/>
        <v>490.57466063348409</v>
      </c>
      <c r="V859">
        <f t="shared" si="242"/>
        <v>994.66231214845482</v>
      </c>
      <c r="W859">
        <f t="shared" si="243"/>
        <v>111.09297964785833</v>
      </c>
      <c r="AE859">
        <f t="shared" si="244"/>
        <v>0.80459443459687963</v>
      </c>
      <c r="AF859">
        <f t="shared" si="245"/>
        <v>0.78587262166210881</v>
      </c>
      <c r="AG859">
        <f t="shared" si="246"/>
        <v>0.79027283715412455</v>
      </c>
      <c r="AI859">
        <f t="shared" si="247"/>
        <v>0.3324656354776101</v>
      </c>
      <c r="AJ859">
        <f t="shared" si="248"/>
        <v>21.93946392273282</v>
      </c>
      <c r="AL859">
        <f t="shared" si="249"/>
        <v>0.34038595139533107</v>
      </c>
      <c r="AM859">
        <f t="shared" si="250"/>
        <v>22.997241296367282</v>
      </c>
      <c r="AO859">
        <f t="shared" si="251"/>
        <v>0.33849069261105103</v>
      </c>
      <c r="AP859">
        <f t="shared" si="252"/>
        <v>22.741858361783009</v>
      </c>
    </row>
    <row r="860" spans="1:42" x14ac:dyDescent="0.2">
      <c r="A860" s="3">
        <v>860</v>
      </c>
      <c r="B860" s="3">
        <v>6.4300000000000003E-7</v>
      </c>
      <c r="C860" s="2">
        <v>4.4670000000000001E-2</v>
      </c>
      <c r="D860" s="3">
        <v>235000</v>
      </c>
      <c r="E860" s="3">
        <v>99200000000</v>
      </c>
      <c r="F860" s="3">
        <v>90800000000</v>
      </c>
      <c r="G860" s="3">
        <v>6570000000</v>
      </c>
      <c r="H860" s="3">
        <v>9680000000</v>
      </c>
      <c r="I860" s="2"/>
      <c r="J860" s="7">
        <f t="shared" si="253"/>
        <v>0.64300000000000002</v>
      </c>
      <c r="K860" s="7">
        <f t="shared" si="254"/>
        <v>44.67</v>
      </c>
      <c r="L860" s="7">
        <f t="shared" si="255"/>
        <v>99.2</v>
      </c>
      <c r="M860" s="7">
        <f t="shared" si="256"/>
        <v>235</v>
      </c>
      <c r="O860">
        <f t="shared" si="257"/>
        <v>0.50043617021276598</v>
      </c>
      <c r="P860">
        <f t="shared" si="258"/>
        <v>500.436170212766</v>
      </c>
      <c r="V860">
        <f t="shared" si="242"/>
        <v>1003.4712667707973</v>
      </c>
      <c r="W860">
        <f t="shared" si="243"/>
        <v>117.09353709560492</v>
      </c>
      <c r="AE860">
        <f t="shared" si="244"/>
        <v>0.85556421778401226</v>
      </c>
      <c r="AF860">
        <f t="shared" si="245"/>
        <v>0.83565640764975369</v>
      </c>
      <c r="AG860">
        <f t="shared" si="246"/>
        <v>0.84033536982452162</v>
      </c>
      <c r="AI860">
        <f t="shared" si="247"/>
        <v>0.31314618014366563</v>
      </c>
      <c r="AJ860">
        <f t="shared" si="248"/>
        <v>19.425008656084675</v>
      </c>
      <c r="AL860">
        <f t="shared" si="249"/>
        <v>0.3206062494275253</v>
      </c>
      <c r="AM860">
        <f t="shared" si="250"/>
        <v>20.361555451914523</v>
      </c>
      <c r="AO860">
        <f t="shared" si="251"/>
        <v>0.31882112343148533</v>
      </c>
      <c r="AP860">
        <f t="shared" si="252"/>
        <v>20.135441644740975</v>
      </c>
    </row>
    <row r="861" spans="1:42" x14ac:dyDescent="0.2">
      <c r="A861" s="3">
        <v>860</v>
      </c>
      <c r="B861" s="3">
        <v>6.4300000000000003E-7</v>
      </c>
      <c r="C861" s="2">
        <v>4.4720000000000003E-2</v>
      </c>
      <c r="D861" s="3">
        <v>225000</v>
      </c>
      <c r="E861" s="3">
        <v>95200000000</v>
      </c>
      <c r="F861" s="3">
        <v>87400000000</v>
      </c>
      <c r="G861" s="3">
        <v>4140000000</v>
      </c>
      <c r="H861" s="3">
        <v>9810000000</v>
      </c>
      <c r="I861" s="2"/>
      <c r="J861" s="7">
        <f t="shared" si="253"/>
        <v>0.64300000000000002</v>
      </c>
      <c r="K861" s="7">
        <f t="shared" si="254"/>
        <v>44.720000000000006</v>
      </c>
      <c r="L861" s="7">
        <f t="shared" si="255"/>
        <v>95.2</v>
      </c>
      <c r="M861" s="7">
        <f t="shared" si="256"/>
        <v>225</v>
      </c>
      <c r="O861">
        <f t="shared" si="257"/>
        <v>0.49393333333333334</v>
      </c>
      <c r="P861">
        <f t="shared" si="258"/>
        <v>493.93333333333334</v>
      </c>
      <c r="V861">
        <f t="shared" si="242"/>
        <v>997.67348483528531</v>
      </c>
      <c r="W861">
        <f t="shared" si="243"/>
        <v>112.76234330170017</v>
      </c>
      <c r="AE861">
        <f t="shared" si="244"/>
        <v>0.81915722979320327</v>
      </c>
      <c r="AF861">
        <f t="shared" si="245"/>
        <v>0.80009656051572164</v>
      </c>
      <c r="AG861">
        <f t="shared" si="246"/>
        <v>0.80457641791709511</v>
      </c>
      <c r="AI861">
        <f t="shared" si="247"/>
        <v>0.32706378815005077</v>
      </c>
      <c r="AJ861">
        <f t="shared" si="248"/>
        <v>21.213764910900906</v>
      </c>
      <c r="AL861">
        <f t="shared" si="249"/>
        <v>0.33485541606874863</v>
      </c>
      <c r="AM861">
        <f t="shared" si="250"/>
        <v>22.236553827320183</v>
      </c>
      <c r="AO861">
        <f t="shared" si="251"/>
        <v>0.33299095113955135</v>
      </c>
      <c r="AP861">
        <f t="shared" si="252"/>
        <v>21.989618279778696</v>
      </c>
    </row>
    <row r="862" spans="1:42" x14ac:dyDescent="0.2">
      <c r="A862" s="3">
        <v>860</v>
      </c>
      <c r="B862" s="3">
        <v>6.44E-7</v>
      </c>
      <c r="C862" s="2">
        <v>4.4769999999999997E-2</v>
      </c>
      <c r="D862" s="3">
        <v>245000</v>
      </c>
      <c r="E862" s="3">
        <v>103000000000</v>
      </c>
      <c r="F862" s="3">
        <v>94000000000</v>
      </c>
      <c r="G862" s="3">
        <v>4860000000</v>
      </c>
      <c r="H862" s="3">
        <v>9570000000</v>
      </c>
      <c r="I862" s="2"/>
      <c r="J862" s="7">
        <f t="shared" si="253"/>
        <v>0.64400000000000002</v>
      </c>
      <c r="K862" s="7">
        <f t="shared" si="254"/>
        <v>44.769999999999996</v>
      </c>
      <c r="L862" s="7">
        <f t="shared" si="255"/>
        <v>103</v>
      </c>
      <c r="M862" s="7">
        <f t="shared" si="256"/>
        <v>245</v>
      </c>
      <c r="O862">
        <f t="shared" si="257"/>
        <v>0.50694897959183671</v>
      </c>
      <c r="P862">
        <f t="shared" si="258"/>
        <v>506.94897959183669</v>
      </c>
      <c r="V862">
        <f t="shared" si="242"/>
        <v>1009.236032198266</v>
      </c>
      <c r="W862">
        <f t="shared" si="243"/>
        <v>121.37894020012028</v>
      </c>
      <c r="AE862">
        <f t="shared" si="244"/>
        <v>0.89197120577482125</v>
      </c>
      <c r="AF862">
        <f t="shared" si="245"/>
        <v>0.87121625478378573</v>
      </c>
      <c r="AG862">
        <f t="shared" si="246"/>
        <v>0.87609432173194801</v>
      </c>
      <c r="AI862">
        <f t="shared" si="247"/>
        <v>0.30083183357947352</v>
      </c>
      <c r="AJ862">
        <f t="shared" si="248"/>
        <v>17.911663376866983</v>
      </c>
      <c r="AL862">
        <f t="shared" si="249"/>
        <v>0.30799853866354571</v>
      </c>
      <c r="AM862">
        <f t="shared" si="250"/>
        <v>18.775246567000231</v>
      </c>
      <c r="AO862">
        <f t="shared" si="251"/>
        <v>0.30628361202349313</v>
      </c>
      <c r="AP862">
        <f t="shared" si="252"/>
        <v>18.566748621353973</v>
      </c>
    </row>
    <row r="863" spans="1:42" x14ac:dyDescent="0.2">
      <c r="A863" s="3">
        <v>860</v>
      </c>
      <c r="B863" s="3">
        <v>6.4499999999999997E-7</v>
      </c>
      <c r="C863" s="2">
        <v>4.4819999999999999E-2</v>
      </c>
      <c r="D863" s="3">
        <v>232000</v>
      </c>
      <c r="E863" s="3">
        <v>97900000000</v>
      </c>
      <c r="F863" s="3">
        <v>89700000000</v>
      </c>
      <c r="G863" s="3">
        <v>8860000000</v>
      </c>
      <c r="H863" s="3">
        <v>9720000000</v>
      </c>
      <c r="I863" s="2"/>
      <c r="J863" s="7">
        <f t="shared" si="253"/>
        <v>0.64500000000000002</v>
      </c>
      <c r="K863" s="7">
        <f t="shared" si="254"/>
        <v>44.82</v>
      </c>
      <c r="L863" s="7">
        <f t="shared" si="255"/>
        <v>97.9</v>
      </c>
      <c r="M863" s="7">
        <f t="shared" si="256"/>
        <v>232</v>
      </c>
      <c r="O863">
        <f t="shared" si="257"/>
        <v>0.50010775862068968</v>
      </c>
      <c r="P863">
        <f t="shared" si="258"/>
        <v>500.10775862068965</v>
      </c>
      <c r="V863">
        <f t="shared" si="242"/>
        <v>1003.1794720355974</v>
      </c>
      <c r="W863">
        <f t="shared" si="243"/>
        <v>115.63235017620435</v>
      </c>
      <c r="AE863">
        <f t="shared" si="244"/>
        <v>0.84464212138676953</v>
      </c>
      <c r="AF863">
        <f t="shared" si="245"/>
        <v>0.82498845350954408</v>
      </c>
      <c r="AG863">
        <f t="shared" si="246"/>
        <v>0.82960768425229359</v>
      </c>
      <c r="AI863">
        <f t="shared" si="247"/>
        <v>0.31818209534560604</v>
      </c>
      <c r="AJ863">
        <f t="shared" si="248"/>
        <v>19.997553875195507</v>
      </c>
      <c r="AL863">
        <f t="shared" si="249"/>
        <v>0.32576213504167661</v>
      </c>
      <c r="AM863">
        <f t="shared" si="250"/>
        <v>20.961705054627931</v>
      </c>
      <c r="AO863">
        <f t="shared" si="251"/>
        <v>0.32394830122893359</v>
      </c>
      <c r="AP863">
        <f t="shared" si="252"/>
        <v>20.728926623434685</v>
      </c>
    </row>
    <row r="864" spans="1:42" x14ac:dyDescent="0.2">
      <c r="A864" s="3">
        <v>860</v>
      </c>
      <c r="B864" s="3">
        <v>6.4499999999999997E-7</v>
      </c>
      <c r="C864" s="2">
        <v>4.4880000000000003E-2</v>
      </c>
      <c r="D864" s="3">
        <v>249000</v>
      </c>
      <c r="E864" s="3">
        <v>105000000000</v>
      </c>
      <c r="F864" s="3">
        <v>95300000000</v>
      </c>
      <c r="G864" s="3">
        <v>6790000000</v>
      </c>
      <c r="H864" s="3">
        <v>9540000000</v>
      </c>
      <c r="I864" s="2"/>
      <c r="J864" s="7">
        <f t="shared" si="253"/>
        <v>0.64500000000000002</v>
      </c>
      <c r="K864" s="7">
        <f t="shared" si="254"/>
        <v>44.88</v>
      </c>
      <c r="L864" s="7">
        <f t="shared" si="255"/>
        <v>105</v>
      </c>
      <c r="M864" s="7">
        <f t="shared" si="256"/>
        <v>249</v>
      </c>
      <c r="O864">
        <f t="shared" si="257"/>
        <v>0.50981927710843378</v>
      </c>
      <c r="P864">
        <f t="shared" si="258"/>
        <v>509.81927710843377</v>
      </c>
      <c r="V864">
        <f t="shared" si="242"/>
        <v>1011.763556973336</v>
      </c>
      <c r="W864">
        <f t="shared" si="243"/>
        <v>123.0524653135743</v>
      </c>
      <c r="AE864">
        <f t="shared" si="244"/>
        <v>0.90653400097114489</v>
      </c>
      <c r="AF864">
        <f t="shared" si="245"/>
        <v>0.88544019363739856</v>
      </c>
      <c r="AG864">
        <f t="shared" si="246"/>
        <v>0.89039790249491857</v>
      </c>
      <c r="AI864">
        <f t="shared" si="247"/>
        <v>0.29645881975976146</v>
      </c>
      <c r="AJ864">
        <f t="shared" si="248"/>
        <v>17.383416952581758</v>
      </c>
      <c r="AL864">
        <f t="shared" si="249"/>
        <v>0.30352134670549791</v>
      </c>
      <c r="AM864">
        <f t="shared" si="250"/>
        <v>18.22153155709778</v>
      </c>
      <c r="AO864">
        <f t="shared" si="251"/>
        <v>0.30183134893619512</v>
      </c>
      <c r="AP864">
        <f t="shared" si="252"/>
        <v>18.019182582205449</v>
      </c>
    </row>
    <row r="865" spans="1:42" x14ac:dyDescent="0.2">
      <c r="A865" s="3">
        <v>860</v>
      </c>
      <c r="B865" s="3">
        <v>6.4600000000000004E-7</v>
      </c>
      <c r="C865" s="2">
        <v>4.4929999999999998E-2</v>
      </c>
      <c r="D865" s="3">
        <v>247000</v>
      </c>
      <c r="E865" s="3">
        <v>104000000000</v>
      </c>
      <c r="F865" s="3">
        <v>94700000000</v>
      </c>
      <c r="G865" s="3">
        <v>11300000000</v>
      </c>
      <c r="H865" s="3">
        <v>9560000000</v>
      </c>
      <c r="I865" s="2"/>
      <c r="J865" s="7">
        <f t="shared" si="253"/>
        <v>0.64600000000000002</v>
      </c>
      <c r="K865" s="7">
        <f t="shared" si="254"/>
        <v>44.93</v>
      </c>
      <c r="L865" s="7">
        <f t="shared" si="255"/>
        <v>104</v>
      </c>
      <c r="M865" s="7">
        <f t="shared" si="256"/>
        <v>247</v>
      </c>
      <c r="O865">
        <f t="shared" si="257"/>
        <v>0.50957287449392719</v>
      </c>
      <c r="P865">
        <f t="shared" si="258"/>
        <v>509.5728744939272</v>
      </c>
      <c r="V865">
        <f t="shared" si="242"/>
        <v>1011.5468914102387</v>
      </c>
      <c r="W865">
        <f t="shared" si="243"/>
        <v>122.09023728778763</v>
      </c>
      <c r="AE865">
        <f t="shared" si="244"/>
        <v>0.89925260337298307</v>
      </c>
      <c r="AF865">
        <f t="shared" si="245"/>
        <v>0.8783282242105922</v>
      </c>
      <c r="AG865">
        <f t="shared" si="246"/>
        <v>0.88324611211343329</v>
      </c>
      <c r="AI865">
        <f t="shared" si="247"/>
        <v>0.2993226437789076</v>
      </c>
      <c r="AJ865">
        <f t="shared" si="248"/>
        <v>17.685750955745938</v>
      </c>
      <c r="AL865">
        <f t="shared" si="249"/>
        <v>0.30645339549299283</v>
      </c>
      <c r="AM865">
        <f t="shared" si="250"/>
        <v>18.538442127353736</v>
      </c>
      <c r="AO865">
        <f t="shared" si="251"/>
        <v>0.3047470721638435</v>
      </c>
      <c r="AP865">
        <f t="shared" si="252"/>
        <v>18.332573880284809</v>
      </c>
    </row>
    <row r="866" spans="1:42" x14ac:dyDescent="0.2">
      <c r="A866" s="3">
        <v>860</v>
      </c>
      <c r="B866" s="3">
        <v>6.4700000000000001E-7</v>
      </c>
      <c r="C866" s="2">
        <v>4.4979999999999999E-2</v>
      </c>
      <c r="D866" s="3">
        <v>266000</v>
      </c>
      <c r="E866" s="3">
        <v>111000000000</v>
      </c>
      <c r="F866" s="3">
        <v>101000000000</v>
      </c>
      <c r="G866" s="3">
        <v>4810000000</v>
      </c>
      <c r="H866" s="3">
        <v>9390000000</v>
      </c>
      <c r="I866" s="2"/>
      <c r="J866" s="7">
        <f t="shared" si="253"/>
        <v>0.64700000000000002</v>
      </c>
      <c r="K866" s="7">
        <f t="shared" si="254"/>
        <v>44.98</v>
      </c>
      <c r="L866" s="7">
        <f t="shared" si="255"/>
        <v>111</v>
      </c>
      <c r="M866" s="7">
        <f t="shared" si="256"/>
        <v>266</v>
      </c>
      <c r="O866">
        <f t="shared" si="257"/>
        <v>0.52017669172932335</v>
      </c>
      <c r="P866">
        <f t="shared" si="258"/>
        <v>520.17669172932335</v>
      </c>
      <c r="V866">
        <f t="shared" si="242"/>
        <v>1020.8187785670767</v>
      </c>
      <c r="W866">
        <f t="shared" si="243"/>
        <v>130.28757189076407</v>
      </c>
      <c r="AE866">
        <f t="shared" si="244"/>
        <v>0.96842588055552026</v>
      </c>
      <c r="AF866">
        <f t="shared" si="245"/>
        <v>0.94589193376525316</v>
      </c>
      <c r="AG866">
        <f t="shared" si="246"/>
        <v>0.95118812073754355</v>
      </c>
      <c r="AI866">
        <f t="shared" si="247"/>
        <v>0.2783727064157886</v>
      </c>
      <c r="AJ866">
        <f t="shared" si="248"/>
        <v>15.266418758001949</v>
      </c>
      <c r="AL866">
        <f t="shared" si="249"/>
        <v>0.28500436858597555</v>
      </c>
      <c r="AM866">
        <f t="shared" si="250"/>
        <v>16.002465563681223</v>
      </c>
      <c r="AO866">
        <f t="shared" si="251"/>
        <v>0.28341747279633878</v>
      </c>
      <c r="AP866">
        <f t="shared" si="252"/>
        <v>15.824759178660068</v>
      </c>
    </row>
    <row r="867" spans="1:42" x14ac:dyDescent="0.2">
      <c r="A867" s="3">
        <v>870</v>
      </c>
      <c r="B867" s="3">
        <v>6.4799999999999998E-7</v>
      </c>
      <c r="C867" s="2">
        <v>4.5030000000000001E-2</v>
      </c>
      <c r="D867" s="3">
        <v>237000</v>
      </c>
      <c r="E867" s="3">
        <v>99700000000</v>
      </c>
      <c r="F867" s="3">
        <v>91200000000</v>
      </c>
      <c r="G867" s="3">
        <v>18100000000</v>
      </c>
      <c r="H867" s="3">
        <v>9670000000</v>
      </c>
      <c r="I867" s="2"/>
      <c r="J867" s="7">
        <f t="shared" si="253"/>
        <v>0.64800000000000002</v>
      </c>
      <c r="K867" s="7">
        <f t="shared" si="254"/>
        <v>45.03</v>
      </c>
      <c r="L867" s="7">
        <f t="shared" si="255"/>
        <v>99.7</v>
      </c>
      <c r="M867" s="7">
        <f t="shared" si="256"/>
        <v>237</v>
      </c>
      <c r="O867">
        <f t="shared" si="257"/>
        <v>0.50550000000000006</v>
      </c>
      <c r="P867">
        <f t="shared" si="258"/>
        <v>505.50000000000006</v>
      </c>
      <c r="V867">
        <f t="shared" si="242"/>
        <v>1007.9570627637243</v>
      </c>
      <c r="W867">
        <f t="shared" si="243"/>
        <v>117.56453164292937</v>
      </c>
      <c r="AE867">
        <f t="shared" si="244"/>
        <v>0.86284561538217408</v>
      </c>
      <c r="AF867">
        <f t="shared" si="245"/>
        <v>0.84276837707656005</v>
      </c>
      <c r="AG867">
        <f t="shared" si="246"/>
        <v>0.8474871602060069</v>
      </c>
      <c r="AI867">
        <f t="shared" si="247"/>
        <v>0.31291808776290864</v>
      </c>
      <c r="AJ867">
        <f t="shared" si="248"/>
        <v>19.252460809757487</v>
      </c>
      <c r="AL867">
        <f t="shared" si="249"/>
        <v>0.32037272321084287</v>
      </c>
      <c r="AM867">
        <f t="shared" si="250"/>
        <v>20.180688477628831</v>
      </c>
      <c r="AO867">
        <f t="shared" si="251"/>
        <v>0.31858889748178426</v>
      </c>
      <c r="AP867">
        <f t="shared" si="252"/>
        <v>19.956583186958071</v>
      </c>
    </row>
    <row r="868" spans="1:42" x14ac:dyDescent="0.2">
      <c r="A868" s="3">
        <v>870</v>
      </c>
      <c r="B868" s="3">
        <v>6.4799999999999998E-7</v>
      </c>
      <c r="C868" s="2">
        <v>4.5089999999999998E-2</v>
      </c>
      <c r="D868" s="3">
        <v>229000</v>
      </c>
      <c r="E868" s="3">
        <v>96500000000</v>
      </c>
      <c r="F868" s="3">
        <v>88500000000</v>
      </c>
      <c r="G868" s="3">
        <v>6430000000</v>
      </c>
      <c r="H868" s="3">
        <v>9770000000</v>
      </c>
      <c r="I868" s="2"/>
      <c r="J868" s="7">
        <f t="shared" si="253"/>
        <v>0.64800000000000002</v>
      </c>
      <c r="K868" s="7">
        <f t="shared" si="254"/>
        <v>45.089999999999996</v>
      </c>
      <c r="L868" s="7">
        <f t="shared" si="255"/>
        <v>96.5</v>
      </c>
      <c r="M868" s="7">
        <f t="shared" si="256"/>
        <v>229</v>
      </c>
      <c r="O868">
        <f t="shared" si="257"/>
        <v>0.50032532751091707</v>
      </c>
      <c r="P868">
        <f t="shared" si="258"/>
        <v>500.32532751091708</v>
      </c>
      <c r="V868">
        <f t="shared" si="242"/>
        <v>1003.3727946079679</v>
      </c>
      <c r="W868">
        <f t="shared" si="243"/>
        <v>114.11511316164078</v>
      </c>
      <c r="AE868">
        <f t="shared" si="244"/>
        <v>0.8337200249895268</v>
      </c>
      <c r="AF868">
        <f t="shared" si="245"/>
        <v>0.81432049936933448</v>
      </c>
      <c r="AG868">
        <f t="shared" si="246"/>
        <v>0.81887999868006567</v>
      </c>
      <c r="AI868">
        <f t="shared" si="247"/>
        <v>0.3238497240166347</v>
      </c>
      <c r="AJ868">
        <f t="shared" si="248"/>
        <v>20.648583473270282</v>
      </c>
      <c r="AL868">
        <f t="shared" si="249"/>
        <v>0.33156478341034823</v>
      </c>
      <c r="AM868">
        <f t="shared" si="250"/>
        <v>21.644123039439734</v>
      </c>
      <c r="AO868">
        <f t="shared" si="251"/>
        <v>0.32971864062525275</v>
      </c>
      <c r="AP868">
        <f t="shared" si="252"/>
        <v>21.403766398959196</v>
      </c>
    </row>
    <row r="869" spans="1:42" x14ac:dyDescent="0.2">
      <c r="A869" s="3">
        <v>870</v>
      </c>
      <c r="B869" s="3">
        <v>6.4799999999999998E-7</v>
      </c>
      <c r="C869" s="2">
        <v>4.514E-2</v>
      </c>
      <c r="D869" s="3">
        <v>246000</v>
      </c>
      <c r="E869" s="3">
        <v>103000000000</v>
      </c>
      <c r="F869" s="3">
        <v>94100000000</v>
      </c>
      <c r="G869" s="3">
        <v>18000000000</v>
      </c>
      <c r="H869" s="3">
        <v>9580000000</v>
      </c>
      <c r="I869" s="2"/>
      <c r="J869" s="7">
        <f t="shared" si="253"/>
        <v>0.64800000000000002</v>
      </c>
      <c r="K869" s="7">
        <f t="shared" si="254"/>
        <v>45.14</v>
      </c>
      <c r="L869" s="7">
        <f t="shared" si="255"/>
        <v>103</v>
      </c>
      <c r="M869" s="7">
        <f t="shared" si="256"/>
        <v>246</v>
      </c>
      <c r="O869">
        <f t="shared" si="257"/>
        <v>0.51037804878048787</v>
      </c>
      <c r="P869">
        <f t="shared" si="258"/>
        <v>510.37804878048786</v>
      </c>
      <c r="V869">
        <f t="shared" si="242"/>
        <v>1012.2546773893089</v>
      </c>
      <c r="W869">
        <f t="shared" si="243"/>
        <v>121.51092284130263</v>
      </c>
      <c r="AE869">
        <f t="shared" si="244"/>
        <v>0.89561190457390216</v>
      </c>
      <c r="AF869">
        <f t="shared" si="245"/>
        <v>0.87477223949718896</v>
      </c>
      <c r="AG869">
        <f t="shared" si="246"/>
        <v>0.87967021692269065</v>
      </c>
      <c r="AI869">
        <f t="shared" si="247"/>
        <v>0.30146986503987538</v>
      </c>
      <c r="AJ869">
        <f t="shared" si="248"/>
        <v>17.913165303454448</v>
      </c>
      <c r="AL869">
        <f t="shared" si="249"/>
        <v>0.30865176992264132</v>
      </c>
      <c r="AM869">
        <f t="shared" si="250"/>
        <v>18.776820906658802</v>
      </c>
      <c r="AO869">
        <f t="shared" si="251"/>
        <v>0.30693320611049951</v>
      </c>
      <c r="AP869">
        <f t="shared" si="252"/>
        <v>18.568305478068531</v>
      </c>
    </row>
    <row r="870" spans="1:42" x14ac:dyDescent="0.2">
      <c r="A870" s="3">
        <v>870</v>
      </c>
      <c r="B870" s="3">
        <v>6.4899999999999995E-7</v>
      </c>
      <c r="C870" s="2">
        <v>4.5190000000000001E-2</v>
      </c>
      <c r="D870" s="3">
        <v>223000</v>
      </c>
      <c r="E870" s="3">
        <v>93900000000</v>
      </c>
      <c r="F870" s="3">
        <v>86400000000</v>
      </c>
      <c r="G870" s="3">
        <v>9920000000</v>
      </c>
      <c r="H870" s="3">
        <v>9860000000</v>
      </c>
      <c r="I870" s="2"/>
      <c r="J870" s="7">
        <f t="shared" si="253"/>
        <v>0.64899999999999991</v>
      </c>
      <c r="K870" s="7">
        <f t="shared" si="254"/>
        <v>45.19</v>
      </c>
      <c r="L870" s="7">
        <f t="shared" si="255"/>
        <v>93.9</v>
      </c>
      <c r="M870" s="7">
        <f t="shared" si="256"/>
        <v>223</v>
      </c>
      <c r="O870">
        <f t="shared" si="257"/>
        <v>0.49701569506726451</v>
      </c>
      <c r="P870">
        <f t="shared" si="258"/>
        <v>497.01569506726452</v>
      </c>
      <c r="V870">
        <f t="shared" si="242"/>
        <v>1000.4269149210523</v>
      </c>
      <c r="W870">
        <f t="shared" si="243"/>
        <v>111.45241929921379</v>
      </c>
      <c r="AE870">
        <f t="shared" si="244"/>
        <v>0.81187583219504145</v>
      </c>
      <c r="AF870">
        <f t="shared" si="245"/>
        <v>0.79298459108891517</v>
      </c>
      <c r="AG870">
        <f t="shared" si="246"/>
        <v>0.79742462753560983</v>
      </c>
      <c r="AI870">
        <f t="shared" si="247"/>
        <v>0.33307638427362735</v>
      </c>
      <c r="AJ870">
        <f t="shared" si="248"/>
        <v>21.822957571757549</v>
      </c>
      <c r="AL870">
        <f t="shared" si="249"/>
        <v>0.34101125003618837</v>
      </c>
      <c r="AM870">
        <f t="shared" si="250"/>
        <v>22.875117771591402</v>
      </c>
      <c r="AO870">
        <f t="shared" si="251"/>
        <v>0.33911250960780104</v>
      </c>
      <c r="AP870">
        <f t="shared" si="252"/>
        <v>22.62109101115589</v>
      </c>
    </row>
    <row r="871" spans="1:42" x14ac:dyDescent="0.2">
      <c r="A871" s="3">
        <v>870</v>
      </c>
      <c r="B871" s="3">
        <v>6.5000000000000002E-7</v>
      </c>
      <c r="C871" s="2">
        <v>4.5240000000000002E-2</v>
      </c>
      <c r="D871" s="3">
        <v>229000</v>
      </c>
      <c r="E871" s="3">
        <v>96400000000</v>
      </c>
      <c r="F871" s="3">
        <v>88500000000</v>
      </c>
      <c r="G871" s="2">
        <v>0</v>
      </c>
      <c r="H871" s="3">
        <v>9770000000</v>
      </c>
      <c r="I871" s="2"/>
      <c r="J871" s="7">
        <f t="shared" si="253"/>
        <v>0.65</v>
      </c>
      <c r="K871" s="7">
        <f t="shared" si="254"/>
        <v>45.24</v>
      </c>
      <c r="L871" s="7">
        <f t="shared" si="255"/>
        <v>96.4</v>
      </c>
      <c r="M871" s="7">
        <f t="shared" si="256"/>
        <v>229</v>
      </c>
      <c r="O871">
        <f t="shared" si="257"/>
        <v>0.50183406113537121</v>
      </c>
      <c r="P871">
        <f t="shared" si="258"/>
        <v>501.8340611353712</v>
      </c>
      <c r="V871">
        <f t="shared" si="242"/>
        <v>1004.7121056112095</v>
      </c>
      <c r="W871">
        <f t="shared" si="243"/>
        <v>113.96299433492416</v>
      </c>
      <c r="AE871">
        <f t="shared" si="244"/>
        <v>0.8337200249895268</v>
      </c>
      <c r="AF871">
        <f t="shared" si="245"/>
        <v>0.81432049936933448</v>
      </c>
      <c r="AG871">
        <f t="shared" si="246"/>
        <v>0.81887999868006567</v>
      </c>
      <c r="AI871">
        <f t="shared" si="247"/>
        <v>0.32484926020187121</v>
      </c>
      <c r="AJ871">
        <f t="shared" si="248"/>
        <v>20.717274702389613</v>
      </c>
      <c r="AL871">
        <f t="shared" si="249"/>
        <v>0.33258813150729377</v>
      </c>
      <c r="AM871">
        <f t="shared" si="250"/>
        <v>21.716126110096553</v>
      </c>
      <c r="AO871">
        <f t="shared" si="251"/>
        <v>0.33073629075063932</v>
      </c>
      <c r="AP871">
        <f t="shared" si="252"/>
        <v>21.474969879993662</v>
      </c>
    </row>
    <row r="872" spans="1:42" x14ac:dyDescent="0.2">
      <c r="A872" s="3">
        <v>870</v>
      </c>
      <c r="B872" s="3">
        <v>6.5000000000000002E-7</v>
      </c>
      <c r="C872" s="2">
        <v>4.53E-2</v>
      </c>
      <c r="D872" s="3">
        <v>239000</v>
      </c>
      <c r="E872" s="3">
        <v>100000000000</v>
      </c>
      <c r="F872" s="3">
        <v>91600000000</v>
      </c>
      <c r="G872" s="2">
        <v>0</v>
      </c>
      <c r="H872" s="3">
        <v>9670000000</v>
      </c>
      <c r="I872" s="2"/>
      <c r="J872" s="7">
        <f t="shared" si="253"/>
        <v>0.65</v>
      </c>
      <c r="K872" s="7">
        <f t="shared" si="254"/>
        <v>45.3</v>
      </c>
      <c r="L872" s="7">
        <f t="shared" si="255"/>
        <v>100</v>
      </c>
      <c r="M872" s="7">
        <f t="shared" si="256"/>
        <v>239</v>
      </c>
      <c r="O872">
        <f t="shared" si="257"/>
        <v>0.50784518828451886</v>
      </c>
      <c r="P872">
        <f t="shared" si="258"/>
        <v>507.84518828451888</v>
      </c>
      <c r="V872">
        <f t="shared" si="242"/>
        <v>1010.0260689725361</v>
      </c>
      <c r="W872">
        <f t="shared" si="243"/>
        <v>118.31377790234971</v>
      </c>
      <c r="AE872">
        <f t="shared" si="244"/>
        <v>0.8701270129803359</v>
      </c>
      <c r="AF872">
        <f t="shared" si="245"/>
        <v>0.84988034650336652</v>
      </c>
      <c r="AG872">
        <f t="shared" si="246"/>
        <v>0.85463895058749217</v>
      </c>
      <c r="AI872">
        <f t="shared" si="247"/>
        <v>0.31125724094656276</v>
      </c>
      <c r="AJ872">
        <f t="shared" si="248"/>
        <v>19.045105956942493</v>
      </c>
      <c r="AL872">
        <f t="shared" si="249"/>
        <v>0.31867231010531499</v>
      </c>
      <c r="AM872">
        <f t="shared" si="250"/>
        <v>19.963336330787261</v>
      </c>
      <c r="AO872">
        <f t="shared" si="251"/>
        <v>0.31689795222550793</v>
      </c>
      <c r="AP872">
        <f t="shared" si="252"/>
        <v>19.741644722191815</v>
      </c>
    </row>
    <row r="873" spans="1:42" x14ac:dyDescent="0.2">
      <c r="A873" s="3">
        <v>870</v>
      </c>
      <c r="B873" s="3">
        <v>6.5099999999999999E-7</v>
      </c>
      <c r="C873" s="2">
        <v>4.5350000000000001E-2</v>
      </c>
      <c r="D873" s="3">
        <v>218000</v>
      </c>
      <c r="E873" s="3">
        <v>91800000000</v>
      </c>
      <c r="F873" s="3">
        <v>84600000000</v>
      </c>
      <c r="G873" s="2">
        <v>0</v>
      </c>
      <c r="H873" s="3">
        <v>9940000000</v>
      </c>
      <c r="I873" s="2"/>
      <c r="J873" s="7">
        <f t="shared" si="253"/>
        <v>0.65100000000000002</v>
      </c>
      <c r="K873" s="7">
        <f t="shared" si="254"/>
        <v>45.35</v>
      </c>
      <c r="L873" s="7">
        <f t="shared" si="255"/>
        <v>91.800000000000011</v>
      </c>
      <c r="M873" s="7">
        <f t="shared" si="256"/>
        <v>218</v>
      </c>
      <c r="O873">
        <f t="shared" si="257"/>
        <v>0.49497935779816515</v>
      </c>
      <c r="P873">
        <f t="shared" si="258"/>
        <v>494.97935779816515</v>
      </c>
      <c r="V873">
        <f t="shared" si="242"/>
        <v>998.60895370746834</v>
      </c>
      <c r="W873">
        <f t="shared" si="243"/>
        <v>109.15183525575554</v>
      </c>
      <c r="AE873">
        <f t="shared" si="244"/>
        <v>0.7936723381996369</v>
      </c>
      <c r="AF873">
        <f t="shared" si="245"/>
        <v>0.7752046675218992</v>
      </c>
      <c r="AG873">
        <f t="shared" si="246"/>
        <v>0.77954515158189663</v>
      </c>
      <c r="AI873">
        <f t="shared" si="247"/>
        <v>0.3417657223827435</v>
      </c>
      <c r="AJ873">
        <f t="shared" si="248"/>
        <v>22.916342120793594</v>
      </c>
      <c r="AL873">
        <f t="shared" si="249"/>
        <v>0.34990759390949788</v>
      </c>
      <c r="AM873">
        <f t="shared" si="250"/>
        <v>24.021218168230874</v>
      </c>
      <c r="AO873">
        <f t="shared" si="251"/>
        <v>0.34795931890483106</v>
      </c>
      <c r="AP873">
        <f t="shared" si="252"/>
        <v>23.754464034157365</v>
      </c>
    </row>
    <row r="874" spans="1:42" x14ac:dyDescent="0.2">
      <c r="A874" s="3">
        <v>870</v>
      </c>
      <c r="B874" s="3">
        <v>6.5099999999999999E-7</v>
      </c>
      <c r="C874" s="2">
        <v>4.5400000000000003E-2</v>
      </c>
      <c r="D874" s="3">
        <v>252000</v>
      </c>
      <c r="E874" s="3">
        <v>105000000000</v>
      </c>
      <c r="F874" s="3">
        <v>95900000000</v>
      </c>
      <c r="G874" s="2">
        <v>0</v>
      </c>
      <c r="H874" s="3">
        <v>9540000000</v>
      </c>
      <c r="I874" s="2"/>
      <c r="J874" s="7">
        <f t="shared" si="253"/>
        <v>0.65100000000000002</v>
      </c>
      <c r="K874" s="7">
        <f t="shared" si="254"/>
        <v>45.400000000000006</v>
      </c>
      <c r="L874" s="7">
        <f t="shared" si="255"/>
        <v>105</v>
      </c>
      <c r="M874" s="7">
        <f t="shared" si="256"/>
        <v>252</v>
      </c>
      <c r="O874">
        <f t="shared" si="257"/>
        <v>0.51588095238095244</v>
      </c>
      <c r="P874">
        <f t="shared" si="258"/>
        <v>515.88095238095241</v>
      </c>
      <c r="V874">
        <f t="shared" si="242"/>
        <v>1017.0754239623769</v>
      </c>
      <c r="W874">
        <f t="shared" si="243"/>
        <v>123.88461763152476</v>
      </c>
      <c r="AE874">
        <f t="shared" si="244"/>
        <v>0.91745609736838762</v>
      </c>
      <c r="AF874">
        <f t="shared" si="245"/>
        <v>0.89610814777760817</v>
      </c>
      <c r="AG874">
        <f t="shared" si="246"/>
        <v>0.90112558806714649</v>
      </c>
      <c r="AI874">
        <f t="shared" si="247"/>
        <v>0.29565447412475426</v>
      </c>
      <c r="AJ874">
        <f t="shared" si="248"/>
        <v>17.168634866003355</v>
      </c>
      <c r="AL874">
        <f t="shared" si="249"/>
        <v>0.30269783917567672</v>
      </c>
      <c r="AM874">
        <f t="shared" si="250"/>
        <v>17.996394083886194</v>
      </c>
      <c r="AO874">
        <f t="shared" si="251"/>
        <v>0.30101242667163958</v>
      </c>
      <c r="AP874">
        <f t="shared" si="252"/>
        <v>17.796545246634402</v>
      </c>
    </row>
    <row r="875" spans="1:42" x14ac:dyDescent="0.2">
      <c r="A875" s="3">
        <v>870</v>
      </c>
      <c r="B875" s="3">
        <v>6.5199999999999996E-7</v>
      </c>
      <c r="C875" s="2">
        <v>4.5449999999999997E-2</v>
      </c>
      <c r="D875" s="3">
        <v>235000</v>
      </c>
      <c r="E875" s="3">
        <v>98700000000</v>
      </c>
      <c r="F875" s="3">
        <v>90400000000</v>
      </c>
      <c r="G875" s="3">
        <v>9820000000</v>
      </c>
      <c r="H875" s="3">
        <v>9720000000</v>
      </c>
      <c r="I875" s="2"/>
      <c r="J875" s="7">
        <f t="shared" si="253"/>
        <v>0.65199999999999991</v>
      </c>
      <c r="K875" s="7">
        <f t="shared" si="254"/>
        <v>45.449999999999996</v>
      </c>
      <c r="L875" s="7">
        <f t="shared" si="255"/>
        <v>98.7</v>
      </c>
      <c r="M875" s="7">
        <f t="shared" si="256"/>
        <v>235</v>
      </c>
      <c r="O875">
        <f t="shared" si="257"/>
        <v>0.50694680851063822</v>
      </c>
      <c r="P875">
        <f t="shared" si="258"/>
        <v>506.94680851063822</v>
      </c>
      <c r="V875">
        <f t="shared" si="242"/>
        <v>1009.2341173762537</v>
      </c>
      <c r="W875">
        <f t="shared" si="243"/>
        <v>116.42491863579626</v>
      </c>
      <c r="AE875">
        <f t="shared" si="244"/>
        <v>0.85556421778401226</v>
      </c>
      <c r="AF875">
        <f t="shared" si="245"/>
        <v>0.83565640764975369</v>
      </c>
      <c r="AG875">
        <f t="shared" si="246"/>
        <v>0.84033536982452162</v>
      </c>
      <c r="AI875">
        <f t="shared" si="247"/>
        <v>0.3175292526495645</v>
      </c>
      <c r="AJ875">
        <f t="shared" si="248"/>
        <v>19.764196181308446</v>
      </c>
      <c r="AL875">
        <f t="shared" si="249"/>
        <v>0.32509373969945021</v>
      </c>
      <c r="AM875">
        <f t="shared" si="250"/>
        <v>20.717096379886165</v>
      </c>
      <c r="AO875">
        <f t="shared" si="251"/>
        <v>0.3232836274919571</v>
      </c>
      <c r="AP875">
        <f t="shared" si="252"/>
        <v>20.487034312815698</v>
      </c>
    </row>
    <row r="876" spans="1:42" x14ac:dyDescent="0.2">
      <c r="A876" s="3">
        <v>870</v>
      </c>
      <c r="B876" s="3">
        <v>6.5199999999999996E-7</v>
      </c>
      <c r="C876" s="2">
        <v>4.5499999999999999E-2</v>
      </c>
      <c r="D876" s="3">
        <v>245000</v>
      </c>
      <c r="E876" s="3">
        <v>103000000000</v>
      </c>
      <c r="F876" s="3">
        <v>93700000000</v>
      </c>
      <c r="G876" s="3">
        <v>4440000000</v>
      </c>
      <c r="H876" s="3">
        <v>9610000000</v>
      </c>
      <c r="I876" s="2"/>
      <c r="J876" s="7">
        <f t="shared" si="253"/>
        <v>0.65199999999999991</v>
      </c>
      <c r="K876" s="7">
        <f t="shared" si="254"/>
        <v>45.5</v>
      </c>
      <c r="L876" s="7">
        <f t="shared" si="255"/>
        <v>103</v>
      </c>
      <c r="M876" s="7">
        <f t="shared" si="256"/>
        <v>245</v>
      </c>
      <c r="O876">
        <f t="shared" si="257"/>
        <v>0.51271428571428568</v>
      </c>
      <c r="P876">
        <f t="shared" si="258"/>
        <v>512.71428571428567</v>
      </c>
      <c r="V876">
        <f t="shared" si="242"/>
        <v>1014.3048260513835</v>
      </c>
      <c r="W876">
        <f t="shared" si="243"/>
        <v>120.77237222352946</v>
      </c>
      <c r="AE876">
        <f t="shared" si="244"/>
        <v>0.89197120577482125</v>
      </c>
      <c r="AF876">
        <f t="shared" si="245"/>
        <v>0.87121625478378573</v>
      </c>
      <c r="AG876">
        <f t="shared" si="246"/>
        <v>0.87609432173194801</v>
      </c>
      <c r="AI876">
        <f t="shared" si="247"/>
        <v>0.30456887499039864</v>
      </c>
      <c r="AJ876">
        <f t="shared" si="248"/>
        <v>18.203723110284738</v>
      </c>
      <c r="AL876">
        <f t="shared" si="249"/>
        <v>0.31182460746681956</v>
      </c>
      <c r="AM876">
        <f t="shared" si="250"/>
        <v>19.081387509459695</v>
      </c>
      <c r="AO876">
        <f t="shared" si="251"/>
        <v>0.31008837739024459</v>
      </c>
      <c r="AP876">
        <f t="shared" si="252"/>
        <v>18.869489887683848</v>
      </c>
    </row>
    <row r="877" spans="1:42" x14ac:dyDescent="0.2">
      <c r="A877" s="3">
        <v>880</v>
      </c>
      <c r="B877" s="3">
        <v>6.5300000000000004E-7</v>
      </c>
      <c r="C877" s="2">
        <v>4.555E-2</v>
      </c>
      <c r="D877" s="3">
        <v>232000</v>
      </c>
      <c r="E877" s="3">
        <v>97300000000</v>
      </c>
      <c r="F877" s="3">
        <v>89200000000</v>
      </c>
      <c r="G877" s="3">
        <v>919000000</v>
      </c>
      <c r="H877" s="3">
        <v>9760000000</v>
      </c>
      <c r="I877" s="2"/>
      <c r="J877" s="7">
        <f t="shared" si="253"/>
        <v>0.65300000000000002</v>
      </c>
      <c r="K877" s="7">
        <f t="shared" si="254"/>
        <v>45.55</v>
      </c>
      <c r="L877" s="7">
        <f t="shared" si="255"/>
        <v>97.300000000000011</v>
      </c>
      <c r="M877" s="7">
        <f t="shared" si="256"/>
        <v>232</v>
      </c>
      <c r="O877">
        <f t="shared" si="257"/>
        <v>0.50574784482758628</v>
      </c>
      <c r="P877">
        <f t="shared" si="258"/>
        <v>505.74784482758628</v>
      </c>
      <c r="V877">
        <f t="shared" si="242"/>
        <v>1008.175972348018</v>
      </c>
      <c r="W877">
        <f t="shared" si="243"/>
        <v>115.05927852043402</v>
      </c>
      <c r="AE877">
        <f t="shared" si="244"/>
        <v>0.84464212138676953</v>
      </c>
      <c r="AF877">
        <f t="shared" si="245"/>
        <v>0.82498845350954408</v>
      </c>
      <c r="AG877">
        <f t="shared" si="246"/>
        <v>0.82960768425229359</v>
      </c>
      <c r="AI877">
        <f t="shared" si="247"/>
        <v>0.32212853993903989</v>
      </c>
      <c r="AJ877">
        <f t="shared" si="248"/>
        <v>20.323261468432737</v>
      </c>
      <c r="AL877">
        <f t="shared" si="249"/>
        <v>0.32980259563134079</v>
      </c>
      <c r="AM877">
        <f t="shared" si="250"/>
        <v>21.303116136508304</v>
      </c>
      <c r="AO877">
        <f t="shared" si="251"/>
        <v>0.32796626465502887</v>
      </c>
      <c r="AP877">
        <f t="shared" si="252"/>
        <v>21.066546356480362</v>
      </c>
    </row>
    <row r="878" spans="1:42" x14ac:dyDescent="0.2">
      <c r="A878" s="3">
        <v>880</v>
      </c>
      <c r="B878" s="3">
        <v>6.5400000000000001E-7</v>
      </c>
      <c r="C878" s="2">
        <v>4.5609999999999998E-2</v>
      </c>
      <c r="D878" s="3">
        <v>267000</v>
      </c>
      <c r="E878" s="3">
        <v>111000000000</v>
      </c>
      <c r="F878" s="3">
        <v>101000000000</v>
      </c>
      <c r="G878" s="3">
        <v>4390000000</v>
      </c>
      <c r="H878" s="3">
        <v>9420000000</v>
      </c>
      <c r="I878" s="2"/>
      <c r="J878" s="7">
        <f t="shared" si="253"/>
        <v>0.65400000000000003</v>
      </c>
      <c r="K878" s="7">
        <f t="shared" si="254"/>
        <v>45.61</v>
      </c>
      <c r="L878" s="7">
        <f t="shared" si="255"/>
        <v>111</v>
      </c>
      <c r="M878" s="7">
        <f t="shared" si="256"/>
        <v>267</v>
      </c>
      <c r="O878">
        <f t="shared" si="257"/>
        <v>0.52588202247191018</v>
      </c>
      <c r="P878">
        <f t="shared" si="258"/>
        <v>525.8820224719102</v>
      </c>
      <c r="V878">
        <f t="shared" si="242"/>
        <v>1025.7639444196282</v>
      </c>
      <c r="W878">
        <f t="shared" si="243"/>
        <v>130.14690243917042</v>
      </c>
      <c r="AE878">
        <f t="shared" si="244"/>
        <v>0.97206657935460117</v>
      </c>
      <c r="AF878">
        <f t="shared" si="245"/>
        <v>0.94944791847865628</v>
      </c>
      <c r="AG878">
        <f t="shared" si="246"/>
        <v>0.95476401592828619</v>
      </c>
      <c r="AI878">
        <f t="shared" si="247"/>
        <v>0.28033059235605556</v>
      </c>
      <c r="AJ878">
        <f t="shared" si="248"/>
        <v>15.364503920316208</v>
      </c>
      <c r="AL878">
        <f t="shared" si="249"/>
        <v>0.28700889716693384</v>
      </c>
      <c r="AM878">
        <f t="shared" si="250"/>
        <v>16.105279750631215</v>
      </c>
      <c r="AO878">
        <f t="shared" si="251"/>
        <v>0.28541084022218527</v>
      </c>
      <c r="AP878">
        <f t="shared" si="252"/>
        <v>15.92643162045716</v>
      </c>
    </row>
    <row r="879" spans="1:42" x14ac:dyDescent="0.2">
      <c r="A879" s="3">
        <v>880</v>
      </c>
      <c r="B879" s="3">
        <v>6.5400000000000001E-7</v>
      </c>
      <c r="C879" s="2">
        <v>4.5659999999999999E-2</v>
      </c>
      <c r="D879" s="3">
        <v>242000</v>
      </c>
      <c r="E879" s="3">
        <v>101000000000</v>
      </c>
      <c r="F879" s="3">
        <v>92600000000</v>
      </c>
      <c r="G879" s="3">
        <v>9980000000</v>
      </c>
      <c r="H879" s="3">
        <v>9660000000</v>
      </c>
      <c r="I879" s="2"/>
      <c r="J879" s="7">
        <f t="shared" si="253"/>
        <v>0.65400000000000003</v>
      </c>
      <c r="K879" s="7">
        <f t="shared" si="254"/>
        <v>45.66</v>
      </c>
      <c r="L879" s="7">
        <f t="shared" si="255"/>
        <v>101</v>
      </c>
      <c r="M879" s="7">
        <f t="shared" si="256"/>
        <v>242</v>
      </c>
      <c r="O879">
        <f t="shared" si="257"/>
        <v>0.51249173553719007</v>
      </c>
      <c r="P879">
        <f t="shared" si="258"/>
        <v>512.49173553719004</v>
      </c>
      <c r="V879">
        <f t="shared" si="242"/>
        <v>1014.1097531885463</v>
      </c>
      <c r="W879">
        <f t="shared" si="243"/>
        <v>119.31647400052499</v>
      </c>
      <c r="AE879">
        <f t="shared" si="244"/>
        <v>0.88104910937757852</v>
      </c>
      <c r="AF879">
        <f t="shared" si="245"/>
        <v>0.86054830064357613</v>
      </c>
      <c r="AG879">
        <f t="shared" si="246"/>
        <v>0.86536663615972009</v>
      </c>
      <c r="AI879">
        <f t="shared" si="247"/>
        <v>0.30929036429366458</v>
      </c>
      <c r="AJ879">
        <f t="shared" si="248"/>
        <v>18.723462631608232</v>
      </c>
      <c r="AL879">
        <f t="shared" si="249"/>
        <v>0.31665857662632785</v>
      </c>
      <c r="AM879">
        <f t="shared" si="250"/>
        <v>19.626185469210665</v>
      </c>
      <c r="AO879">
        <f t="shared" si="251"/>
        <v>0.31489543115422913</v>
      </c>
      <c r="AP879">
        <f t="shared" si="252"/>
        <v>19.408237899968345</v>
      </c>
    </row>
    <row r="880" spans="1:42" x14ac:dyDescent="0.2">
      <c r="A880" s="3">
        <v>880</v>
      </c>
      <c r="B880" s="3">
        <v>6.5499999999999998E-7</v>
      </c>
      <c r="C880" s="2">
        <v>4.5710000000000001E-2</v>
      </c>
      <c r="D880" s="3">
        <v>260000</v>
      </c>
      <c r="E880" s="3">
        <v>108000000000</v>
      </c>
      <c r="F880" s="3">
        <v>98300000000</v>
      </c>
      <c r="G880" s="3">
        <v>1970000000</v>
      </c>
      <c r="H880" s="3">
        <v>9480000000</v>
      </c>
      <c r="I880" s="2"/>
      <c r="J880" s="7">
        <f t="shared" si="253"/>
        <v>0.65500000000000003</v>
      </c>
      <c r="K880" s="7">
        <f t="shared" si="254"/>
        <v>45.71</v>
      </c>
      <c r="L880" s="7">
        <f t="shared" si="255"/>
        <v>108</v>
      </c>
      <c r="M880" s="7">
        <f t="shared" si="256"/>
        <v>260</v>
      </c>
      <c r="O880">
        <f t="shared" si="257"/>
        <v>0.52314423076923078</v>
      </c>
      <c r="P880">
        <f t="shared" si="258"/>
        <v>523.14423076923083</v>
      </c>
      <c r="V880">
        <f t="shared" si="242"/>
        <v>1023.3946788182212</v>
      </c>
      <c r="W880">
        <f t="shared" si="243"/>
        <v>127.02821569301028</v>
      </c>
      <c r="AE880">
        <f t="shared" si="244"/>
        <v>0.9465816877610348</v>
      </c>
      <c r="AF880">
        <f t="shared" si="245"/>
        <v>0.92455602548483384</v>
      </c>
      <c r="AG880">
        <f t="shared" si="246"/>
        <v>0.92973274959308772</v>
      </c>
      <c r="AI880">
        <f t="shared" si="247"/>
        <v>0.28831813481644775</v>
      </c>
      <c r="AJ880">
        <f t="shared" si="248"/>
        <v>16.238485371887382</v>
      </c>
      <c r="AL880">
        <f t="shared" si="249"/>
        <v>0.29518672654104461</v>
      </c>
      <c r="AM880">
        <f t="shared" si="250"/>
        <v>17.021398868268612</v>
      </c>
      <c r="AO880">
        <f t="shared" si="251"/>
        <v>0.29354313568723162</v>
      </c>
      <c r="AP880">
        <f t="shared" si="252"/>
        <v>16.83237729225921</v>
      </c>
    </row>
    <row r="881" spans="1:42" x14ac:dyDescent="0.2">
      <c r="A881" s="3">
        <v>880</v>
      </c>
      <c r="B881" s="3">
        <v>6.5499999999999998E-7</v>
      </c>
      <c r="C881" s="2">
        <v>4.5760000000000002E-2</v>
      </c>
      <c r="D881" s="3">
        <v>241000</v>
      </c>
      <c r="E881" s="3">
        <v>101000000000</v>
      </c>
      <c r="F881" s="3">
        <v>92100000000</v>
      </c>
      <c r="G881" s="2">
        <v>0</v>
      </c>
      <c r="H881" s="3">
        <v>9680000000</v>
      </c>
      <c r="I881" s="2"/>
      <c r="J881" s="7">
        <f t="shared" si="253"/>
        <v>0.65500000000000003</v>
      </c>
      <c r="K881" s="7">
        <f t="shared" si="254"/>
        <v>45.760000000000005</v>
      </c>
      <c r="L881" s="7">
        <f t="shared" si="255"/>
        <v>101</v>
      </c>
      <c r="M881" s="7">
        <f t="shared" si="256"/>
        <v>241</v>
      </c>
      <c r="O881">
        <f t="shared" si="257"/>
        <v>0.51259336099585062</v>
      </c>
      <c r="P881">
        <f t="shared" si="258"/>
        <v>512.59336099585062</v>
      </c>
      <c r="V881">
        <f t="shared" si="242"/>
        <v>1014.1988372406242</v>
      </c>
      <c r="W881">
        <f t="shared" si="243"/>
        <v>118.81299364121703</v>
      </c>
      <c r="AE881">
        <f t="shared" si="244"/>
        <v>0.87740841057849761</v>
      </c>
      <c r="AF881">
        <f t="shared" si="245"/>
        <v>0.85699231593017289</v>
      </c>
      <c r="AG881">
        <f t="shared" si="246"/>
        <v>0.86179074096897745</v>
      </c>
      <c r="AI881">
        <f t="shared" si="247"/>
        <v>0.31104861017542085</v>
      </c>
      <c r="AJ881">
        <f t="shared" si="248"/>
        <v>18.920513708814749</v>
      </c>
      <c r="AL881">
        <f t="shared" si="249"/>
        <v>0.31845870913141738</v>
      </c>
      <c r="AM881">
        <f t="shared" si="250"/>
        <v>19.832737059814107</v>
      </c>
      <c r="AO881">
        <f t="shared" si="251"/>
        <v>0.31668554057543663</v>
      </c>
      <c r="AP881">
        <f t="shared" si="252"/>
        <v>19.612495748001908</v>
      </c>
    </row>
    <row r="882" spans="1:42" x14ac:dyDescent="0.2">
      <c r="A882" s="3">
        <v>880</v>
      </c>
      <c r="B882" s="3">
        <v>6.5600000000000005E-7</v>
      </c>
      <c r="C882" s="2">
        <v>4.582E-2</v>
      </c>
      <c r="D882" s="3">
        <v>248000</v>
      </c>
      <c r="E882" s="3">
        <v>103000000000</v>
      </c>
      <c r="F882" s="3">
        <v>94200000000</v>
      </c>
      <c r="G882" s="2">
        <v>0</v>
      </c>
      <c r="H882" s="3">
        <v>9610000000</v>
      </c>
      <c r="I882" s="2"/>
      <c r="J882" s="7">
        <f t="shared" si="253"/>
        <v>0.65600000000000003</v>
      </c>
      <c r="K882" s="7">
        <f t="shared" si="254"/>
        <v>45.82</v>
      </c>
      <c r="L882" s="7">
        <f t="shared" si="255"/>
        <v>103</v>
      </c>
      <c r="M882" s="7">
        <f t="shared" si="256"/>
        <v>248</v>
      </c>
      <c r="O882">
        <f t="shared" si="257"/>
        <v>0.51743145161290327</v>
      </c>
      <c r="P882">
        <f t="shared" si="258"/>
        <v>517.43145161290329</v>
      </c>
      <c r="V882">
        <f t="shared" si="242"/>
        <v>1018.4285413044881</v>
      </c>
      <c r="W882">
        <f t="shared" si="243"/>
        <v>121.75621064308592</v>
      </c>
      <c r="AE882">
        <f t="shared" si="244"/>
        <v>0.90289330217206398</v>
      </c>
      <c r="AF882">
        <f t="shared" si="245"/>
        <v>0.88188420892399533</v>
      </c>
      <c r="AG882">
        <f t="shared" si="246"/>
        <v>0.88682200730417593</v>
      </c>
      <c r="AI882">
        <f t="shared" si="247"/>
        <v>0.30273049171566935</v>
      </c>
      <c r="AJ882">
        <f t="shared" si="248"/>
        <v>17.890921751758707</v>
      </c>
      <c r="AL882">
        <f t="shared" si="249"/>
        <v>0.30994242845875747</v>
      </c>
      <c r="AM882">
        <f t="shared" si="250"/>
        <v>18.75350491646704</v>
      </c>
      <c r="AO882">
        <f t="shared" si="251"/>
        <v>0.30821667829853627</v>
      </c>
      <c r="AP882">
        <f t="shared" si="252"/>
        <v>18.545248410498015</v>
      </c>
    </row>
    <row r="883" spans="1:42" x14ac:dyDescent="0.2">
      <c r="A883" s="3">
        <v>880</v>
      </c>
      <c r="B883" s="3">
        <v>6.5600000000000005E-7</v>
      </c>
      <c r="C883" s="2">
        <v>4.5870000000000001E-2</v>
      </c>
      <c r="D883" s="3">
        <v>243000</v>
      </c>
      <c r="E883" s="3">
        <v>101000000000</v>
      </c>
      <c r="F883" s="3">
        <v>92500000000</v>
      </c>
      <c r="G883" s="2">
        <v>0</v>
      </c>
      <c r="H883" s="3">
        <v>9670000000</v>
      </c>
      <c r="I883" s="2"/>
      <c r="J883" s="7">
        <f t="shared" si="253"/>
        <v>0.65600000000000003</v>
      </c>
      <c r="K883" s="7">
        <f t="shared" si="254"/>
        <v>45.870000000000005</v>
      </c>
      <c r="L883" s="7">
        <f t="shared" si="255"/>
        <v>101</v>
      </c>
      <c r="M883" s="7">
        <f t="shared" si="256"/>
        <v>243</v>
      </c>
      <c r="O883">
        <f t="shared" si="257"/>
        <v>0.51442592592592595</v>
      </c>
      <c r="P883">
        <f t="shared" si="258"/>
        <v>514.42592592592598</v>
      </c>
      <c r="V883">
        <f t="shared" si="242"/>
        <v>1015.8035637478988</v>
      </c>
      <c r="W883">
        <f t="shared" si="243"/>
        <v>119.60973985138898</v>
      </c>
      <c r="AE883">
        <f t="shared" si="244"/>
        <v>0.88468980817665943</v>
      </c>
      <c r="AF883">
        <f t="shared" si="245"/>
        <v>0.86410428535697936</v>
      </c>
      <c r="AG883">
        <f t="shared" si="246"/>
        <v>0.86894253135046273</v>
      </c>
      <c r="AI883">
        <f t="shared" si="247"/>
        <v>0.30895951417895473</v>
      </c>
      <c r="AJ883">
        <f t="shared" si="248"/>
        <v>18.655083015838546</v>
      </c>
      <c r="AL883">
        <f t="shared" si="249"/>
        <v>0.31631984468218866</v>
      </c>
      <c r="AM883">
        <f t="shared" si="250"/>
        <v>19.554509035859937</v>
      </c>
      <c r="AO883">
        <f t="shared" si="251"/>
        <v>0.31455858525941149</v>
      </c>
      <c r="AP883">
        <f t="shared" si="252"/>
        <v>19.337357428953005</v>
      </c>
    </row>
    <row r="884" spans="1:42" x14ac:dyDescent="0.2">
      <c r="A884" s="3">
        <v>880</v>
      </c>
      <c r="B884" s="3">
        <v>6.5700000000000002E-7</v>
      </c>
      <c r="C884" s="2">
        <v>4.5920000000000002E-2</v>
      </c>
      <c r="D884" s="3">
        <v>248000</v>
      </c>
      <c r="E884" s="3">
        <v>103000000000</v>
      </c>
      <c r="F884" s="3">
        <v>94100000000</v>
      </c>
      <c r="G884" s="3">
        <v>11000000000</v>
      </c>
      <c r="H884" s="3">
        <v>9620000000</v>
      </c>
      <c r="I884" s="2"/>
      <c r="J884" s="7">
        <f t="shared" si="253"/>
        <v>0.65700000000000003</v>
      </c>
      <c r="K884" s="7">
        <f t="shared" si="254"/>
        <v>45.92</v>
      </c>
      <c r="L884" s="7">
        <f t="shared" si="255"/>
        <v>103</v>
      </c>
      <c r="M884" s="7">
        <f t="shared" si="256"/>
        <v>248</v>
      </c>
      <c r="O884">
        <f t="shared" si="257"/>
        <v>0.5181290322580645</v>
      </c>
      <c r="P884">
        <f t="shared" si="258"/>
        <v>518.12903225806451</v>
      </c>
      <c r="V884">
        <f t="shared" si="242"/>
        <v>1019.0365818240164</v>
      </c>
      <c r="W884">
        <f t="shared" si="243"/>
        <v>121.68356093561155</v>
      </c>
      <c r="AE884">
        <f t="shared" si="244"/>
        <v>0.90289330217206398</v>
      </c>
      <c r="AF884">
        <f t="shared" si="245"/>
        <v>0.88188420892399533</v>
      </c>
      <c r="AG884">
        <f t="shared" si="246"/>
        <v>0.88682200730417593</v>
      </c>
      <c r="AI884">
        <f t="shared" si="247"/>
        <v>0.3031919711237725</v>
      </c>
      <c r="AJ884">
        <f t="shared" si="248"/>
        <v>17.929967848990831</v>
      </c>
      <c r="AL884">
        <f t="shared" si="249"/>
        <v>0.31041490167287145</v>
      </c>
      <c r="AM884">
        <f t="shared" si="250"/>
        <v>18.794433560981371</v>
      </c>
      <c r="AO884">
        <f t="shared" si="251"/>
        <v>0.30868652079594255</v>
      </c>
      <c r="AP884">
        <f t="shared" si="252"/>
        <v>18.585722544960039</v>
      </c>
    </row>
    <row r="885" spans="1:42" x14ac:dyDescent="0.2">
      <c r="A885" s="3">
        <v>880</v>
      </c>
      <c r="B885" s="3">
        <v>6.5799999999999999E-7</v>
      </c>
      <c r="C885" s="2">
        <v>4.5969999999999997E-2</v>
      </c>
      <c r="D885" s="3">
        <v>232000</v>
      </c>
      <c r="E885" s="3">
        <v>97100000000</v>
      </c>
      <c r="F885" s="3">
        <v>89100000000</v>
      </c>
      <c r="G885" s="3">
        <v>5100000000</v>
      </c>
      <c r="H885" s="3">
        <v>9790000000</v>
      </c>
      <c r="I885" s="2"/>
      <c r="J885" s="7">
        <f t="shared" si="253"/>
        <v>0.65800000000000003</v>
      </c>
      <c r="K885" s="7">
        <f t="shared" si="254"/>
        <v>45.97</v>
      </c>
      <c r="L885" s="7">
        <f t="shared" si="255"/>
        <v>97.100000000000009</v>
      </c>
      <c r="M885" s="7">
        <f t="shared" si="256"/>
        <v>232</v>
      </c>
      <c r="O885">
        <f t="shared" si="257"/>
        <v>0.50939008620689652</v>
      </c>
      <c r="P885">
        <f t="shared" si="258"/>
        <v>509.39008620689651</v>
      </c>
      <c r="V885">
        <f t="shared" si="242"/>
        <v>1011.3861251888248</v>
      </c>
      <c r="W885">
        <f t="shared" si="243"/>
        <v>114.69407885968667</v>
      </c>
      <c r="AE885">
        <f t="shared" si="244"/>
        <v>0.84464212138676953</v>
      </c>
      <c r="AF885">
        <f t="shared" si="245"/>
        <v>0.82498845350954408</v>
      </c>
      <c r="AG885">
        <f t="shared" si="246"/>
        <v>0.82960768425229359</v>
      </c>
      <c r="AI885">
        <f t="shared" si="247"/>
        <v>0.32459506780993608</v>
      </c>
      <c r="AJ885">
        <f t="shared" si="248"/>
        <v>20.510654878240459</v>
      </c>
      <c r="AL885">
        <f t="shared" si="249"/>
        <v>0.33232788349988096</v>
      </c>
      <c r="AM885">
        <f t="shared" si="250"/>
        <v>21.499544430192906</v>
      </c>
      <c r="AO885">
        <f t="shared" si="251"/>
        <v>0.33047749179633845</v>
      </c>
      <c r="AP885">
        <f t="shared" si="252"/>
        <v>21.260793326177879</v>
      </c>
    </row>
    <row r="886" spans="1:42" x14ac:dyDescent="0.2">
      <c r="A886" s="3">
        <v>880</v>
      </c>
      <c r="B886" s="3">
        <v>6.5799999999999999E-7</v>
      </c>
      <c r="C886" s="2">
        <v>4.6019999999999998E-2</v>
      </c>
      <c r="D886" s="3">
        <v>263000</v>
      </c>
      <c r="E886" s="3">
        <v>109000000000</v>
      </c>
      <c r="F886" s="3">
        <v>99300000000</v>
      </c>
      <c r="G886" s="3">
        <v>347000000</v>
      </c>
      <c r="H886" s="3">
        <v>9480000000</v>
      </c>
      <c r="I886" s="2"/>
      <c r="J886" s="7">
        <f t="shared" si="253"/>
        <v>0.65800000000000003</v>
      </c>
      <c r="K886" s="7">
        <f t="shared" si="254"/>
        <v>46.019999999999996</v>
      </c>
      <c r="L886" s="7">
        <f t="shared" si="255"/>
        <v>109</v>
      </c>
      <c r="M886" s="7">
        <f t="shared" si="256"/>
        <v>263</v>
      </c>
      <c r="O886">
        <f t="shared" si="257"/>
        <v>0.52676425855513309</v>
      </c>
      <c r="P886">
        <f t="shared" si="258"/>
        <v>526.7642585551331</v>
      </c>
      <c r="V886">
        <f t="shared" si="242"/>
        <v>1026.5259611023337</v>
      </c>
      <c r="W886">
        <f t="shared" si="243"/>
        <v>128.10197207169401</v>
      </c>
      <c r="AE886">
        <f t="shared" si="244"/>
        <v>0.95750378415827753</v>
      </c>
      <c r="AF886">
        <f t="shared" si="245"/>
        <v>0.93522397962504344</v>
      </c>
      <c r="AG886">
        <f t="shared" si="246"/>
        <v>0.94046043516531563</v>
      </c>
      <c r="AI886">
        <f t="shared" si="247"/>
        <v>0.28633481266884092</v>
      </c>
      <c r="AJ886">
        <f t="shared" si="248"/>
        <v>15.977767984913713</v>
      </c>
      <c r="AL886">
        <f t="shared" si="249"/>
        <v>0.29315615578696724</v>
      </c>
      <c r="AM886">
        <f t="shared" si="250"/>
        <v>16.748111395087506</v>
      </c>
      <c r="AO886">
        <f t="shared" si="251"/>
        <v>0.29152387109030614</v>
      </c>
      <c r="AP886">
        <f t="shared" si="252"/>
        <v>16.562124659474247</v>
      </c>
    </row>
    <row r="887" spans="1:42" x14ac:dyDescent="0.2">
      <c r="A887" s="3">
        <v>890</v>
      </c>
      <c r="B887" s="3">
        <v>6.5799999999999999E-7</v>
      </c>
      <c r="C887" s="2">
        <v>4.6080000000000003E-2</v>
      </c>
      <c r="D887" s="3">
        <v>214000</v>
      </c>
      <c r="E887" s="3">
        <v>90200000000</v>
      </c>
      <c r="F887" s="3">
        <v>83200000000</v>
      </c>
      <c r="G887" s="3">
        <v>3710000000</v>
      </c>
      <c r="H887" s="3">
        <v>10100000000</v>
      </c>
      <c r="I887" s="2"/>
      <c r="J887" s="7">
        <f t="shared" si="253"/>
        <v>0.65800000000000003</v>
      </c>
      <c r="K887" s="7">
        <f t="shared" si="254"/>
        <v>46.080000000000005</v>
      </c>
      <c r="L887" s="7">
        <f t="shared" si="255"/>
        <v>90.2</v>
      </c>
      <c r="M887" s="7">
        <f t="shared" si="256"/>
        <v>214</v>
      </c>
      <c r="O887">
        <f t="shared" si="257"/>
        <v>0.49650467289719624</v>
      </c>
      <c r="P887">
        <f t="shared" si="258"/>
        <v>496.50467289719626</v>
      </c>
      <c r="V887">
        <f t="shared" si="242"/>
        <v>999.97108509138548</v>
      </c>
      <c r="W887">
        <f t="shared" si="243"/>
        <v>107.00309398468404</v>
      </c>
      <c r="AE887">
        <f t="shared" si="244"/>
        <v>0.77910954300331325</v>
      </c>
      <c r="AF887">
        <f t="shared" si="245"/>
        <v>0.76098072866828637</v>
      </c>
      <c r="AG887">
        <f t="shared" si="246"/>
        <v>0.76524157081892608</v>
      </c>
      <c r="AI887">
        <f t="shared" si="247"/>
        <v>0.35189745669114564</v>
      </c>
      <c r="AJ887">
        <f t="shared" si="248"/>
        <v>24.163838074220358</v>
      </c>
      <c r="AL887">
        <f t="shared" si="249"/>
        <v>0.36028069613071201</v>
      </c>
      <c r="AM887">
        <f t="shared" si="250"/>
        <v>25.328860212641569</v>
      </c>
      <c r="AO887">
        <f t="shared" si="251"/>
        <v>0.35827466400350705</v>
      </c>
      <c r="AP887">
        <f t="shared" si="252"/>
        <v>25.047584794976537</v>
      </c>
    </row>
    <row r="888" spans="1:42" x14ac:dyDescent="0.2">
      <c r="A888" s="3">
        <v>890</v>
      </c>
      <c r="B888" s="3">
        <v>6.5899999999999996E-7</v>
      </c>
      <c r="C888" s="2">
        <v>4.6129999999999997E-2</v>
      </c>
      <c r="D888" s="3">
        <v>233000</v>
      </c>
      <c r="E888" s="3">
        <v>97100000000</v>
      </c>
      <c r="F888" s="3">
        <v>89100000000</v>
      </c>
      <c r="G888" s="3">
        <v>5650000000</v>
      </c>
      <c r="H888" s="3">
        <v>9810000000</v>
      </c>
      <c r="I888" s="2"/>
      <c r="J888" s="7">
        <f t="shared" si="253"/>
        <v>0.65899999999999992</v>
      </c>
      <c r="K888" s="7">
        <f t="shared" si="254"/>
        <v>46.129999999999995</v>
      </c>
      <c r="L888" s="7">
        <f t="shared" si="255"/>
        <v>97.100000000000009</v>
      </c>
      <c r="M888" s="7">
        <f t="shared" si="256"/>
        <v>233</v>
      </c>
      <c r="O888">
        <f t="shared" si="257"/>
        <v>0.51051287553648061</v>
      </c>
      <c r="P888">
        <f t="shared" si="258"/>
        <v>510.51287553648064</v>
      </c>
      <c r="V888">
        <f t="shared" si="242"/>
        <v>1012.373135629282</v>
      </c>
      <c r="W888">
        <f t="shared" si="243"/>
        <v>115.07614722271809</v>
      </c>
      <c r="AE888">
        <f t="shared" si="244"/>
        <v>0.84828282018585044</v>
      </c>
      <c r="AF888">
        <f t="shared" si="245"/>
        <v>0.82854443822294732</v>
      </c>
      <c r="AG888">
        <f t="shared" si="246"/>
        <v>0.83318357944303623</v>
      </c>
      <c r="AI888">
        <f t="shared" si="247"/>
        <v>0.32369314431379714</v>
      </c>
      <c r="AJ888">
        <f t="shared" si="248"/>
        <v>20.405752068173619</v>
      </c>
      <c r="AL888">
        <f t="shared" si="249"/>
        <v>0.33140447351533314</v>
      </c>
      <c r="AM888">
        <f t="shared" si="250"/>
        <v>21.389583893131903</v>
      </c>
      <c r="AO888">
        <f t="shared" si="251"/>
        <v>0.32955922333093252</v>
      </c>
      <c r="AP888">
        <f t="shared" si="252"/>
        <v>21.152053894043391</v>
      </c>
    </row>
    <row r="889" spans="1:42" x14ac:dyDescent="0.2">
      <c r="A889" s="3">
        <v>890</v>
      </c>
      <c r="B889" s="3">
        <v>6.6000000000000003E-7</v>
      </c>
      <c r="C889" s="2">
        <v>4.6179999999999999E-2</v>
      </c>
      <c r="D889" s="3">
        <v>248000</v>
      </c>
      <c r="E889" s="3">
        <v>103000000000</v>
      </c>
      <c r="F889" s="3">
        <v>94000000000</v>
      </c>
      <c r="G889" s="3">
        <v>5280000000</v>
      </c>
      <c r="H889" s="3">
        <v>9630000000</v>
      </c>
      <c r="I889" s="2"/>
      <c r="J889" s="7">
        <f t="shared" si="253"/>
        <v>0.66</v>
      </c>
      <c r="K889" s="7">
        <f t="shared" si="254"/>
        <v>46.18</v>
      </c>
      <c r="L889" s="7">
        <f t="shared" si="255"/>
        <v>103</v>
      </c>
      <c r="M889" s="7">
        <f t="shared" si="256"/>
        <v>248</v>
      </c>
      <c r="O889">
        <f t="shared" si="257"/>
        <v>0.52034274193548391</v>
      </c>
      <c r="P889">
        <f t="shared" si="258"/>
        <v>520.3427419354839</v>
      </c>
      <c r="V889">
        <f t="shared" si="242"/>
        <v>1020.9631302695885</v>
      </c>
      <c r="W889">
        <f t="shared" si="243"/>
        <v>121.45394512655653</v>
      </c>
      <c r="AE889">
        <f t="shared" si="244"/>
        <v>0.90289330217206398</v>
      </c>
      <c r="AF889">
        <f t="shared" si="245"/>
        <v>0.88188420892399533</v>
      </c>
      <c r="AG889">
        <f t="shared" si="246"/>
        <v>0.88682200730417593</v>
      </c>
      <c r="AI889">
        <f t="shared" si="247"/>
        <v>0.30457640934808194</v>
      </c>
      <c r="AJ889">
        <f t="shared" si="248"/>
        <v>18.031487701794351</v>
      </c>
      <c r="AL889">
        <f t="shared" si="249"/>
        <v>0.31183232131521332</v>
      </c>
      <c r="AM889">
        <f t="shared" si="250"/>
        <v>18.900848036718635</v>
      </c>
      <c r="AO889">
        <f t="shared" si="251"/>
        <v>0.31009604828816151</v>
      </c>
      <c r="AP889">
        <f t="shared" si="252"/>
        <v>18.690955294561292</v>
      </c>
    </row>
    <row r="890" spans="1:42" x14ac:dyDescent="0.2">
      <c r="A890" s="3">
        <v>890</v>
      </c>
      <c r="B890" s="3">
        <v>6.6000000000000003E-7</v>
      </c>
      <c r="C890" s="2">
        <v>4.623E-2</v>
      </c>
      <c r="D890" s="3">
        <v>227000</v>
      </c>
      <c r="E890" s="3">
        <v>95000000000</v>
      </c>
      <c r="F890" s="3">
        <v>87300000000</v>
      </c>
      <c r="G890" s="3">
        <v>6170000000</v>
      </c>
      <c r="H890" s="3">
        <v>9870000000</v>
      </c>
      <c r="I890" s="2"/>
      <c r="J890" s="7">
        <f t="shared" si="253"/>
        <v>0.66</v>
      </c>
      <c r="K890" s="7">
        <f t="shared" si="254"/>
        <v>46.23</v>
      </c>
      <c r="L890" s="7">
        <f t="shared" si="255"/>
        <v>95</v>
      </c>
      <c r="M890" s="7">
        <f t="shared" si="256"/>
        <v>227</v>
      </c>
      <c r="O890">
        <f t="shared" si="257"/>
        <v>0.50725770925110136</v>
      </c>
      <c r="P890">
        <f t="shared" si="258"/>
        <v>507.25770925110135</v>
      </c>
      <c r="V890">
        <f t="shared" si="242"/>
        <v>1009.5082750853227</v>
      </c>
      <c r="W890">
        <f t="shared" si="243"/>
        <v>112.43097535818326</v>
      </c>
      <c r="AE890">
        <f t="shared" si="244"/>
        <v>0.82643862739136498</v>
      </c>
      <c r="AF890">
        <f t="shared" si="245"/>
        <v>0.80720852994252801</v>
      </c>
      <c r="AG890">
        <f t="shared" si="246"/>
        <v>0.81172820829858039</v>
      </c>
      <c r="AI890">
        <f t="shared" si="247"/>
        <v>0.33275308157852129</v>
      </c>
      <c r="AJ890">
        <f t="shared" si="248"/>
        <v>21.545331079455107</v>
      </c>
      <c r="AL890">
        <f t="shared" si="249"/>
        <v>0.34068024531353697</v>
      </c>
      <c r="AM890">
        <f t="shared" si="250"/>
        <v>22.58410594667949</v>
      </c>
      <c r="AO890">
        <f t="shared" si="251"/>
        <v>0.33878334790953324</v>
      </c>
      <c r="AP890">
        <f t="shared" si="252"/>
        <v>22.333310854463964</v>
      </c>
    </row>
    <row r="891" spans="1:42" x14ac:dyDescent="0.2">
      <c r="A891" s="3">
        <v>890</v>
      </c>
      <c r="B891" s="3">
        <v>6.6000000000000003E-7</v>
      </c>
      <c r="C891" s="2">
        <v>4.6289999999999998E-2</v>
      </c>
      <c r="D891" s="3">
        <v>259000</v>
      </c>
      <c r="E891" s="3">
        <v>107000000000</v>
      </c>
      <c r="F891" s="3">
        <v>97600000000</v>
      </c>
      <c r="G891" s="3">
        <v>2280000000</v>
      </c>
      <c r="H891" s="3">
        <v>9540000000</v>
      </c>
      <c r="I891" s="2"/>
      <c r="J891" s="7">
        <f t="shared" si="253"/>
        <v>0.66</v>
      </c>
      <c r="K891" s="7">
        <f t="shared" si="254"/>
        <v>46.29</v>
      </c>
      <c r="L891" s="7">
        <f t="shared" si="255"/>
        <v>107</v>
      </c>
      <c r="M891" s="7">
        <f t="shared" si="256"/>
        <v>259</v>
      </c>
      <c r="O891">
        <f t="shared" si="257"/>
        <v>0.52595559845559847</v>
      </c>
      <c r="P891">
        <f t="shared" si="258"/>
        <v>525.95559845559842</v>
      </c>
      <c r="V891">
        <f t="shared" si="242"/>
        <v>1025.8275216484722</v>
      </c>
      <c r="W891">
        <f t="shared" si="243"/>
        <v>126.23954540807954</v>
      </c>
      <c r="AE891">
        <f t="shared" si="244"/>
        <v>0.94294098896195389</v>
      </c>
      <c r="AF891">
        <f t="shared" si="245"/>
        <v>0.92100004077143061</v>
      </c>
      <c r="AG891">
        <f t="shared" si="246"/>
        <v>0.92615685440234508</v>
      </c>
      <c r="AI891">
        <f t="shared" si="247"/>
        <v>0.29164073173098198</v>
      </c>
      <c r="AJ891">
        <f t="shared" si="248"/>
        <v>16.57176040744385</v>
      </c>
      <c r="AL891">
        <f t="shared" si="249"/>
        <v>0.29858847755279111</v>
      </c>
      <c r="AM891">
        <f t="shared" si="250"/>
        <v>17.37074224501384</v>
      </c>
      <c r="AO891">
        <f t="shared" si="251"/>
        <v>0.29692594585121251</v>
      </c>
      <c r="AP891">
        <f t="shared" si="252"/>
        <v>17.177841232528507</v>
      </c>
    </row>
    <row r="892" spans="1:42" x14ac:dyDescent="0.2">
      <c r="A892" s="3">
        <v>890</v>
      </c>
      <c r="B892" s="3">
        <v>6.61E-7</v>
      </c>
      <c r="C892" s="2">
        <v>4.6339999999999999E-2</v>
      </c>
      <c r="D892" s="3">
        <v>249000</v>
      </c>
      <c r="E892" s="3">
        <v>103000000000</v>
      </c>
      <c r="F892" s="3">
        <v>94300000000</v>
      </c>
      <c r="G892" s="3">
        <v>3070000000</v>
      </c>
      <c r="H892" s="3">
        <v>9630000000</v>
      </c>
      <c r="I892" s="2"/>
      <c r="J892" s="7">
        <f t="shared" si="253"/>
        <v>0.66100000000000003</v>
      </c>
      <c r="K892" s="7">
        <f t="shared" si="254"/>
        <v>46.339999999999996</v>
      </c>
      <c r="L892" s="7">
        <f t="shared" si="255"/>
        <v>103</v>
      </c>
      <c r="M892" s="7">
        <f t="shared" si="256"/>
        <v>249</v>
      </c>
      <c r="O892">
        <f t="shared" si="257"/>
        <v>0.52142168674698797</v>
      </c>
      <c r="P892">
        <f t="shared" si="258"/>
        <v>521.42168674698792</v>
      </c>
      <c r="V892">
        <f t="shared" si="242"/>
        <v>1021.900460302384</v>
      </c>
      <c r="W892">
        <f t="shared" si="243"/>
        <v>121.83182691116511</v>
      </c>
      <c r="AE892">
        <f t="shared" si="244"/>
        <v>0.90653400097114489</v>
      </c>
      <c r="AF892">
        <f t="shared" si="245"/>
        <v>0.88544019363739856</v>
      </c>
      <c r="AG892">
        <f t="shared" si="246"/>
        <v>0.89039790249491857</v>
      </c>
      <c r="AI892">
        <f t="shared" si="247"/>
        <v>0.3038128369941121</v>
      </c>
      <c r="AJ892">
        <f t="shared" si="248"/>
        <v>17.948920266992836</v>
      </c>
      <c r="AL892">
        <f t="shared" si="249"/>
        <v>0.31105055840671958</v>
      </c>
      <c r="AM892">
        <f t="shared" si="250"/>
        <v>18.814299740550602</v>
      </c>
      <c r="AO892">
        <f t="shared" si="251"/>
        <v>0.30931863821213174</v>
      </c>
      <c r="AP892">
        <f t="shared" si="252"/>
        <v>18.60536811184047</v>
      </c>
    </row>
    <row r="893" spans="1:42" x14ac:dyDescent="0.2">
      <c r="A893" s="3">
        <v>890</v>
      </c>
      <c r="B893" s="3">
        <v>6.6199999999999997E-7</v>
      </c>
      <c r="C893" s="2">
        <v>4.6390000000000001E-2</v>
      </c>
      <c r="D893" s="3">
        <v>255000</v>
      </c>
      <c r="E893" s="3">
        <v>106000000000</v>
      </c>
      <c r="F893" s="3">
        <v>96100000000</v>
      </c>
      <c r="G893" s="2">
        <v>0</v>
      </c>
      <c r="H893" s="3">
        <v>9570000000</v>
      </c>
      <c r="I893" s="2"/>
      <c r="J893" s="7">
        <f t="shared" si="253"/>
        <v>0.66199999999999992</v>
      </c>
      <c r="K893" s="7">
        <f t="shared" si="254"/>
        <v>46.39</v>
      </c>
      <c r="L893" s="7">
        <f t="shared" si="255"/>
        <v>106</v>
      </c>
      <c r="M893" s="7">
        <f t="shared" si="256"/>
        <v>255</v>
      </c>
      <c r="O893">
        <f t="shared" si="257"/>
        <v>0.52555882352941174</v>
      </c>
      <c r="P893">
        <f t="shared" si="258"/>
        <v>525.55882352941171</v>
      </c>
      <c r="V893">
        <f t="shared" si="242"/>
        <v>1025.4846085429203</v>
      </c>
      <c r="W893">
        <f t="shared" si="243"/>
        <v>124.33146137723202</v>
      </c>
      <c r="AE893">
        <f t="shared" si="244"/>
        <v>0.92837819376563036</v>
      </c>
      <c r="AF893">
        <f t="shared" si="245"/>
        <v>0.90677610191781788</v>
      </c>
      <c r="AG893">
        <f t="shared" si="246"/>
        <v>0.91185327363937452</v>
      </c>
      <c r="AI893">
        <f t="shared" si="247"/>
        <v>0.29711311099899401</v>
      </c>
      <c r="AJ893">
        <f t="shared" si="248"/>
        <v>17.132668220775166</v>
      </c>
      <c r="AL893">
        <f t="shared" si="249"/>
        <v>0.30419122509950358</v>
      </c>
      <c r="AM893">
        <f t="shared" si="250"/>
        <v>17.958693362398808</v>
      </c>
      <c r="AO893">
        <f t="shared" si="251"/>
        <v>0.30249749746736293</v>
      </c>
      <c r="AP893">
        <f t="shared" si="252"/>
        <v>17.759263189314829</v>
      </c>
    </row>
    <row r="894" spans="1:42" x14ac:dyDescent="0.2">
      <c r="A894" s="3">
        <v>890</v>
      </c>
      <c r="B894" s="3">
        <v>6.6300000000000005E-7</v>
      </c>
      <c r="C894" s="2">
        <v>4.6440000000000002E-2</v>
      </c>
      <c r="D894" s="3">
        <v>231000</v>
      </c>
      <c r="E894" s="3">
        <v>96100000000</v>
      </c>
      <c r="F894" s="3">
        <v>88200000000</v>
      </c>
      <c r="G894" s="3">
        <v>1310000000</v>
      </c>
      <c r="H894" s="3">
        <v>9830000000</v>
      </c>
      <c r="I894" s="2"/>
      <c r="J894" s="7">
        <f t="shared" si="253"/>
        <v>0.66300000000000003</v>
      </c>
      <c r="K894" s="7">
        <f t="shared" si="254"/>
        <v>46.440000000000005</v>
      </c>
      <c r="L894" s="7">
        <f t="shared" si="255"/>
        <v>96.100000000000009</v>
      </c>
      <c r="M894" s="7">
        <f t="shared" si="256"/>
        <v>231</v>
      </c>
      <c r="O894">
        <f t="shared" si="257"/>
        <v>0.51222077922077924</v>
      </c>
      <c r="P894">
        <f t="shared" si="258"/>
        <v>512.22077922077926</v>
      </c>
      <c r="V894">
        <f t="shared" si="242"/>
        <v>1013.8721869817847</v>
      </c>
      <c r="W894">
        <f t="shared" si="243"/>
        <v>113.91968483111678</v>
      </c>
      <c r="AE894">
        <f t="shared" si="244"/>
        <v>0.84100142258768862</v>
      </c>
      <c r="AF894">
        <f t="shared" si="245"/>
        <v>0.82143246879614085</v>
      </c>
      <c r="AG894">
        <f t="shared" si="246"/>
        <v>0.82603178906155095</v>
      </c>
      <c r="AI894">
        <f t="shared" si="247"/>
        <v>0.32847744674438556</v>
      </c>
      <c r="AJ894">
        <f t="shared" si="248"/>
        <v>20.900142363111403</v>
      </c>
      <c r="AL894">
        <f t="shared" si="249"/>
        <v>0.33630275219685579</v>
      </c>
      <c r="AM894">
        <f t="shared" si="250"/>
        <v>21.907810452691809</v>
      </c>
      <c r="AO894">
        <f t="shared" si="251"/>
        <v>0.33443022854343868</v>
      </c>
      <c r="AP894">
        <f t="shared" si="252"/>
        <v>21.664525579883687</v>
      </c>
    </row>
    <row r="895" spans="1:42" x14ac:dyDescent="0.2">
      <c r="A895" s="3">
        <v>890</v>
      </c>
      <c r="B895" s="3">
        <v>6.6400000000000002E-7</v>
      </c>
      <c r="C895" s="2">
        <v>4.6489999999999997E-2</v>
      </c>
      <c r="D895" s="3">
        <v>219000</v>
      </c>
      <c r="E895" s="3">
        <v>91400000000</v>
      </c>
      <c r="F895" s="3">
        <v>84200000000</v>
      </c>
      <c r="G895" s="3">
        <v>14900000000</v>
      </c>
      <c r="H895" s="3">
        <v>9980000000</v>
      </c>
      <c r="I895" s="2"/>
      <c r="J895" s="7">
        <f t="shared" si="253"/>
        <v>0.66400000000000003</v>
      </c>
      <c r="K895" s="7">
        <f t="shared" si="254"/>
        <v>46.489999999999995</v>
      </c>
      <c r="L895" s="7">
        <f t="shared" si="255"/>
        <v>91.4</v>
      </c>
      <c r="M895" s="7">
        <f t="shared" si="256"/>
        <v>219</v>
      </c>
      <c r="O895">
        <f t="shared" si="257"/>
        <v>0.50478767123287671</v>
      </c>
      <c r="P895">
        <f t="shared" si="258"/>
        <v>504.78767123287673</v>
      </c>
      <c r="V895">
        <f t="shared" si="242"/>
        <v>1007.3275635199111</v>
      </c>
      <c r="W895">
        <f t="shared" si="243"/>
        <v>108.70346843024275</v>
      </c>
      <c r="AE895">
        <f t="shared" si="244"/>
        <v>0.79731303699871781</v>
      </c>
      <c r="AF895">
        <f t="shared" si="245"/>
        <v>0.77876065223530233</v>
      </c>
      <c r="AG895">
        <f t="shared" si="246"/>
        <v>0.78312104677263927</v>
      </c>
      <c r="AI895">
        <f t="shared" si="247"/>
        <v>0.34699879950302581</v>
      </c>
      <c r="AJ895">
        <f t="shared" si="248"/>
        <v>23.278356210672619</v>
      </c>
      <c r="AL895">
        <f t="shared" si="249"/>
        <v>0.35526533842271213</v>
      </c>
      <c r="AM895">
        <f t="shared" si="250"/>
        <v>24.400686208423348</v>
      </c>
      <c r="AO895">
        <f t="shared" si="251"/>
        <v>0.35328723165703696</v>
      </c>
      <c r="AP895">
        <f t="shared" si="252"/>
        <v>24.129718105359544</v>
      </c>
    </row>
    <row r="896" spans="1:42" x14ac:dyDescent="0.2">
      <c r="A896" s="3">
        <v>890</v>
      </c>
      <c r="B896" s="3">
        <v>6.6499999999999999E-7</v>
      </c>
      <c r="C896" s="2">
        <v>4.6539999999999998E-2</v>
      </c>
      <c r="D896" s="3">
        <v>230000</v>
      </c>
      <c r="E896" s="3">
        <v>95600000000</v>
      </c>
      <c r="F896" s="3">
        <v>87800000000</v>
      </c>
      <c r="G896" s="2">
        <v>0</v>
      </c>
      <c r="H896" s="3">
        <v>9830000000</v>
      </c>
      <c r="I896" s="2"/>
      <c r="J896" s="7">
        <f t="shared" si="253"/>
        <v>0.66500000000000004</v>
      </c>
      <c r="K896" s="7">
        <f t="shared" si="254"/>
        <v>46.54</v>
      </c>
      <c r="L896" s="7">
        <f t="shared" si="255"/>
        <v>95.600000000000009</v>
      </c>
      <c r="M896" s="7">
        <f t="shared" si="256"/>
        <v>230</v>
      </c>
      <c r="O896">
        <f t="shared" si="257"/>
        <v>0.51323913043478264</v>
      </c>
      <c r="P896">
        <f t="shared" si="258"/>
        <v>513.23913043478262</v>
      </c>
      <c r="V896">
        <f t="shared" si="242"/>
        <v>1014.7646837686349</v>
      </c>
      <c r="W896">
        <f t="shared" si="243"/>
        <v>113.32676613548749</v>
      </c>
      <c r="AE896">
        <f t="shared" si="244"/>
        <v>0.83736072378860771</v>
      </c>
      <c r="AF896">
        <f t="shared" si="245"/>
        <v>0.81787648408273761</v>
      </c>
      <c r="AG896">
        <f t="shared" si="246"/>
        <v>0.82245589387080831</v>
      </c>
      <c r="AI896">
        <f t="shared" si="247"/>
        <v>0.33090079993205324</v>
      </c>
      <c r="AJ896">
        <f t="shared" si="248"/>
        <v>21.127674627639927</v>
      </c>
      <c r="AL896">
        <f t="shared" si="249"/>
        <v>0.33878383683336616</v>
      </c>
      <c r="AM896">
        <f t="shared" si="250"/>
        <v>22.146312833994273</v>
      </c>
      <c r="AO896">
        <f t="shared" si="251"/>
        <v>0.33689749857499074</v>
      </c>
      <c r="AP896">
        <f t="shared" si="252"/>
        <v>21.900379407072311</v>
      </c>
    </row>
    <row r="897" spans="1:42" x14ac:dyDescent="0.2">
      <c r="A897" s="3">
        <v>900</v>
      </c>
      <c r="B897" s="3">
        <v>6.6599999999999996E-7</v>
      </c>
      <c r="C897" s="2">
        <v>4.6600000000000003E-2</v>
      </c>
      <c r="D897" s="3">
        <v>223000</v>
      </c>
      <c r="E897" s="3">
        <v>92800000000</v>
      </c>
      <c r="F897" s="3">
        <v>85400000000</v>
      </c>
      <c r="G897" s="3">
        <v>9600000000</v>
      </c>
      <c r="H897" s="3">
        <v>9920000000</v>
      </c>
      <c r="I897" s="2"/>
      <c r="J897" s="7">
        <f t="shared" si="253"/>
        <v>0.66599999999999993</v>
      </c>
      <c r="K897" s="7">
        <f t="shared" si="254"/>
        <v>46.6</v>
      </c>
      <c r="L897" s="7">
        <f t="shared" si="255"/>
        <v>92.800000000000011</v>
      </c>
      <c r="M897" s="7">
        <f t="shared" si="256"/>
        <v>223</v>
      </c>
      <c r="O897">
        <f t="shared" si="257"/>
        <v>0.50927354260089674</v>
      </c>
      <c r="P897">
        <f t="shared" si="258"/>
        <v>509.27354260089675</v>
      </c>
      <c r="V897">
        <f t="shared" si="242"/>
        <v>1011.2836058111651</v>
      </c>
      <c r="W897">
        <f t="shared" si="243"/>
        <v>110.25591570879293</v>
      </c>
      <c r="AE897">
        <f t="shared" si="244"/>
        <v>0.81187583219504145</v>
      </c>
      <c r="AF897">
        <f t="shared" si="245"/>
        <v>0.79298459108891517</v>
      </c>
      <c r="AG897">
        <f t="shared" si="246"/>
        <v>0.79742462753560983</v>
      </c>
      <c r="AI897">
        <f t="shared" si="247"/>
        <v>0.34180103532547895</v>
      </c>
      <c r="AJ897">
        <f t="shared" si="248"/>
        <v>22.503868617922148</v>
      </c>
      <c r="AL897">
        <f t="shared" si="249"/>
        <v>0.34994374811109624</v>
      </c>
      <c r="AM897">
        <f t="shared" si="250"/>
        <v>23.588857892369095</v>
      </c>
      <c r="AO897">
        <f t="shared" si="251"/>
        <v>0.34799527180091755</v>
      </c>
      <c r="AP897">
        <f t="shared" si="252"/>
        <v>23.326905092274057</v>
      </c>
    </row>
    <row r="898" spans="1:42" x14ac:dyDescent="0.2">
      <c r="A898" s="3">
        <v>900</v>
      </c>
      <c r="B898" s="3">
        <v>6.6599999999999996E-7</v>
      </c>
      <c r="C898" s="2">
        <v>4.6649999999999997E-2</v>
      </c>
      <c r="D898" s="3">
        <v>250000</v>
      </c>
      <c r="E898" s="3">
        <v>104000000000</v>
      </c>
      <c r="F898" s="3">
        <v>94400000000</v>
      </c>
      <c r="G898" s="2">
        <v>0</v>
      </c>
      <c r="H898" s="3">
        <v>9610000000</v>
      </c>
      <c r="I898" s="2"/>
      <c r="J898" s="7">
        <f t="shared" si="253"/>
        <v>0.66599999999999993</v>
      </c>
      <c r="K898" s="7">
        <f t="shared" si="254"/>
        <v>46.65</v>
      </c>
      <c r="L898" s="7">
        <f t="shared" si="255"/>
        <v>104</v>
      </c>
      <c r="M898" s="7">
        <f t="shared" si="256"/>
        <v>250</v>
      </c>
      <c r="O898">
        <f t="shared" si="257"/>
        <v>0.52604999999999991</v>
      </c>
      <c r="P898">
        <f t="shared" si="258"/>
        <v>526.04999999999995</v>
      </c>
      <c r="V898">
        <f t="shared" si="242"/>
        <v>1025.9090870520936</v>
      </c>
      <c r="W898">
        <f t="shared" si="243"/>
        <v>121.84315508812017</v>
      </c>
      <c r="AE898">
        <f t="shared" si="244"/>
        <v>0.9101746997702258</v>
      </c>
      <c r="AF898">
        <f t="shared" si="245"/>
        <v>0.8889961783508018</v>
      </c>
      <c r="AG898">
        <f t="shared" si="246"/>
        <v>0.89397379768566121</v>
      </c>
      <c r="AI898">
        <f t="shared" si="247"/>
        <v>0.30488652351032725</v>
      </c>
      <c r="AJ898">
        <f t="shared" si="248"/>
        <v>17.924730049323724</v>
      </c>
      <c r="AL898">
        <f t="shared" si="249"/>
        <v>0.31214982331509783</v>
      </c>
      <c r="AM898">
        <f t="shared" si="250"/>
        <v>18.788943228891636</v>
      </c>
      <c r="AO898">
        <f t="shared" si="251"/>
        <v>0.31041178244641848</v>
      </c>
      <c r="AP898">
        <f t="shared" si="252"/>
        <v>18.580293182666765</v>
      </c>
    </row>
    <row r="899" spans="1:42" x14ac:dyDescent="0.2">
      <c r="A899" s="3">
        <v>900</v>
      </c>
      <c r="B899" s="3">
        <v>6.6700000000000003E-7</v>
      </c>
      <c r="C899" s="2">
        <v>4.6699999999999998E-2</v>
      </c>
      <c r="D899" s="3">
        <v>245000</v>
      </c>
      <c r="E899" s="3">
        <v>102000000000</v>
      </c>
      <c r="F899" s="3">
        <v>92700000000</v>
      </c>
      <c r="G899" s="3">
        <v>2820000000</v>
      </c>
      <c r="H899" s="3">
        <v>9660000000</v>
      </c>
      <c r="I899" s="2"/>
      <c r="J899" s="7">
        <f t="shared" si="253"/>
        <v>0.66700000000000004</v>
      </c>
      <c r="K899" s="7">
        <f t="shared" si="254"/>
        <v>46.699999999999996</v>
      </c>
      <c r="L899" s="7">
        <f t="shared" si="255"/>
        <v>102</v>
      </c>
      <c r="M899" s="7">
        <f t="shared" si="256"/>
        <v>245</v>
      </c>
      <c r="O899">
        <f t="shared" si="257"/>
        <v>0.52404081632653066</v>
      </c>
      <c r="P899">
        <f t="shared" si="258"/>
        <v>524.0408163265306</v>
      </c>
      <c r="V899">
        <f t="shared" si="242"/>
        <v>1024.1713364912389</v>
      </c>
      <c r="W899">
        <f t="shared" si="243"/>
        <v>119.60889319523336</v>
      </c>
      <c r="AE899">
        <f t="shared" si="244"/>
        <v>0.89197120577482125</v>
      </c>
      <c r="AF899">
        <f t="shared" si="245"/>
        <v>0.87121625478378573</v>
      </c>
      <c r="AG899">
        <f t="shared" si="246"/>
        <v>0.87609432173194801</v>
      </c>
      <c r="AI899">
        <f t="shared" si="247"/>
        <v>0.31157582763588332</v>
      </c>
      <c r="AJ899">
        <f t="shared" si="248"/>
        <v>18.683821302204333</v>
      </c>
      <c r="AL899">
        <f t="shared" si="249"/>
        <v>0.31899848647295809</v>
      </c>
      <c r="AM899">
        <f t="shared" si="250"/>
        <v>19.584632894324564</v>
      </c>
      <c r="AO899">
        <f t="shared" si="251"/>
        <v>0.31722231245290361</v>
      </c>
      <c r="AP899">
        <f t="shared" si="252"/>
        <v>19.367146763842541</v>
      </c>
    </row>
    <row r="900" spans="1:42" x14ac:dyDescent="0.2">
      <c r="A900" s="3">
        <v>900</v>
      </c>
      <c r="B900" s="3">
        <v>6.68E-7</v>
      </c>
      <c r="C900" s="2">
        <v>4.675E-2</v>
      </c>
      <c r="D900" s="3">
        <v>219000</v>
      </c>
      <c r="E900" s="3">
        <v>91200000000</v>
      </c>
      <c r="F900" s="3">
        <v>84000000000</v>
      </c>
      <c r="G900" s="3">
        <v>10100000000</v>
      </c>
      <c r="H900" s="3">
        <v>9980000000</v>
      </c>
      <c r="I900" s="2"/>
      <c r="J900" s="7">
        <f t="shared" si="253"/>
        <v>0.66800000000000004</v>
      </c>
      <c r="K900" s="7">
        <f t="shared" si="254"/>
        <v>46.75</v>
      </c>
      <c r="L900" s="7">
        <f t="shared" si="255"/>
        <v>91.2</v>
      </c>
      <c r="M900" s="7">
        <f t="shared" si="256"/>
        <v>219</v>
      </c>
      <c r="O900">
        <f t="shared" si="257"/>
        <v>0.50789726027397264</v>
      </c>
      <c r="P900">
        <f t="shared" si="258"/>
        <v>507.89726027397262</v>
      </c>
      <c r="V900">
        <f t="shared" si="242"/>
        <v>1010.0719482261225</v>
      </c>
      <c r="W900">
        <f t="shared" si="243"/>
        <v>108.40811903776036</v>
      </c>
      <c r="AE900">
        <f t="shared" si="244"/>
        <v>0.79731303699871781</v>
      </c>
      <c r="AF900">
        <f t="shared" si="245"/>
        <v>0.77876065223530233</v>
      </c>
      <c r="AG900">
        <f t="shared" si="246"/>
        <v>0.78312104677263927</v>
      </c>
      <c r="AI900">
        <f t="shared" si="247"/>
        <v>0.34908915371689947</v>
      </c>
      <c r="AJ900">
        <f t="shared" si="248"/>
        <v>23.408542758635086</v>
      </c>
      <c r="AL900">
        <f t="shared" si="249"/>
        <v>0.35740549106381281</v>
      </c>
      <c r="AM900">
        <f t="shared" si="250"/>
        <v>24.537149499758907</v>
      </c>
      <c r="AO900">
        <f t="shared" si="251"/>
        <v>0.35541546799232032</v>
      </c>
      <c r="AP900">
        <f t="shared" si="252"/>
        <v>24.264665980330367</v>
      </c>
    </row>
    <row r="901" spans="1:42" x14ac:dyDescent="0.2">
      <c r="A901" s="3">
        <v>900</v>
      </c>
      <c r="B901" s="3">
        <v>6.68E-7</v>
      </c>
      <c r="C901" s="2">
        <v>4.6800000000000001E-2</v>
      </c>
      <c r="D901" s="3">
        <v>249000</v>
      </c>
      <c r="E901" s="3">
        <v>103000000000</v>
      </c>
      <c r="F901" s="3">
        <v>93900000000</v>
      </c>
      <c r="G901" s="3">
        <v>11200000000</v>
      </c>
      <c r="H901" s="3">
        <v>9630000000</v>
      </c>
      <c r="I901" s="2"/>
      <c r="J901" s="7">
        <f t="shared" si="253"/>
        <v>0.66800000000000004</v>
      </c>
      <c r="K901" s="7">
        <f t="shared" si="254"/>
        <v>46.800000000000004</v>
      </c>
      <c r="L901" s="7">
        <f t="shared" si="255"/>
        <v>103</v>
      </c>
      <c r="M901" s="7">
        <f t="shared" si="256"/>
        <v>249</v>
      </c>
      <c r="O901">
        <f t="shared" si="257"/>
        <v>0.52703614457831327</v>
      </c>
      <c r="P901">
        <f t="shared" si="258"/>
        <v>527.03614457831327</v>
      </c>
      <c r="V901">
        <f t="shared" ref="V901:V959" si="259">$S$3*(P901^$S$4)</f>
        <v>1026.7606548061401</v>
      </c>
      <c r="W901">
        <f t="shared" ref="W901:W959" si="260">M901/(2*(V901/1000))</f>
        <v>121.25513323599891</v>
      </c>
      <c r="AE901">
        <f t="shared" si="244"/>
        <v>0.90653400097114489</v>
      </c>
      <c r="AF901">
        <f t="shared" si="245"/>
        <v>0.88544019363739856</v>
      </c>
      <c r="AG901">
        <f t="shared" si="246"/>
        <v>0.89039790249491857</v>
      </c>
      <c r="AI901">
        <f t="shared" si="247"/>
        <v>0.30703021953414056</v>
      </c>
      <c r="AJ901">
        <f t="shared" si="248"/>
        <v>18.127092544136058</v>
      </c>
      <c r="AL901">
        <f t="shared" si="249"/>
        <v>0.31434458852600405</v>
      </c>
      <c r="AM901">
        <f t="shared" si="250"/>
        <v>19.001062318898757</v>
      </c>
      <c r="AO901">
        <f t="shared" si="251"/>
        <v>0.31259432727035402</v>
      </c>
      <c r="AP901">
        <f t="shared" si="252"/>
        <v>18.790056703369316</v>
      </c>
    </row>
    <row r="902" spans="1:42" x14ac:dyDescent="0.2">
      <c r="A902" s="3">
        <v>900</v>
      </c>
      <c r="B902" s="3">
        <v>6.6899999999999997E-7</v>
      </c>
      <c r="C902" s="2">
        <v>4.6859999999999999E-2</v>
      </c>
      <c r="D902" s="3">
        <v>247000</v>
      </c>
      <c r="E902" s="3">
        <v>102000000000</v>
      </c>
      <c r="F902" s="3">
        <v>93200000000</v>
      </c>
      <c r="G902" s="3">
        <v>3790000000</v>
      </c>
      <c r="H902" s="3">
        <v>9650000000</v>
      </c>
      <c r="I902" s="2"/>
      <c r="J902" s="7">
        <f t="shared" si="253"/>
        <v>0.66899999999999993</v>
      </c>
      <c r="K902" s="7">
        <f t="shared" si="254"/>
        <v>46.86</v>
      </c>
      <c r="L902" s="7">
        <f t="shared" si="255"/>
        <v>102</v>
      </c>
      <c r="M902" s="7">
        <f t="shared" si="256"/>
        <v>247</v>
      </c>
      <c r="O902">
        <f t="shared" si="257"/>
        <v>0.52671255060728739</v>
      </c>
      <c r="P902">
        <f t="shared" si="258"/>
        <v>526.71255060728743</v>
      </c>
      <c r="V902">
        <f t="shared" si="259"/>
        <v>1026.4813188451765</v>
      </c>
      <c r="W902">
        <f t="shared" si="260"/>
        <v>120.31392849793053</v>
      </c>
      <c r="AE902">
        <f t="shared" si="244"/>
        <v>0.89925260337298307</v>
      </c>
      <c r="AF902">
        <f t="shared" si="245"/>
        <v>0.8783282242105922</v>
      </c>
      <c r="AG902">
        <f t="shared" si="246"/>
        <v>0.88324611211343329</v>
      </c>
      <c r="AI902">
        <f t="shared" si="247"/>
        <v>0.30997964193202654</v>
      </c>
      <c r="AJ902">
        <f t="shared" si="248"/>
        <v>18.445454925133642</v>
      </c>
      <c r="AL902">
        <f t="shared" si="249"/>
        <v>0.31736427489909003</v>
      </c>
      <c r="AM902">
        <f t="shared" si="250"/>
        <v>19.334774050473982</v>
      </c>
      <c r="AO902">
        <f t="shared" si="251"/>
        <v>0.31559720012014131</v>
      </c>
      <c r="AP902">
        <f t="shared" si="252"/>
        <v>19.120062586916227</v>
      </c>
    </row>
    <row r="903" spans="1:42" x14ac:dyDescent="0.2">
      <c r="A903" s="3">
        <v>900</v>
      </c>
      <c r="B903" s="3">
        <v>6.7000000000000004E-7</v>
      </c>
      <c r="C903" s="2">
        <v>4.691E-2</v>
      </c>
      <c r="D903" s="3">
        <v>258000</v>
      </c>
      <c r="E903" s="3">
        <v>106000000000</v>
      </c>
      <c r="F903" s="3">
        <v>96700000000</v>
      </c>
      <c r="G903" s="3">
        <v>7550000000</v>
      </c>
      <c r="H903" s="3">
        <v>9540000000</v>
      </c>
      <c r="I903" s="2"/>
      <c r="J903" s="7">
        <f t="shared" si="253"/>
        <v>0.67</v>
      </c>
      <c r="K903" s="7">
        <f t="shared" si="254"/>
        <v>46.910000000000004</v>
      </c>
      <c r="L903" s="7">
        <f t="shared" si="255"/>
        <v>106</v>
      </c>
      <c r="M903" s="7">
        <f t="shared" si="256"/>
        <v>258</v>
      </c>
      <c r="O903">
        <f t="shared" si="257"/>
        <v>0.53363372093023265</v>
      </c>
      <c r="P903">
        <f t="shared" si="258"/>
        <v>533.6337209302327</v>
      </c>
      <c r="V903">
        <f t="shared" si="259"/>
        <v>1032.4351819872845</v>
      </c>
      <c r="W903">
        <f t="shared" si="260"/>
        <v>124.94731122170221</v>
      </c>
      <c r="AE903">
        <f t="shared" si="244"/>
        <v>0.93930029016287298</v>
      </c>
      <c r="AF903">
        <f t="shared" si="245"/>
        <v>0.91744405605802748</v>
      </c>
      <c r="AG903">
        <f t="shared" si="246"/>
        <v>0.92258095921160244</v>
      </c>
      <c r="AI903">
        <f t="shared" si="247"/>
        <v>0.29720704825744249</v>
      </c>
      <c r="AJ903">
        <f t="shared" si="248"/>
        <v>16.924155776539283</v>
      </c>
      <c r="AL903">
        <f t="shared" si="249"/>
        <v>0.30428740022161049</v>
      </c>
      <c r="AM903">
        <f t="shared" si="250"/>
        <v>17.740127812653569</v>
      </c>
      <c r="AO903">
        <f t="shared" si="251"/>
        <v>0.30259313708927005</v>
      </c>
      <c r="AP903">
        <f t="shared" si="252"/>
        <v>17.543124796408691</v>
      </c>
    </row>
    <row r="904" spans="1:42" x14ac:dyDescent="0.2">
      <c r="A904" s="3">
        <v>900</v>
      </c>
      <c r="B904" s="3">
        <v>6.7000000000000004E-7</v>
      </c>
      <c r="C904" s="2">
        <v>4.6960000000000002E-2</v>
      </c>
      <c r="D904" s="3">
        <v>222000</v>
      </c>
      <c r="E904" s="3">
        <v>92200000000</v>
      </c>
      <c r="F904" s="3">
        <v>84900000000</v>
      </c>
      <c r="G904" s="3">
        <v>1870000000</v>
      </c>
      <c r="H904" s="3">
        <v>9950000000</v>
      </c>
      <c r="I904" s="2"/>
      <c r="J904" s="7">
        <f t="shared" si="253"/>
        <v>0.67</v>
      </c>
      <c r="K904" s="7">
        <f t="shared" si="254"/>
        <v>46.96</v>
      </c>
      <c r="L904" s="7">
        <f t="shared" si="255"/>
        <v>92.2</v>
      </c>
      <c r="M904" s="7">
        <f t="shared" si="256"/>
        <v>222</v>
      </c>
      <c r="O904">
        <f t="shared" si="257"/>
        <v>0.51135135135135146</v>
      </c>
      <c r="P904">
        <f t="shared" si="258"/>
        <v>511.35135135135147</v>
      </c>
      <c r="V904">
        <f t="shared" si="259"/>
        <v>1013.1094262430422</v>
      </c>
      <c r="W904">
        <f t="shared" si="260"/>
        <v>109.56368297906982</v>
      </c>
      <c r="AE904">
        <f t="shared" si="244"/>
        <v>0.80823513339596054</v>
      </c>
      <c r="AF904">
        <f t="shared" si="245"/>
        <v>0.78942860637551204</v>
      </c>
      <c r="AG904">
        <f t="shared" si="246"/>
        <v>0.79384873234486719</v>
      </c>
      <c r="AI904">
        <f t="shared" si="247"/>
        <v>0.34540278581270339</v>
      </c>
      <c r="AJ904">
        <f t="shared" si="248"/>
        <v>22.882482158340288</v>
      </c>
      <c r="AL904">
        <f t="shared" si="249"/>
        <v>0.35363130296025008</v>
      </c>
      <c r="AM904">
        <f t="shared" si="250"/>
        <v>23.985725699975177</v>
      </c>
      <c r="AO904">
        <f t="shared" si="251"/>
        <v>0.35166229445509767</v>
      </c>
      <c r="AP904">
        <f t="shared" si="252"/>
        <v>23.719365707554669</v>
      </c>
    </row>
    <row r="905" spans="1:42" x14ac:dyDescent="0.2">
      <c r="A905" s="3">
        <v>900</v>
      </c>
      <c r="B905" s="3">
        <v>6.7100000000000001E-7</v>
      </c>
      <c r="C905" s="2">
        <v>4.7010000000000003E-2</v>
      </c>
      <c r="D905" s="3">
        <v>232000</v>
      </c>
      <c r="E905" s="3">
        <v>96000000000</v>
      </c>
      <c r="F905" s="3">
        <v>88100000000</v>
      </c>
      <c r="G905" s="3">
        <v>8130000000</v>
      </c>
      <c r="H905" s="3">
        <v>9820000000</v>
      </c>
      <c r="I905" s="2"/>
      <c r="J905" s="7">
        <f t="shared" si="253"/>
        <v>0.67100000000000004</v>
      </c>
      <c r="K905" s="7">
        <f t="shared" si="254"/>
        <v>47.010000000000005</v>
      </c>
      <c r="L905" s="7">
        <f t="shared" si="255"/>
        <v>96</v>
      </c>
      <c r="M905" s="7">
        <f t="shared" si="256"/>
        <v>232</v>
      </c>
      <c r="O905">
        <f t="shared" si="257"/>
        <v>0.51902801724137926</v>
      </c>
      <c r="P905">
        <f t="shared" si="258"/>
        <v>519.0280172413793</v>
      </c>
      <c r="V905">
        <f t="shared" si="259"/>
        <v>1019.8195027579906</v>
      </c>
      <c r="W905">
        <f t="shared" si="260"/>
        <v>113.74561840236498</v>
      </c>
      <c r="AE905">
        <f t="shared" si="244"/>
        <v>0.84464212138676953</v>
      </c>
      <c r="AF905">
        <f t="shared" si="245"/>
        <v>0.82498845350954408</v>
      </c>
      <c r="AG905">
        <f t="shared" si="246"/>
        <v>0.82960768425229359</v>
      </c>
      <c r="AI905">
        <f t="shared" si="247"/>
        <v>0.33100804027426611</v>
      </c>
      <c r="AJ905">
        <f t="shared" si="248"/>
        <v>20.974676654907203</v>
      </c>
      <c r="AL905">
        <f t="shared" si="249"/>
        <v>0.33889363195808525</v>
      </c>
      <c r="AM905">
        <f t="shared" si="250"/>
        <v>21.985938300269058</v>
      </c>
      <c r="AO905">
        <f t="shared" si="251"/>
        <v>0.33700668236374332</v>
      </c>
      <c r="AP905">
        <f t="shared" si="252"/>
        <v>21.741785822571725</v>
      </c>
    </row>
    <row r="906" spans="1:42" x14ac:dyDescent="0.2">
      <c r="A906" s="3">
        <v>900</v>
      </c>
      <c r="B906" s="3">
        <v>6.7199999999999998E-7</v>
      </c>
      <c r="C906" s="2">
        <v>4.7059999999999998E-2</v>
      </c>
      <c r="D906" s="3">
        <v>235000</v>
      </c>
      <c r="E906" s="3">
        <v>97100000000</v>
      </c>
      <c r="F906" s="3">
        <v>89100000000</v>
      </c>
      <c r="G906" s="2">
        <v>0</v>
      </c>
      <c r="H906" s="3">
        <v>9790000000</v>
      </c>
      <c r="I906" s="2"/>
      <c r="J906" s="7">
        <f t="shared" si="253"/>
        <v>0.67199999999999993</v>
      </c>
      <c r="K906" s="7">
        <f t="shared" si="254"/>
        <v>47.059999999999995</v>
      </c>
      <c r="L906" s="7">
        <f t="shared" si="255"/>
        <v>97.100000000000009</v>
      </c>
      <c r="M906" s="7">
        <f t="shared" si="256"/>
        <v>235</v>
      </c>
      <c r="O906">
        <f t="shared" si="257"/>
        <v>0.52180851063829781</v>
      </c>
      <c r="P906">
        <f t="shared" si="258"/>
        <v>521.80851063829778</v>
      </c>
      <c r="V906">
        <f t="shared" si="259"/>
        <v>1022.2362492722108</v>
      </c>
      <c r="W906">
        <f t="shared" si="260"/>
        <v>114.94407489819996</v>
      </c>
      <c r="AE906">
        <f t="shared" si="244"/>
        <v>0.85556421778401226</v>
      </c>
      <c r="AF906">
        <f t="shared" si="245"/>
        <v>0.83565640764975369</v>
      </c>
      <c r="AG906">
        <f t="shared" si="246"/>
        <v>0.84033536982452162</v>
      </c>
      <c r="AI906">
        <f t="shared" si="247"/>
        <v>0.32726941377378427</v>
      </c>
      <c r="AJ906">
        <f t="shared" si="248"/>
        <v>20.464314021834443</v>
      </c>
      <c r="AL906">
        <f t="shared" si="249"/>
        <v>0.33506594030372783</v>
      </c>
      <c r="AM906">
        <f t="shared" si="250"/>
        <v>21.450969320955839</v>
      </c>
      <c r="AO906">
        <f t="shared" si="251"/>
        <v>0.33320030318189442</v>
      </c>
      <c r="AP906">
        <f t="shared" si="252"/>
        <v>21.2127576405084</v>
      </c>
    </row>
    <row r="907" spans="1:42" x14ac:dyDescent="0.2">
      <c r="A907" s="3">
        <v>910</v>
      </c>
      <c r="B907" s="3">
        <v>6.7199999999999998E-7</v>
      </c>
      <c r="C907" s="2">
        <v>4.7120000000000002E-2</v>
      </c>
      <c r="D907" s="3">
        <v>224000</v>
      </c>
      <c r="E907" s="3">
        <v>92800000000</v>
      </c>
      <c r="F907" s="3">
        <v>85500000000</v>
      </c>
      <c r="G907" s="3">
        <v>3000000000</v>
      </c>
      <c r="H907" s="3">
        <v>9930000000</v>
      </c>
      <c r="I907" s="2"/>
      <c r="J907" s="7">
        <f t="shared" si="253"/>
        <v>0.67199999999999993</v>
      </c>
      <c r="K907" s="7">
        <f t="shared" si="254"/>
        <v>47.120000000000005</v>
      </c>
      <c r="L907" s="7">
        <f t="shared" si="255"/>
        <v>92.800000000000011</v>
      </c>
      <c r="M907" s="7">
        <f t="shared" si="256"/>
        <v>224</v>
      </c>
      <c r="O907">
        <f t="shared" si="257"/>
        <v>0.5142321428571428</v>
      </c>
      <c r="P907">
        <f t="shared" si="258"/>
        <v>514.23214285714278</v>
      </c>
      <c r="V907">
        <f t="shared" si="259"/>
        <v>1015.6340239687905</v>
      </c>
      <c r="W907">
        <f t="shared" si="260"/>
        <v>110.27594325989385</v>
      </c>
      <c r="AE907">
        <f t="shared" si="244"/>
        <v>0.81551653099412236</v>
      </c>
      <c r="AF907">
        <f t="shared" si="245"/>
        <v>0.79654057580231841</v>
      </c>
      <c r="AG907">
        <f t="shared" si="246"/>
        <v>0.80100052272635247</v>
      </c>
      <c r="AI907">
        <f t="shared" si="247"/>
        <v>0.34334067962874687</v>
      </c>
      <c r="AJ907">
        <f t="shared" si="248"/>
        <v>22.552268745103355</v>
      </c>
      <c r="AL907">
        <f t="shared" si="249"/>
        <v>0.35152007130078589</v>
      </c>
      <c r="AM907">
        <f t="shared" si="250"/>
        <v>23.639591556941809</v>
      </c>
      <c r="AO907">
        <f t="shared" si="251"/>
        <v>0.34956281807029105</v>
      </c>
      <c r="AP907">
        <f t="shared" si="252"/>
        <v>23.377075362656409</v>
      </c>
    </row>
    <row r="908" spans="1:42" x14ac:dyDescent="0.2">
      <c r="A908" s="3">
        <v>910</v>
      </c>
      <c r="B908" s="3">
        <v>6.7299999999999995E-7</v>
      </c>
      <c r="C908" s="2">
        <v>4.7169999999999997E-2</v>
      </c>
      <c r="D908" s="3">
        <v>235000</v>
      </c>
      <c r="E908" s="3">
        <v>96900000000</v>
      </c>
      <c r="F908" s="3">
        <v>88900000000</v>
      </c>
      <c r="G908" s="2">
        <v>0</v>
      </c>
      <c r="H908" s="3">
        <v>9790000000</v>
      </c>
      <c r="I908" s="2"/>
      <c r="J908" s="7">
        <f t="shared" si="253"/>
        <v>0.67299999999999993</v>
      </c>
      <c r="K908" s="7">
        <f t="shared" si="254"/>
        <v>47.169999999999995</v>
      </c>
      <c r="L908" s="7">
        <f t="shared" si="255"/>
        <v>96.9</v>
      </c>
      <c r="M908" s="7">
        <f t="shared" si="256"/>
        <v>235</v>
      </c>
      <c r="O908">
        <f t="shared" si="257"/>
        <v>0.52245744680851058</v>
      </c>
      <c r="P908">
        <f t="shared" si="258"/>
        <v>522.45744680851055</v>
      </c>
      <c r="V908">
        <f t="shared" si="259"/>
        <v>1022.7992579535899</v>
      </c>
      <c r="W908">
        <f t="shared" si="260"/>
        <v>114.88080293985864</v>
      </c>
      <c r="AE908">
        <f t="shared" si="244"/>
        <v>0.85556421778401226</v>
      </c>
      <c r="AF908">
        <f t="shared" si="245"/>
        <v>0.83565640764975369</v>
      </c>
      <c r="AG908">
        <f t="shared" si="246"/>
        <v>0.84033536982452162</v>
      </c>
      <c r="AI908">
        <f t="shared" si="247"/>
        <v>0.32775642182999526</v>
      </c>
      <c r="AJ908">
        <f t="shared" si="248"/>
        <v>20.512148160007026</v>
      </c>
      <c r="AL908">
        <f t="shared" si="249"/>
        <v>0.33556455033394172</v>
      </c>
      <c r="AM908">
        <f t="shared" si="250"/>
        <v>21.501109708233891</v>
      </c>
      <c r="AO908">
        <f t="shared" si="251"/>
        <v>0.33369613696639128</v>
      </c>
      <c r="AP908">
        <f t="shared" si="252"/>
        <v>21.262341221903551</v>
      </c>
    </row>
    <row r="909" spans="1:42" x14ac:dyDescent="0.2">
      <c r="A909" s="3">
        <v>910</v>
      </c>
      <c r="B909" s="3">
        <v>6.7400000000000003E-7</v>
      </c>
      <c r="C909" s="2">
        <v>4.7219999999999998E-2</v>
      </c>
      <c r="D909" s="3">
        <v>253000</v>
      </c>
      <c r="E909" s="3">
        <v>104000000000</v>
      </c>
      <c r="F909" s="3">
        <v>94700000000</v>
      </c>
      <c r="G909" s="3">
        <v>4420000000</v>
      </c>
      <c r="H909" s="3">
        <v>9600000000</v>
      </c>
      <c r="I909" s="2"/>
      <c r="J909" s="7">
        <f t="shared" si="253"/>
        <v>0.67400000000000004</v>
      </c>
      <c r="K909" s="7">
        <f t="shared" si="254"/>
        <v>47.22</v>
      </c>
      <c r="L909" s="7">
        <f t="shared" si="255"/>
        <v>104</v>
      </c>
      <c r="M909" s="7">
        <f t="shared" si="256"/>
        <v>253</v>
      </c>
      <c r="O909">
        <f t="shared" si="257"/>
        <v>0.53401976284584984</v>
      </c>
      <c r="P909">
        <f t="shared" si="258"/>
        <v>534.01976284584987</v>
      </c>
      <c r="V909">
        <f t="shared" si="259"/>
        <v>1032.7660005370903</v>
      </c>
      <c r="W909">
        <f t="shared" si="260"/>
        <v>122.4866038717518</v>
      </c>
      <c r="AE909">
        <f t="shared" ref="AE909:AE959" si="261">M909/(2*$Y$5)</f>
        <v>0.92109679616746853</v>
      </c>
      <c r="AF909">
        <f t="shared" ref="AF909:AF959" si="262">M909/(2*$Y$8)</f>
        <v>0.8996641324910114</v>
      </c>
      <c r="AG909">
        <f t="shared" ref="AG909:AG959" si="263">M909/(2*$Y$11)</f>
        <v>0.90470148325788913</v>
      </c>
      <c r="AI909">
        <f t="shared" ref="AI909:AI959" si="264">J909/(2.4*AE909)</f>
        <v>0.30489014238442086</v>
      </c>
      <c r="AJ909">
        <f t="shared" ref="AJ909:AJ959" si="265">K909/(3.14159*(AE909^2))</f>
        <v>17.716010681598998</v>
      </c>
      <c r="AL909">
        <f t="shared" ref="AL909:AL959" si="266">J909/(2.4*AF909)</f>
        <v>0.31215352840148841</v>
      </c>
      <c r="AM909">
        <f t="shared" ref="AM909:AM959" si="267">K909/(3.14159*(AF909^2))</f>
        <v>18.570160779161078</v>
      </c>
      <c r="AO909">
        <f t="shared" ref="AO909:AO959" si="268">J909/(2.4*AG909)</f>
        <v>0.31041546690299898</v>
      </c>
      <c r="AP909">
        <f t="shared" ref="AP909:AP959" si="269">K909/(3.14159*(AG909^2))</f>
        <v>18.363940298436159</v>
      </c>
    </row>
    <row r="910" spans="1:42" x14ac:dyDescent="0.2">
      <c r="A910" s="3">
        <v>910</v>
      </c>
      <c r="B910" s="3">
        <v>6.75E-7</v>
      </c>
      <c r="C910" s="2">
        <v>4.727E-2</v>
      </c>
      <c r="D910" s="3">
        <v>231000</v>
      </c>
      <c r="E910" s="3">
        <v>95300000000</v>
      </c>
      <c r="F910" s="3">
        <v>87600000000</v>
      </c>
      <c r="G910" s="3">
        <v>6060000000</v>
      </c>
      <c r="H910" s="3">
        <v>9840000000</v>
      </c>
      <c r="I910" s="2"/>
      <c r="J910" s="7">
        <f t="shared" ref="J910:J959" si="270">B910*(10^6)</f>
        <v>0.67500000000000004</v>
      </c>
      <c r="K910" s="7">
        <f t="shared" ref="K910:K959" si="271">C910*1000</f>
        <v>47.269999999999996</v>
      </c>
      <c r="L910" s="7">
        <f t="shared" ref="L910:L959" si="272">E910*(10^-9)</f>
        <v>95.300000000000011</v>
      </c>
      <c r="M910" s="7">
        <f t="shared" ref="M910:M959" si="273">D910*(10^-3)</f>
        <v>231</v>
      </c>
      <c r="O910">
        <f t="shared" ref="O910:O959" si="274">J910-(0.75*(K910/M910))</f>
        <v>0.52152597402597412</v>
      </c>
      <c r="P910">
        <f t="shared" ref="P910:P959" si="275">O910*1000</f>
        <v>521.52597402597416</v>
      </c>
      <c r="V910">
        <f t="shared" si="259"/>
        <v>1021.9910022819264</v>
      </c>
      <c r="W910">
        <f t="shared" si="260"/>
        <v>113.01469361482518</v>
      </c>
      <c r="AE910">
        <f t="shared" si="261"/>
        <v>0.84100142258768862</v>
      </c>
      <c r="AF910">
        <f t="shared" si="262"/>
        <v>0.82143246879614085</v>
      </c>
      <c r="AG910">
        <f t="shared" si="263"/>
        <v>0.82603178906155095</v>
      </c>
      <c r="AI910">
        <f t="shared" si="264"/>
        <v>0.33442273989813009</v>
      </c>
      <c r="AJ910">
        <f t="shared" si="265"/>
        <v>21.273680652546854</v>
      </c>
      <c r="AL910">
        <f t="shared" si="266"/>
        <v>0.34238967983842783</v>
      </c>
      <c r="AM910">
        <f t="shared" si="267"/>
        <v>22.29935831392639</v>
      </c>
      <c r="AO910">
        <f t="shared" si="268"/>
        <v>0.34048326435417964</v>
      </c>
      <c r="AP910">
        <f t="shared" si="269"/>
        <v>22.051725326466446</v>
      </c>
    </row>
    <row r="911" spans="1:42" x14ac:dyDescent="0.2">
      <c r="A911" s="3">
        <v>910</v>
      </c>
      <c r="B911" s="3">
        <v>6.75E-7</v>
      </c>
      <c r="C911" s="2">
        <v>4.7320000000000001E-2</v>
      </c>
      <c r="D911" s="3">
        <v>258000</v>
      </c>
      <c r="E911" s="3">
        <v>106000000000</v>
      </c>
      <c r="F911" s="3">
        <v>96300000000</v>
      </c>
      <c r="G911" s="3">
        <v>5720000000</v>
      </c>
      <c r="H911" s="3">
        <v>9550000000</v>
      </c>
      <c r="I911" s="2"/>
      <c r="J911" s="7">
        <f t="shared" si="270"/>
        <v>0.67500000000000004</v>
      </c>
      <c r="K911" s="7">
        <f t="shared" si="271"/>
        <v>47.32</v>
      </c>
      <c r="L911" s="7">
        <f t="shared" si="272"/>
        <v>106</v>
      </c>
      <c r="M911" s="7">
        <f t="shared" si="273"/>
        <v>258</v>
      </c>
      <c r="O911">
        <f t="shared" si="274"/>
        <v>0.53744186046511633</v>
      </c>
      <c r="P911">
        <f t="shared" si="275"/>
        <v>537.44186046511629</v>
      </c>
      <c r="V911">
        <f t="shared" si="259"/>
        <v>1035.6927608689264</v>
      </c>
      <c r="W911">
        <f t="shared" si="260"/>
        <v>124.55431270155009</v>
      </c>
      <c r="AE911">
        <f t="shared" si="261"/>
        <v>0.93930029016287298</v>
      </c>
      <c r="AF911">
        <f t="shared" si="262"/>
        <v>0.91744405605802748</v>
      </c>
      <c r="AG911">
        <f t="shared" si="263"/>
        <v>0.92258095921160244</v>
      </c>
      <c r="AI911">
        <f t="shared" si="264"/>
        <v>0.29942501130413979</v>
      </c>
      <c r="AJ911">
        <f t="shared" si="265"/>
        <v>17.072075279169447</v>
      </c>
      <c r="AL911">
        <f t="shared" si="266"/>
        <v>0.30655820171580161</v>
      </c>
      <c r="AM911">
        <f t="shared" si="267"/>
        <v>17.895179025682513</v>
      </c>
      <c r="AO911">
        <f t="shared" si="268"/>
        <v>0.30485129482874224</v>
      </c>
      <c r="AP911">
        <f t="shared" si="269"/>
        <v>17.69645417535833</v>
      </c>
    </row>
    <row r="912" spans="1:42" x14ac:dyDescent="0.2">
      <c r="A912" s="3">
        <v>910</v>
      </c>
      <c r="B912" s="3">
        <v>6.7599999999999997E-7</v>
      </c>
      <c r="C912" s="2">
        <v>4.7379999999999999E-2</v>
      </c>
      <c r="D912" s="3">
        <v>251000</v>
      </c>
      <c r="E912" s="3">
        <v>103000000000</v>
      </c>
      <c r="F912" s="3">
        <v>93800000000</v>
      </c>
      <c r="G912" s="3">
        <v>1270000000</v>
      </c>
      <c r="H912" s="3">
        <v>9610000000</v>
      </c>
      <c r="I912" s="2"/>
      <c r="J912" s="7">
        <f t="shared" si="270"/>
        <v>0.67599999999999993</v>
      </c>
      <c r="K912" s="7">
        <f t="shared" si="271"/>
        <v>47.379999999999995</v>
      </c>
      <c r="L912" s="7">
        <f t="shared" si="272"/>
        <v>103</v>
      </c>
      <c r="M912" s="7">
        <f t="shared" si="273"/>
        <v>251</v>
      </c>
      <c r="O912">
        <f t="shared" si="274"/>
        <v>0.53442629482071702</v>
      </c>
      <c r="P912">
        <f t="shared" si="275"/>
        <v>534.42629482071698</v>
      </c>
      <c r="V912">
        <f t="shared" si="259"/>
        <v>1033.1142340780489</v>
      </c>
      <c r="W912">
        <f t="shared" si="260"/>
        <v>121.47736993672942</v>
      </c>
      <c r="AE912">
        <f t="shared" si="261"/>
        <v>0.91381539856930671</v>
      </c>
      <c r="AF912">
        <f t="shared" si="262"/>
        <v>0.89255216306420504</v>
      </c>
      <c r="AG912">
        <f t="shared" si="263"/>
        <v>0.89754969287640385</v>
      </c>
      <c r="AI912">
        <f t="shared" si="264"/>
        <v>0.30823147334532919</v>
      </c>
      <c r="AJ912">
        <f t="shared" si="265"/>
        <v>18.060451636976136</v>
      </c>
      <c r="AL912">
        <f t="shared" si="266"/>
        <v>0.31557445976006798</v>
      </c>
      <c r="AM912">
        <f t="shared" si="267"/>
        <v>18.931208423308462</v>
      </c>
      <c r="AO912">
        <f t="shared" si="268"/>
        <v>0.3138173506182162</v>
      </c>
      <c r="AP912">
        <f t="shared" si="269"/>
        <v>18.72097853094591</v>
      </c>
    </row>
    <row r="913" spans="1:42" x14ac:dyDescent="0.2">
      <c r="A913" s="3">
        <v>910</v>
      </c>
      <c r="B913" s="3">
        <v>6.7700000000000004E-7</v>
      </c>
      <c r="C913" s="2">
        <v>4.743E-2</v>
      </c>
      <c r="D913" s="3">
        <v>240000</v>
      </c>
      <c r="E913" s="3">
        <v>98700000000</v>
      </c>
      <c r="F913" s="3">
        <v>90400000000</v>
      </c>
      <c r="G913" s="3">
        <v>2420000000</v>
      </c>
      <c r="H913" s="3">
        <v>9720000000</v>
      </c>
      <c r="I913" s="2"/>
      <c r="J913" s="7">
        <f t="shared" si="270"/>
        <v>0.67700000000000005</v>
      </c>
      <c r="K913" s="7">
        <f t="shared" si="271"/>
        <v>47.43</v>
      </c>
      <c r="L913" s="7">
        <f t="shared" si="272"/>
        <v>98.7</v>
      </c>
      <c r="M913" s="7">
        <f t="shared" si="273"/>
        <v>240</v>
      </c>
      <c r="O913">
        <f t="shared" si="274"/>
        <v>0.52878124999999998</v>
      </c>
      <c r="P913">
        <f t="shared" si="275"/>
        <v>528.78125</v>
      </c>
      <c r="V913">
        <f t="shared" si="259"/>
        <v>1028.2654377019271</v>
      </c>
      <c r="W913">
        <f t="shared" si="260"/>
        <v>116.70138429255026</v>
      </c>
      <c r="AE913">
        <f t="shared" si="261"/>
        <v>0.87376771177941681</v>
      </c>
      <c r="AF913">
        <f t="shared" si="262"/>
        <v>0.85343633121676976</v>
      </c>
      <c r="AG913">
        <f t="shared" si="263"/>
        <v>0.85821484577823481</v>
      </c>
      <c r="AI913">
        <f t="shared" si="264"/>
        <v>0.32283561126203009</v>
      </c>
      <c r="AJ913">
        <f t="shared" si="265"/>
        <v>19.774778804916938</v>
      </c>
      <c r="AL913">
        <f t="shared" si="266"/>
        <v>0.33052651148698897</v>
      </c>
      <c r="AM913">
        <f t="shared" si="267"/>
        <v>20.728189228350018</v>
      </c>
      <c r="AO913">
        <f t="shared" si="268"/>
        <v>0.32868614976887095</v>
      </c>
      <c r="AP913">
        <f t="shared" si="269"/>
        <v>20.498003975887141</v>
      </c>
    </row>
    <row r="914" spans="1:42" x14ac:dyDescent="0.2">
      <c r="A914" s="3">
        <v>910</v>
      </c>
      <c r="B914" s="3">
        <v>6.7700000000000004E-7</v>
      </c>
      <c r="C914" s="2">
        <v>4.7480000000000001E-2</v>
      </c>
      <c r="D914" s="3">
        <v>236000</v>
      </c>
      <c r="E914" s="3">
        <v>97200000000</v>
      </c>
      <c r="F914" s="3">
        <v>89100000000</v>
      </c>
      <c r="G914" s="2">
        <v>0</v>
      </c>
      <c r="H914" s="3">
        <v>9770000000</v>
      </c>
      <c r="I914" s="2"/>
      <c r="J914" s="7">
        <f t="shared" si="270"/>
        <v>0.67700000000000005</v>
      </c>
      <c r="K914" s="7">
        <f t="shared" si="271"/>
        <v>47.480000000000004</v>
      </c>
      <c r="L914" s="7">
        <f t="shared" si="272"/>
        <v>97.2</v>
      </c>
      <c r="M914" s="7">
        <f t="shared" si="273"/>
        <v>236</v>
      </c>
      <c r="O914">
        <f t="shared" si="274"/>
        <v>0.52611016949152545</v>
      </c>
      <c r="P914">
        <f t="shared" si="275"/>
        <v>526.11016949152543</v>
      </c>
      <c r="V914">
        <f t="shared" si="259"/>
        <v>1025.961070812531</v>
      </c>
      <c r="W914">
        <f t="shared" si="260"/>
        <v>115.01411053203749</v>
      </c>
      <c r="AE914">
        <f t="shared" si="261"/>
        <v>0.85920491658309317</v>
      </c>
      <c r="AF914">
        <f t="shared" si="262"/>
        <v>0.83921239236315692</v>
      </c>
      <c r="AG914">
        <f t="shared" si="263"/>
        <v>0.84391126501526426</v>
      </c>
      <c r="AI914">
        <f t="shared" si="264"/>
        <v>0.3283074012834204</v>
      </c>
      <c r="AJ914">
        <f t="shared" si="265"/>
        <v>20.472349984654162</v>
      </c>
      <c r="AL914">
        <f t="shared" si="266"/>
        <v>0.33612865574948031</v>
      </c>
      <c r="AM914">
        <f t="shared" si="267"/>
        <v>21.459392725313599</v>
      </c>
      <c r="AO914">
        <f t="shared" si="268"/>
        <v>0.33425710145986876</v>
      </c>
      <c r="AP914">
        <f t="shared" si="269"/>
        <v>21.221087503484547</v>
      </c>
    </row>
    <row r="915" spans="1:42" x14ac:dyDescent="0.2">
      <c r="A915" s="3">
        <v>910</v>
      </c>
      <c r="B915" s="3">
        <v>6.7800000000000001E-7</v>
      </c>
      <c r="C915" s="2">
        <v>4.7530000000000003E-2</v>
      </c>
      <c r="D915" s="3">
        <v>246000</v>
      </c>
      <c r="E915" s="3">
        <v>101000000000</v>
      </c>
      <c r="F915" s="3">
        <v>92300000000</v>
      </c>
      <c r="G915" s="3">
        <v>15400000000</v>
      </c>
      <c r="H915" s="3">
        <v>9670000000</v>
      </c>
      <c r="I915" s="2"/>
      <c r="J915" s="7">
        <f t="shared" si="270"/>
        <v>0.67800000000000005</v>
      </c>
      <c r="K915" s="7">
        <f t="shared" si="271"/>
        <v>47.53</v>
      </c>
      <c r="L915" s="7">
        <f t="shared" si="272"/>
        <v>101</v>
      </c>
      <c r="M915" s="7">
        <f t="shared" si="273"/>
        <v>246</v>
      </c>
      <c r="O915">
        <f t="shared" si="274"/>
        <v>0.5330914634146342</v>
      </c>
      <c r="P915">
        <f t="shared" si="275"/>
        <v>533.09146341463418</v>
      </c>
      <c r="V915">
        <f t="shared" si="259"/>
        <v>1031.970269307014</v>
      </c>
      <c r="W915">
        <f t="shared" si="260"/>
        <v>119.18948021884066</v>
      </c>
      <c r="AE915">
        <f t="shared" si="261"/>
        <v>0.89561190457390216</v>
      </c>
      <c r="AF915">
        <f t="shared" si="262"/>
        <v>0.87477223949718896</v>
      </c>
      <c r="AG915">
        <f t="shared" si="263"/>
        <v>0.87967021692269065</v>
      </c>
      <c r="AI915">
        <f t="shared" si="264"/>
        <v>0.3154268032361659</v>
      </c>
      <c r="AJ915">
        <f t="shared" si="265"/>
        <v>18.861602722046744</v>
      </c>
      <c r="AL915">
        <f t="shared" si="266"/>
        <v>0.32294120371535617</v>
      </c>
      <c r="AM915">
        <f t="shared" si="267"/>
        <v>19.770985770790716</v>
      </c>
      <c r="AO915">
        <f t="shared" si="268"/>
        <v>0.32114307676376341</v>
      </c>
      <c r="AP915">
        <f t="shared" si="269"/>
        <v>19.55143020320331</v>
      </c>
    </row>
    <row r="916" spans="1:42" x14ac:dyDescent="0.2">
      <c r="A916" s="3">
        <v>910</v>
      </c>
      <c r="B916" s="3">
        <v>6.7899999999999998E-7</v>
      </c>
      <c r="C916" s="2">
        <v>4.759E-2</v>
      </c>
      <c r="D916" s="3">
        <v>220000</v>
      </c>
      <c r="E916" s="3">
        <v>90700000000</v>
      </c>
      <c r="F916" s="3">
        <v>83600000000</v>
      </c>
      <c r="G916" s="3">
        <v>1310000000</v>
      </c>
      <c r="H916" s="3">
        <v>9990000000</v>
      </c>
      <c r="I916" s="2"/>
      <c r="J916" s="7">
        <f t="shared" si="270"/>
        <v>0.67899999999999994</v>
      </c>
      <c r="K916" s="7">
        <f t="shared" si="271"/>
        <v>47.59</v>
      </c>
      <c r="L916" s="7">
        <f t="shared" si="272"/>
        <v>90.7</v>
      </c>
      <c r="M916" s="7">
        <f t="shared" si="273"/>
        <v>220</v>
      </c>
      <c r="O916">
        <f t="shared" si="274"/>
        <v>0.5167613636363636</v>
      </c>
      <c r="P916">
        <f t="shared" si="275"/>
        <v>516.76136363636363</v>
      </c>
      <c r="V916">
        <f t="shared" si="259"/>
        <v>1017.844034457398</v>
      </c>
      <c r="W916">
        <f t="shared" si="260"/>
        <v>108.07156723047441</v>
      </c>
      <c r="AE916">
        <f t="shared" si="261"/>
        <v>0.80095373579779872</v>
      </c>
      <c r="AF916">
        <f t="shared" si="262"/>
        <v>0.78231663694870557</v>
      </c>
      <c r="AG916">
        <f t="shared" si="263"/>
        <v>0.78669694196338191</v>
      </c>
      <c r="AI916">
        <f t="shared" si="264"/>
        <v>0.35322472949684719</v>
      </c>
      <c r="AJ916">
        <f t="shared" si="265"/>
        <v>23.613009194749569</v>
      </c>
      <c r="AL916">
        <f t="shared" si="266"/>
        <v>0.36163958850489936</v>
      </c>
      <c r="AM916">
        <f t="shared" si="267"/>
        <v>24.751473969349103</v>
      </c>
      <c r="AO916">
        <f t="shared" si="268"/>
        <v>0.35962599010564789</v>
      </c>
      <c r="AP916">
        <f t="shared" si="269"/>
        <v>24.476610390012869</v>
      </c>
    </row>
    <row r="917" spans="1:42" x14ac:dyDescent="0.2">
      <c r="A917" s="3">
        <v>920</v>
      </c>
      <c r="B917" s="3">
        <v>6.7899999999999998E-7</v>
      </c>
      <c r="C917" s="2">
        <v>4.7640000000000002E-2</v>
      </c>
      <c r="D917" s="3">
        <v>215000</v>
      </c>
      <c r="E917" s="3">
        <v>89000000000</v>
      </c>
      <c r="F917" s="3">
        <v>82200000000</v>
      </c>
      <c r="G917" s="3">
        <v>5500000000</v>
      </c>
      <c r="H917" s="3">
        <v>10100000000</v>
      </c>
      <c r="I917" s="2"/>
      <c r="J917" s="7">
        <f t="shared" si="270"/>
        <v>0.67899999999999994</v>
      </c>
      <c r="K917" s="7">
        <f t="shared" si="271"/>
        <v>47.64</v>
      </c>
      <c r="L917" s="7">
        <f t="shared" si="272"/>
        <v>89</v>
      </c>
      <c r="M917" s="7">
        <f t="shared" si="273"/>
        <v>215</v>
      </c>
      <c r="O917">
        <f t="shared" si="274"/>
        <v>0.512813953488372</v>
      </c>
      <c r="P917">
        <f t="shared" si="275"/>
        <v>512.81395348837202</v>
      </c>
      <c r="V917">
        <f t="shared" si="259"/>
        <v>1014.3921729835324</v>
      </c>
      <c r="W917">
        <f t="shared" si="260"/>
        <v>105.97479245509237</v>
      </c>
      <c r="AE917">
        <f t="shared" si="261"/>
        <v>0.78275024180239416</v>
      </c>
      <c r="AF917">
        <f t="shared" si="262"/>
        <v>0.76453671338168949</v>
      </c>
      <c r="AG917">
        <f t="shared" si="263"/>
        <v>0.76881746600966872</v>
      </c>
      <c r="AI917">
        <f t="shared" si="264"/>
        <v>0.3614392580897971</v>
      </c>
      <c r="AJ917">
        <f t="shared" si="265"/>
        <v>24.750035491789326</v>
      </c>
      <c r="AL917">
        <f t="shared" si="266"/>
        <v>0.37004981149338545</v>
      </c>
      <c r="AM917">
        <f t="shared" si="267"/>
        <v>25.943320233479749</v>
      </c>
      <c r="AO917">
        <f t="shared" si="268"/>
        <v>0.3679893852243839</v>
      </c>
      <c r="AP917">
        <f t="shared" si="269"/>
        <v>25.655221275491588</v>
      </c>
    </row>
    <row r="918" spans="1:42" x14ac:dyDescent="0.2">
      <c r="A918" s="3">
        <v>920</v>
      </c>
      <c r="B918" s="3">
        <v>6.7999999999999995E-7</v>
      </c>
      <c r="C918" s="2">
        <v>4.7690000000000003E-2</v>
      </c>
      <c r="D918" s="3">
        <v>245000</v>
      </c>
      <c r="E918" s="3">
        <v>100000000000</v>
      </c>
      <c r="F918" s="3">
        <v>91900000000</v>
      </c>
      <c r="G918" s="2">
        <v>0</v>
      </c>
      <c r="H918" s="3">
        <v>9680000000</v>
      </c>
      <c r="I918" s="2"/>
      <c r="J918" s="7">
        <f t="shared" si="270"/>
        <v>0.67999999999999994</v>
      </c>
      <c r="K918" s="7">
        <f t="shared" si="271"/>
        <v>47.690000000000005</v>
      </c>
      <c r="L918" s="7">
        <f t="shared" si="272"/>
        <v>100</v>
      </c>
      <c r="M918" s="7">
        <f t="shared" si="273"/>
        <v>245</v>
      </c>
      <c r="O918">
        <f t="shared" si="274"/>
        <v>0.53401020408163258</v>
      </c>
      <c r="P918">
        <f t="shared" si="275"/>
        <v>534.01020408163254</v>
      </c>
      <c r="V918">
        <f t="shared" si="259"/>
        <v>1032.7578107643715</v>
      </c>
      <c r="W918">
        <f t="shared" si="260"/>
        <v>118.61445028368702</v>
      </c>
      <c r="AE918">
        <f t="shared" si="261"/>
        <v>0.89197120577482125</v>
      </c>
      <c r="AF918">
        <f t="shared" si="262"/>
        <v>0.87121625478378573</v>
      </c>
      <c r="AG918">
        <f t="shared" si="263"/>
        <v>0.87609432173194801</v>
      </c>
      <c r="AI918">
        <f t="shared" si="264"/>
        <v>0.31764851992863663</v>
      </c>
      <c r="AJ918">
        <f t="shared" si="265"/>
        <v>19.079902310538007</v>
      </c>
      <c r="AL918">
        <f t="shared" si="266"/>
        <v>0.32521584827827804</v>
      </c>
      <c r="AM918">
        <f t="shared" si="267"/>
        <v>19.999810336838088</v>
      </c>
      <c r="AO918">
        <f t="shared" si="268"/>
        <v>0.32340505617387472</v>
      </c>
      <c r="AP918">
        <f t="shared" si="269"/>
        <v>19.777713686673469</v>
      </c>
    </row>
    <row r="919" spans="1:42" x14ac:dyDescent="0.2">
      <c r="A919" s="3">
        <v>920</v>
      </c>
      <c r="B919" s="3">
        <v>6.8100000000000002E-7</v>
      </c>
      <c r="C919" s="2">
        <v>4.7739999999999998E-2</v>
      </c>
      <c r="D919" s="3">
        <v>235000</v>
      </c>
      <c r="E919" s="3">
        <v>96200000000</v>
      </c>
      <c r="F919" s="3">
        <v>88300000000</v>
      </c>
      <c r="G919" s="3">
        <v>1060000000</v>
      </c>
      <c r="H919" s="3">
        <v>9800000000</v>
      </c>
      <c r="I919" s="2"/>
      <c r="J919" s="7">
        <f t="shared" si="270"/>
        <v>0.68100000000000005</v>
      </c>
      <c r="K919" s="7">
        <f t="shared" si="271"/>
        <v>47.739999999999995</v>
      </c>
      <c r="L919" s="7">
        <f t="shared" si="272"/>
        <v>96.2</v>
      </c>
      <c r="M919" s="7">
        <f t="shared" si="273"/>
        <v>235</v>
      </c>
      <c r="O919">
        <f t="shared" si="274"/>
        <v>0.52863829787234051</v>
      </c>
      <c r="P919">
        <f t="shared" si="275"/>
        <v>528.63829787234056</v>
      </c>
      <c r="V919">
        <f t="shared" si="259"/>
        <v>1028.1422759527886</v>
      </c>
      <c r="W919">
        <f t="shared" si="260"/>
        <v>114.28379393417286</v>
      </c>
      <c r="AE919">
        <f t="shared" si="261"/>
        <v>0.85556421778401226</v>
      </c>
      <c r="AF919">
        <f t="shared" si="262"/>
        <v>0.83565640764975369</v>
      </c>
      <c r="AG919">
        <f t="shared" si="263"/>
        <v>0.84033536982452162</v>
      </c>
      <c r="AI919">
        <f t="shared" si="264"/>
        <v>0.33165248627968319</v>
      </c>
      <c r="AJ919">
        <f t="shared" si="265"/>
        <v>20.760015966901324</v>
      </c>
      <c r="AL919">
        <f t="shared" si="266"/>
        <v>0.33955343057565279</v>
      </c>
      <c r="AM919">
        <f t="shared" si="267"/>
        <v>21.760928078674709</v>
      </c>
      <c r="AO919">
        <f t="shared" si="268"/>
        <v>0.3376628072423663</v>
      </c>
      <c r="AP919">
        <f t="shared" si="269"/>
        <v>21.519274325496621</v>
      </c>
    </row>
    <row r="920" spans="1:42" x14ac:dyDescent="0.2">
      <c r="A920" s="3">
        <v>920</v>
      </c>
      <c r="B920" s="3">
        <v>6.8199999999999999E-7</v>
      </c>
      <c r="C920" s="2">
        <v>4.7789999999999999E-2</v>
      </c>
      <c r="D920" s="3">
        <v>241000</v>
      </c>
      <c r="E920" s="3">
        <v>98600000000</v>
      </c>
      <c r="F920" s="3">
        <v>90300000000</v>
      </c>
      <c r="G920" s="3">
        <v>6800000000</v>
      </c>
      <c r="H920" s="3">
        <v>9720000000</v>
      </c>
      <c r="I920" s="2"/>
      <c r="J920" s="7">
        <f t="shared" si="270"/>
        <v>0.68199999999999994</v>
      </c>
      <c r="K920" s="7">
        <f t="shared" si="271"/>
        <v>47.79</v>
      </c>
      <c r="L920" s="7">
        <f t="shared" si="272"/>
        <v>98.600000000000009</v>
      </c>
      <c r="M920" s="7">
        <f t="shared" si="273"/>
        <v>241</v>
      </c>
      <c r="O920">
        <f t="shared" si="274"/>
        <v>0.5332759336099584</v>
      </c>
      <c r="P920">
        <f t="shared" si="275"/>
        <v>533.27593360995843</v>
      </c>
      <c r="V920">
        <f t="shared" si="259"/>
        <v>1032.1284571671351</v>
      </c>
      <c r="W920">
        <f t="shared" si="260"/>
        <v>116.74903367235338</v>
      </c>
      <c r="AE920">
        <f t="shared" si="261"/>
        <v>0.87740841057849761</v>
      </c>
      <c r="AF920">
        <f t="shared" si="262"/>
        <v>0.85699231593017289</v>
      </c>
      <c r="AG920">
        <f t="shared" si="263"/>
        <v>0.86179074096897745</v>
      </c>
      <c r="AI920">
        <f t="shared" si="264"/>
        <v>0.32387046128188851</v>
      </c>
      <c r="AJ920">
        <f t="shared" si="265"/>
        <v>19.75986342098463</v>
      </c>
      <c r="AL920">
        <f t="shared" si="266"/>
        <v>0.33158601469866661</v>
      </c>
      <c r="AM920">
        <f t="shared" si="267"/>
        <v>20.712554722214076</v>
      </c>
      <c r="AO920">
        <f t="shared" si="268"/>
        <v>0.32973975369839353</v>
      </c>
      <c r="AP920">
        <f t="shared" si="269"/>
        <v>20.482543089969646</v>
      </c>
    </row>
    <row r="921" spans="1:42" x14ac:dyDescent="0.2">
      <c r="A921" s="3">
        <v>920</v>
      </c>
      <c r="B921" s="3">
        <v>6.8199999999999999E-7</v>
      </c>
      <c r="C921" s="2">
        <v>4.7849999999999997E-2</v>
      </c>
      <c r="D921" s="3">
        <v>267000</v>
      </c>
      <c r="E921" s="3">
        <v>109000000000</v>
      </c>
      <c r="F921" s="3">
        <v>98700000000</v>
      </c>
      <c r="G921" s="3">
        <v>3960000000</v>
      </c>
      <c r="H921" s="3">
        <v>9480000000</v>
      </c>
      <c r="I921" s="2"/>
      <c r="J921" s="7">
        <f t="shared" si="270"/>
        <v>0.68199999999999994</v>
      </c>
      <c r="K921" s="7">
        <f t="shared" si="271"/>
        <v>47.849999999999994</v>
      </c>
      <c r="L921" s="7">
        <f t="shared" si="272"/>
        <v>109</v>
      </c>
      <c r="M921" s="7">
        <f t="shared" si="273"/>
        <v>267</v>
      </c>
      <c r="O921">
        <f t="shared" si="274"/>
        <v>0.54758988764044947</v>
      </c>
      <c r="P921">
        <f t="shared" si="275"/>
        <v>547.58988764044943</v>
      </c>
      <c r="V921">
        <f t="shared" si="259"/>
        <v>1044.3113639997</v>
      </c>
      <c r="W921">
        <f t="shared" si="260"/>
        <v>127.83543740125226</v>
      </c>
      <c r="AE921">
        <f t="shared" si="261"/>
        <v>0.97206657935460117</v>
      </c>
      <c r="AF921">
        <f t="shared" si="262"/>
        <v>0.94944791847865628</v>
      </c>
      <c r="AG921">
        <f t="shared" si="263"/>
        <v>0.95476401592828619</v>
      </c>
      <c r="AI921">
        <f t="shared" si="264"/>
        <v>0.29233251374133007</v>
      </c>
      <c r="AJ921">
        <f t="shared" si="265"/>
        <v>16.119086002787338</v>
      </c>
      <c r="AL921">
        <f t="shared" si="266"/>
        <v>0.29929673985909611</v>
      </c>
      <c r="AM921">
        <f t="shared" si="267"/>
        <v>16.896242842966533</v>
      </c>
      <c r="AO921">
        <f t="shared" si="268"/>
        <v>0.29763026457420538</v>
      </c>
      <c r="AP921">
        <f t="shared" si="269"/>
        <v>16.708611116835673</v>
      </c>
    </row>
    <row r="922" spans="1:42" x14ac:dyDescent="0.2">
      <c r="A922" s="3">
        <v>920</v>
      </c>
      <c r="B922" s="3">
        <v>6.8299999999999996E-7</v>
      </c>
      <c r="C922" s="2">
        <v>4.7899999999999998E-2</v>
      </c>
      <c r="D922" s="3">
        <v>254000</v>
      </c>
      <c r="E922" s="3">
        <v>103000000000</v>
      </c>
      <c r="F922" s="3">
        <v>94300000000</v>
      </c>
      <c r="G922" s="2">
        <v>0</v>
      </c>
      <c r="H922" s="3">
        <v>9600000000</v>
      </c>
      <c r="I922" s="2"/>
      <c r="J922" s="7">
        <f t="shared" si="270"/>
        <v>0.68299999999999994</v>
      </c>
      <c r="K922" s="7">
        <f t="shared" si="271"/>
        <v>47.9</v>
      </c>
      <c r="L922" s="7">
        <f t="shared" si="272"/>
        <v>103</v>
      </c>
      <c r="M922" s="7">
        <f t="shared" si="273"/>
        <v>254</v>
      </c>
      <c r="O922">
        <f t="shared" si="274"/>
        <v>0.54156299212598413</v>
      </c>
      <c r="P922">
        <f t="shared" si="275"/>
        <v>541.56299212598412</v>
      </c>
      <c r="V922">
        <f t="shared" si="259"/>
        <v>1039.2036291554182</v>
      </c>
      <c r="W922">
        <f t="shared" si="260"/>
        <v>122.20896505453457</v>
      </c>
      <c r="AE922">
        <f t="shared" si="261"/>
        <v>0.92473749496654944</v>
      </c>
      <c r="AF922">
        <f t="shared" si="262"/>
        <v>0.90322011720441464</v>
      </c>
      <c r="AG922">
        <f t="shared" si="263"/>
        <v>0.90827737844863188</v>
      </c>
      <c r="AI922">
        <f t="shared" si="264"/>
        <v>0.30774499237064845</v>
      </c>
      <c r="AJ922">
        <f t="shared" si="265"/>
        <v>17.829906808152845</v>
      </c>
      <c r="AL922">
        <f t="shared" si="266"/>
        <v>0.31507638936802718</v>
      </c>
      <c r="AM922">
        <f t="shared" si="267"/>
        <v>18.689548231575824</v>
      </c>
      <c r="AO922">
        <f t="shared" si="268"/>
        <v>0.31332205346720315</v>
      </c>
      <c r="AP922">
        <f t="shared" si="269"/>
        <v>18.482001960615573</v>
      </c>
    </row>
    <row r="923" spans="1:42" x14ac:dyDescent="0.2">
      <c r="A923" s="3">
        <v>920</v>
      </c>
      <c r="B923" s="3">
        <v>6.8299999999999996E-7</v>
      </c>
      <c r="C923" s="2">
        <v>4.795E-2</v>
      </c>
      <c r="D923" s="3">
        <v>247000</v>
      </c>
      <c r="E923" s="3">
        <v>101000000000</v>
      </c>
      <c r="F923" s="3">
        <v>92200000000</v>
      </c>
      <c r="G923" s="3">
        <v>8850000000</v>
      </c>
      <c r="H923" s="3">
        <v>9680000000</v>
      </c>
      <c r="I923" s="2"/>
      <c r="J923" s="7">
        <f t="shared" si="270"/>
        <v>0.68299999999999994</v>
      </c>
      <c r="K923" s="7">
        <f t="shared" si="271"/>
        <v>47.95</v>
      </c>
      <c r="L923" s="7">
        <f t="shared" si="272"/>
        <v>101</v>
      </c>
      <c r="M923" s="7">
        <f t="shared" si="273"/>
        <v>247</v>
      </c>
      <c r="O923">
        <f t="shared" si="274"/>
        <v>0.53740283400809707</v>
      </c>
      <c r="P923">
        <f t="shared" si="275"/>
        <v>537.4028340080971</v>
      </c>
      <c r="V923">
        <f t="shared" si="259"/>
        <v>1035.6594419660601</v>
      </c>
      <c r="W923">
        <f t="shared" si="260"/>
        <v>119.2476937839256</v>
      </c>
      <c r="AE923">
        <f t="shared" si="261"/>
        <v>0.89925260337298307</v>
      </c>
      <c r="AF923">
        <f t="shared" si="262"/>
        <v>0.8783282242105922</v>
      </c>
      <c r="AG923">
        <f t="shared" si="263"/>
        <v>0.88324611211343329</v>
      </c>
      <c r="AI923">
        <f t="shared" si="264"/>
        <v>0.31646651037305551</v>
      </c>
      <c r="AJ923">
        <f t="shared" si="265"/>
        <v>18.874510534787841</v>
      </c>
      <c r="AL923">
        <f t="shared" si="266"/>
        <v>0.32400567975497535</v>
      </c>
      <c r="AM923">
        <f t="shared" si="267"/>
        <v>19.784515913790599</v>
      </c>
      <c r="AO923">
        <f t="shared" si="268"/>
        <v>0.32220162583267042</v>
      </c>
      <c r="AP923">
        <f t="shared" si="269"/>
        <v>19.564810094806514</v>
      </c>
    </row>
    <row r="924" spans="1:42" x14ac:dyDescent="0.2">
      <c r="A924" s="3">
        <v>920</v>
      </c>
      <c r="B924" s="3">
        <v>6.8400000000000004E-7</v>
      </c>
      <c r="C924" s="2">
        <v>4.8000000000000001E-2</v>
      </c>
      <c r="D924" s="3">
        <v>248000</v>
      </c>
      <c r="E924" s="3">
        <v>101000000000</v>
      </c>
      <c r="F924" s="3">
        <v>92400000000</v>
      </c>
      <c r="G924" s="2">
        <v>0</v>
      </c>
      <c r="H924" s="3">
        <v>9670000000</v>
      </c>
      <c r="I924" s="2"/>
      <c r="J924" s="7">
        <f t="shared" si="270"/>
        <v>0.68400000000000005</v>
      </c>
      <c r="K924" s="7">
        <f t="shared" si="271"/>
        <v>48</v>
      </c>
      <c r="L924" s="7">
        <f t="shared" si="272"/>
        <v>101</v>
      </c>
      <c r="M924" s="7">
        <f t="shared" si="273"/>
        <v>248</v>
      </c>
      <c r="O924">
        <f t="shared" si="274"/>
        <v>0.53883870967741943</v>
      </c>
      <c r="P924">
        <f t="shared" si="275"/>
        <v>538.83870967741939</v>
      </c>
      <c r="V924">
        <f t="shared" si="259"/>
        <v>1036.8844370851696</v>
      </c>
      <c r="W924">
        <f t="shared" si="260"/>
        <v>119.58902609106732</v>
      </c>
      <c r="AE924">
        <f t="shared" si="261"/>
        <v>0.90289330217206398</v>
      </c>
      <c r="AF924">
        <f t="shared" si="262"/>
        <v>0.88188420892399533</v>
      </c>
      <c r="AG924">
        <f t="shared" si="263"/>
        <v>0.88682200730417593</v>
      </c>
      <c r="AI924">
        <f t="shared" si="264"/>
        <v>0.31565191514255764</v>
      </c>
      <c r="AJ924">
        <f t="shared" si="265"/>
        <v>18.742126671418987</v>
      </c>
      <c r="AL924">
        <f t="shared" si="266"/>
        <v>0.32317167845394834</v>
      </c>
      <c r="AM924">
        <f t="shared" si="267"/>
        <v>19.645749366879482</v>
      </c>
      <c r="AO924">
        <f t="shared" si="268"/>
        <v>0.3213722682259128</v>
      </c>
      <c r="AP924">
        <f t="shared" si="269"/>
        <v>19.427584541770074</v>
      </c>
    </row>
    <row r="925" spans="1:42" x14ac:dyDescent="0.2">
      <c r="A925" s="3">
        <v>920</v>
      </c>
      <c r="B925" s="3">
        <v>6.8500000000000001E-7</v>
      </c>
      <c r="C925" s="2">
        <v>4.8050000000000002E-2</v>
      </c>
      <c r="D925" s="3">
        <v>281000</v>
      </c>
      <c r="E925" s="3">
        <v>114000000000</v>
      </c>
      <c r="F925" s="3">
        <v>103000000000</v>
      </c>
      <c r="G925" s="3">
        <v>14300000000</v>
      </c>
      <c r="H925" s="3">
        <v>9380000000</v>
      </c>
      <c r="I925" s="2"/>
      <c r="J925" s="7">
        <f t="shared" si="270"/>
        <v>0.68500000000000005</v>
      </c>
      <c r="K925" s="7">
        <f t="shared" si="271"/>
        <v>48.050000000000004</v>
      </c>
      <c r="L925" s="7">
        <f t="shared" si="272"/>
        <v>114</v>
      </c>
      <c r="M925" s="7">
        <f t="shared" si="273"/>
        <v>281</v>
      </c>
      <c r="O925">
        <f t="shared" si="274"/>
        <v>0.556752669039146</v>
      </c>
      <c r="P925">
        <f t="shared" si="275"/>
        <v>556.75266903914599</v>
      </c>
      <c r="V925">
        <f t="shared" si="259"/>
        <v>1052.0171011613588</v>
      </c>
      <c r="W925">
        <f t="shared" si="260"/>
        <v>133.55296206202075</v>
      </c>
      <c r="AE925">
        <f t="shared" si="261"/>
        <v>1.0230363625417338</v>
      </c>
      <c r="AF925">
        <f t="shared" si="262"/>
        <v>0.99923170446630116</v>
      </c>
      <c r="AG925">
        <f t="shared" si="263"/>
        <v>1.0048265485986831</v>
      </c>
      <c r="AI925">
        <f t="shared" si="264"/>
        <v>0.27898975746819887</v>
      </c>
      <c r="AJ925">
        <f t="shared" si="265"/>
        <v>14.613752414242928</v>
      </c>
      <c r="AL925">
        <f t="shared" si="266"/>
        <v>0.2856361196216351</v>
      </c>
      <c r="AM925">
        <f t="shared" si="267"/>
        <v>15.31833192001951</v>
      </c>
      <c r="AO925">
        <f t="shared" si="268"/>
        <v>0.28404570626115</v>
      </c>
      <c r="AP925">
        <f t="shared" si="269"/>
        <v>15.148222796570495</v>
      </c>
    </row>
    <row r="926" spans="1:42" x14ac:dyDescent="0.2">
      <c r="A926" s="3">
        <v>920</v>
      </c>
      <c r="B926" s="3">
        <v>6.8599999999999998E-7</v>
      </c>
      <c r="C926" s="2">
        <v>4.811E-2</v>
      </c>
      <c r="D926" s="3">
        <v>267000</v>
      </c>
      <c r="E926" s="3">
        <v>109000000000</v>
      </c>
      <c r="F926" s="3">
        <v>98600000000</v>
      </c>
      <c r="G926" s="3">
        <v>10000000000</v>
      </c>
      <c r="H926" s="3">
        <v>9480000000</v>
      </c>
      <c r="I926" s="2"/>
      <c r="J926" s="7">
        <f t="shared" si="270"/>
        <v>0.68599999999999994</v>
      </c>
      <c r="K926" s="7">
        <f t="shared" si="271"/>
        <v>48.11</v>
      </c>
      <c r="L926" s="7">
        <f t="shared" si="272"/>
        <v>109</v>
      </c>
      <c r="M926" s="7">
        <f t="shared" si="273"/>
        <v>267</v>
      </c>
      <c r="O926">
        <f t="shared" si="274"/>
        <v>0.5508595505617977</v>
      </c>
      <c r="P926">
        <f t="shared" si="275"/>
        <v>550.85955056179773</v>
      </c>
      <c r="V926">
        <f t="shared" si="259"/>
        <v>1047.0692757062263</v>
      </c>
      <c r="W926">
        <f t="shared" si="260"/>
        <v>127.49872725465757</v>
      </c>
      <c r="AE926">
        <f t="shared" si="261"/>
        <v>0.97206657935460117</v>
      </c>
      <c r="AF926">
        <f t="shared" si="262"/>
        <v>0.94944791847865628</v>
      </c>
      <c r="AG926">
        <f t="shared" si="263"/>
        <v>0.95476401592828619</v>
      </c>
      <c r="AI926">
        <f t="shared" si="264"/>
        <v>0.29404707393922641</v>
      </c>
      <c r="AJ926">
        <f t="shared" si="265"/>
        <v>16.206671423074166</v>
      </c>
      <c r="AL926">
        <f t="shared" si="266"/>
        <v>0.30105214595797641</v>
      </c>
      <c r="AM926">
        <f t="shared" si="267"/>
        <v>16.988051059041172</v>
      </c>
      <c r="AO926">
        <f t="shared" si="268"/>
        <v>0.29937589662449399</v>
      </c>
      <c r="AP926">
        <f t="shared" si="269"/>
        <v>16.799399808379608</v>
      </c>
    </row>
    <row r="927" spans="1:42" x14ac:dyDescent="0.2">
      <c r="A927" s="3">
        <v>930</v>
      </c>
      <c r="B927" s="3">
        <v>6.8599999999999998E-7</v>
      </c>
      <c r="C927" s="2">
        <v>4.8160000000000001E-2</v>
      </c>
      <c r="D927" s="3">
        <v>249000</v>
      </c>
      <c r="E927" s="3">
        <v>101000000000</v>
      </c>
      <c r="F927" s="3">
        <v>92600000000</v>
      </c>
      <c r="G927" s="3">
        <v>7320000000</v>
      </c>
      <c r="H927" s="3">
        <v>9660000000</v>
      </c>
      <c r="I927" s="2"/>
      <c r="J927" s="7">
        <f t="shared" si="270"/>
        <v>0.68599999999999994</v>
      </c>
      <c r="K927" s="7">
        <f t="shared" si="271"/>
        <v>48.160000000000004</v>
      </c>
      <c r="L927" s="7">
        <f t="shared" si="272"/>
        <v>101</v>
      </c>
      <c r="M927" s="7">
        <f t="shared" si="273"/>
        <v>249</v>
      </c>
      <c r="O927">
        <f t="shared" si="274"/>
        <v>0.54093975903614455</v>
      </c>
      <c r="P927">
        <f t="shared" si="275"/>
        <v>540.93975903614455</v>
      </c>
      <c r="V927">
        <f t="shared" si="259"/>
        <v>1038.6736427143981</v>
      </c>
      <c r="W927">
        <f t="shared" si="260"/>
        <v>119.86440675883551</v>
      </c>
      <c r="AE927">
        <f t="shared" si="261"/>
        <v>0.90653400097114489</v>
      </c>
      <c r="AF927">
        <f t="shared" si="262"/>
        <v>0.88544019363739856</v>
      </c>
      <c r="AG927">
        <f t="shared" si="263"/>
        <v>0.89039790249491857</v>
      </c>
      <c r="AI927">
        <f t="shared" si="264"/>
        <v>0.31530348892278498</v>
      </c>
      <c r="AJ927">
        <f t="shared" si="265"/>
        <v>18.653862754820352</v>
      </c>
      <c r="AL927">
        <f t="shared" si="266"/>
        <v>0.32281495168987834</v>
      </c>
      <c r="AM927">
        <f t="shared" si="267"/>
        <v>19.553229941841114</v>
      </c>
      <c r="AO927">
        <f t="shared" si="268"/>
        <v>0.32101752770578268</v>
      </c>
      <c r="AP927">
        <f t="shared" si="269"/>
        <v>19.336092539193725</v>
      </c>
    </row>
    <row r="928" spans="1:42" x14ac:dyDescent="0.2">
      <c r="A928" s="3">
        <v>930</v>
      </c>
      <c r="B928" s="3">
        <v>6.8700000000000005E-7</v>
      </c>
      <c r="C928" s="2">
        <v>4.8210000000000003E-2</v>
      </c>
      <c r="D928" s="3">
        <v>209000</v>
      </c>
      <c r="E928" s="3">
        <v>86100000000</v>
      </c>
      <c r="F928" s="3">
        <v>79800000000</v>
      </c>
      <c r="G928" s="3">
        <v>3420000000</v>
      </c>
      <c r="H928" s="3">
        <v>10200000000</v>
      </c>
      <c r="I928" s="2"/>
      <c r="J928" s="7">
        <f t="shared" si="270"/>
        <v>0.68700000000000006</v>
      </c>
      <c r="K928" s="7">
        <f t="shared" si="271"/>
        <v>48.21</v>
      </c>
      <c r="L928" s="7">
        <f t="shared" si="272"/>
        <v>86.100000000000009</v>
      </c>
      <c r="M928" s="7">
        <f t="shared" si="273"/>
        <v>209</v>
      </c>
      <c r="O928">
        <f t="shared" si="274"/>
        <v>0.5139976076555024</v>
      </c>
      <c r="P928">
        <f t="shared" si="275"/>
        <v>513.99760765550241</v>
      </c>
      <c r="V928">
        <f t="shared" si="259"/>
        <v>1015.4287827606939</v>
      </c>
      <c r="W928">
        <f t="shared" si="260"/>
        <v>102.91219017437238</v>
      </c>
      <c r="AE928">
        <f t="shared" si="261"/>
        <v>0.76090604900790881</v>
      </c>
      <c r="AF928">
        <f t="shared" si="262"/>
        <v>0.74320080510127029</v>
      </c>
      <c r="AG928">
        <f t="shared" si="263"/>
        <v>0.74736209486521277</v>
      </c>
      <c r="AI928">
        <f t="shared" si="264"/>
        <v>0.37619624705733518</v>
      </c>
      <c r="AJ928">
        <f t="shared" si="265"/>
        <v>26.504862302687641</v>
      </c>
      <c r="AL928">
        <f t="shared" si="266"/>
        <v>0.38515835563578937</v>
      </c>
      <c r="AM928">
        <f t="shared" si="267"/>
        <v>27.782753309223587</v>
      </c>
      <c r="AO928">
        <f t="shared" si="268"/>
        <v>0.38301380544543862</v>
      </c>
      <c r="AP928">
        <f t="shared" si="269"/>
        <v>27.474227561308719</v>
      </c>
    </row>
    <row r="929" spans="1:42" x14ac:dyDescent="0.2">
      <c r="A929" s="3">
        <v>930</v>
      </c>
      <c r="B929" s="3">
        <v>6.8800000000000002E-7</v>
      </c>
      <c r="C929" s="2">
        <v>4.8259999999999997E-2</v>
      </c>
      <c r="D929" s="3">
        <v>246000</v>
      </c>
      <c r="E929" s="3">
        <v>100000000000</v>
      </c>
      <c r="F929" s="3">
        <v>91600000000</v>
      </c>
      <c r="G929" s="3">
        <v>41300000</v>
      </c>
      <c r="H929" s="3">
        <v>9690000000</v>
      </c>
      <c r="I929" s="2"/>
      <c r="J929" s="7">
        <f t="shared" si="270"/>
        <v>0.68800000000000006</v>
      </c>
      <c r="K929" s="7">
        <f t="shared" si="271"/>
        <v>48.26</v>
      </c>
      <c r="L929" s="7">
        <f t="shared" si="272"/>
        <v>100</v>
      </c>
      <c r="M929" s="7">
        <f t="shared" si="273"/>
        <v>246</v>
      </c>
      <c r="O929">
        <f t="shared" si="274"/>
        <v>0.54086585365853668</v>
      </c>
      <c r="P929">
        <f t="shared" si="275"/>
        <v>540.86585365853671</v>
      </c>
      <c r="V929">
        <f t="shared" si="259"/>
        <v>1038.6107723313967</v>
      </c>
      <c r="W929">
        <f t="shared" si="260"/>
        <v>118.42742563116181</v>
      </c>
      <c r="AE929">
        <f t="shared" si="261"/>
        <v>0.89561190457390216</v>
      </c>
      <c r="AF929">
        <f t="shared" si="262"/>
        <v>0.87477223949718896</v>
      </c>
      <c r="AG929">
        <f t="shared" si="263"/>
        <v>0.87967021692269065</v>
      </c>
      <c r="AI929">
        <f t="shared" si="264"/>
        <v>0.32007911596826277</v>
      </c>
      <c r="AJ929">
        <f t="shared" si="265"/>
        <v>19.151292812244385</v>
      </c>
      <c r="AL929">
        <f t="shared" si="266"/>
        <v>0.32770434831292783</v>
      </c>
      <c r="AM929">
        <f t="shared" si="267"/>
        <v>20.074642821341467</v>
      </c>
      <c r="AO929">
        <f t="shared" si="268"/>
        <v>0.32587970031485136</v>
      </c>
      <c r="AP929">
        <f t="shared" si="269"/>
        <v>19.851715161089661</v>
      </c>
    </row>
    <row r="930" spans="1:42" x14ac:dyDescent="0.2">
      <c r="A930" s="3">
        <v>930</v>
      </c>
      <c r="B930" s="3">
        <v>6.8899999999999999E-7</v>
      </c>
      <c r="C930" s="2">
        <v>4.8309999999999999E-2</v>
      </c>
      <c r="D930" s="3">
        <v>254000</v>
      </c>
      <c r="E930" s="3">
        <v>103000000000</v>
      </c>
      <c r="F930" s="3">
        <v>94100000000</v>
      </c>
      <c r="G930" s="2">
        <v>0</v>
      </c>
      <c r="H930" s="3">
        <v>9590000000</v>
      </c>
      <c r="I930" s="2"/>
      <c r="J930" s="7">
        <f t="shared" si="270"/>
        <v>0.68899999999999995</v>
      </c>
      <c r="K930" s="7">
        <f t="shared" si="271"/>
        <v>48.31</v>
      </c>
      <c r="L930" s="7">
        <f t="shared" si="272"/>
        <v>103</v>
      </c>
      <c r="M930" s="7">
        <f t="shared" si="273"/>
        <v>254</v>
      </c>
      <c r="O930">
        <f t="shared" si="274"/>
        <v>0.54635236220472438</v>
      </c>
      <c r="P930">
        <f t="shared" si="275"/>
        <v>546.35236220472439</v>
      </c>
      <c r="V930">
        <f t="shared" si="259"/>
        <v>1043.2651377323023</v>
      </c>
      <c r="W930">
        <f t="shared" si="260"/>
        <v>121.73319648738008</v>
      </c>
      <c r="AE930">
        <f t="shared" si="261"/>
        <v>0.92473749496654944</v>
      </c>
      <c r="AF930">
        <f t="shared" si="262"/>
        <v>0.90322011720441464</v>
      </c>
      <c r="AG930">
        <f t="shared" si="263"/>
        <v>0.90827737844863188</v>
      </c>
      <c r="AI930">
        <f t="shared" si="264"/>
        <v>0.31044846228898509</v>
      </c>
      <c r="AJ930">
        <f t="shared" si="265"/>
        <v>17.982521876865636</v>
      </c>
      <c r="AL930">
        <f t="shared" si="266"/>
        <v>0.31784426394519877</v>
      </c>
      <c r="AM930">
        <f t="shared" si="267"/>
        <v>18.849521400155076</v>
      </c>
      <c r="AO930">
        <f t="shared" si="268"/>
        <v>0.3160745166016149</v>
      </c>
      <c r="AP930">
        <f t="shared" si="269"/>
        <v>18.640198637105183</v>
      </c>
    </row>
    <row r="931" spans="1:42" x14ac:dyDescent="0.2">
      <c r="A931" s="3">
        <v>930</v>
      </c>
      <c r="B931" s="3">
        <v>6.8899999999999999E-7</v>
      </c>
      <c r="C931" s="2">
        <v>4.8370000000000003E-2</v>
      </c>
      <c r="D931" s="3">
        <v>252000</v>
      </c>
      <c r="E931" s="3">
        <v>102000000000</v>
      </c>
      <c r="F931" s="3">
        <v>93500000000</v>
      </c>
      <c r="G931" s="2">
        <v>0</v>
      </c>
      <c r="H931" s="3">
        <v>9620000000</v>
      </c>
      <c r="I931" s="2"/>
      <c r="J931" s="7">
        <f t="shared" si="270"/>
        <v>0.68899999999999995</v>
      </c>
      <c r="K931" s="7">
        <f t="shared" si="271"/>
        <v>48.370000000000005</v>
      </c>
      <c r="L931" s="7">
        <f t="shared" si="272"/>
        <v>102</v>
      </c>
      <c r="M931" s="7">
        <f t="shared" si="273"/>
        <v>252</v>
      </c>
      <c r="O931">
        <f t="shared" si="274"/>
        <v>0.54504166666666665</v>
      </c>
      <c r="P931">
        <f t="shared" si="275"/>
        <v>545.04166666666663</v>
      </c>
      <c r="V931">
        <f t="shared" si="259"/>
        <v>1042.1556118476558</v>
      </c>
      <c r="W931">
        <f t="shared" si="260"/>
        <v>120.90324954122006</v>
      </c>
      <c r="AE931">
        <f t="shared" si="261"/>
        <v>0.91745609736838762</v>
      </c>
      <c r="AF931">
        <f t="shared" si="262"/>
        <v>0.89610814777760817</v>
      </c>
      <c r="AG931">
        <f t="shared" si="263"/>
        <v>0.90112558806714649</v>
      </c>
      <c r="AI931">
        <f t="shared" si="264"/>
        <v>0.31291233897381826</v>
      </c>
      <c r="AJ931">
        <f t="shared" si="265"/>
        <v>18.29178124380137</v>
      </c>
      <c r="AL931">
        <f t="shared" si="266"/>
        <v>0.32036683746857336</v>
      </c>
      <c r="AM931">
        <f t="shared" si="267"/>
        <v>19.173691229902538</v>
      </c>
      <c r="AO931">
        <f t="shared" si="268"/>
        <v>0.31858304451115149</v>
      </c>
      <c r="AP931">
        <f t="shared" si="269"/>
        <v>18.960768581050793</v>
      </c>
    </row>
    <row r="932" spans="1:42" x14ac:dyDescent="0.2">
      <c r="A932" s="3">
        <v>930</v>
      </c>
      <c r="B932" s="3">
        <v>6.8999999999999996E-7</v>
      </c>
      <c r="C932" s="2">
        <v>4.8419999999999998E-2</v>
      </c>
      <c r="D932" s="3">
        <v>264000</v>
      </c>
      <c r="E932" s="3">
        <v>107000000000</v>
      </c>
      <c r="F932" s="3">
        <v>97300000000</v>
      </c>
      <c r="G932" s="2">
        <v>0</v>
      </c>
      <c r="H932" s="3">
        <v>9510000000</v>
      </c>
      <c r="I932" s="2"/>
      <c r="J932" s="7">
        <f t="shared" si="270"/>
        <v>0.69</v>
      </c>
      <c r="K932" s="7">
        <f t="shared" si="271"/>
        <v>48.419999999999995</v>
      </c>
      <c r="L932" s="7">
        <f t="shared" si="272"/>
        <v>107</v>
      </c>
      <c r="M932" s="7">
        <f t="shared" si="273"/>
        <v>264</v>
      </c>
      <c r="O932">
        <f t="shared" si="274"/>
        <v>0.55244318181818175</v>
      </c>
      <c r="P932">
        <f t="shared" si="275"/>
        <v>552.44318181818176</v>
      </c>
      <c r="V932">
        <f t="shared" si="259"/>
        <v>1048.4017676976175</v>
      </c>
      <c r="W932">
        <f t="shared" si="260"/>
        <v>125.90593040479472</v>
      </c>
      <c r="AE932">
        <f t="shared" si="261"/>
        <v>0.96114448295735844</v>
      </c>
      <c r="AF932">
        <f t="shared" si="262"/>
        <v>0.93877996433844668</v>
      </c>
      <c r="AG932">
        <f t="shared" si="263"/>
        <v>0.94403633035605827</v>
      </c>
      <c r="AI932">
        <f t="shared" si="264"/>
        <v>0.29912256179777191</v>
      </c>
      <c r="AJ932">
        <f t="shared" si="265"/>
        <v>16.683913304758441</v>
      </c>
      <c r="AL932">
        <f t="shared" si="266"/>
        <v>0.30624854696659376</v>
      </c>
      <c r="AM932">
        <f t="shared" si="267"/>
        <v>17.488302421083496</v>
      </c>
      <c r="AO932">
        <f t="shared" si="268"/>
        <v>0.30454336422790512</v>
      </c>
      <c r="AP932">
        <f t="shared" si="269"/>
        <v>17.294095910153025</v>
      </c>
    </row>
    <row r="933" spans="1:42" x14ac:dyDescent="0.2">
      <c r="A933" s="3">
        <v>930</v>
      </c>
      <c r="B933" s="3">
        <v>6.9100000000000003E-7</v>
      </c>
      <c r="C933" s="2">
        <v>4.8469999999999999E-2</v>
      </c>
      <c r="D933" s="3">
        <v>243000</v>
      </c>
      <c r="E933" s="3">
        <v>98600000000</v>
      </c>
      <c r="F933" s="3">
        <v>90300000000</v>
      </c>
      <c r="G933" s="3">
        <v>7320000000</v>
      </c>
      <c r="H933" s="3">
        <v>9720000000</v>
      </c>
      <c r="I933" s="2"/>
      <c r="J933" s="7">
        <f t="shared" si="270"/>
        <v>0.69100000000000006</v>
      </c>
      <c r="K933" s="7">
        <f t="shared" si="271"/>
        <v>48.47</v>
      </c>
      <c r="L933" s="7">
        <f t="shared" si="272"/>
        <v>98.600000000000009</v>
      </c>
      <c r="M933" s="7">
        <f t="shared" si="273"/>
        <v>243</v>
      </c>
      <c r="O933">
        <f t="shared" si="274"/>
        <v>0.54140123456790135</v>
      </c>
      <c r="P933">
        <f t="shared" si="275"/>
        <v>541.40123456790138</v>
      </c>
      <c r="V933">
        <f t="shared" si="259"/>
        <v>1039.0661060344278</v>
      </c>
      <c r="W933">
        <f t="shared" si="260"/>
        <v>116.93192501842063</v>
      </c>
      <c r="AE933">
        <f t="shared" si="261"/>
        <v>0.88468980817665943</v>
      </c>
      <c r="AF933">
        <f t="shared" si="262"/>
        <v>0.86410428535697936</v>
      </c>
      <c r="AG933">
        <f t="shared" si="263"/>
        <v>0.86894253135046273</v>
      </c>
      <c r="AI933">
        <f t="shared" si="264"/>
        <v>0.32544363460008796</v>
      </c>
      <c r="AJ933">
        <f t="shared" si="265"/>
        <v>19.712489072982216</v>
      </c>
      <c r="AL933">
        <f t="shared" si="266"/>
        <v>0.33319666566370792</v>
      </c>
      <c r="AM933">
        <f t="shared" si="267"/>
        <v>20.662896293179223</v>
      </c>
      <c r="AO933">
        <f t="shared" si="268"/>
        <v>0.33134143660709353</v>
      </c>
      <c r="AP933">
        <f t="shared" si="269"/>
        <v>20.433436114701372</v>
      </c>
    </row>
    <row r="934" spans="1:42" x14ac:dyDescent="0.2">
      <c r="A934" s="3">
        <v>930</v>
      </c>
      <c r="B934" s="3">
        <v>6.9100000000000003E-7</v>
      </c>
      <c r="C934" s="2">
        <v>4.8520000000000001E-2</v>
      </c>
      <c r="D934" s="3">
        <v>255000</v>
      </c>
      <c r="E934" s="3">
        <v>103000000000</v>
      </c>
      <c r="F934" s="3">
        <v>94200000000</v>
      </c>
      <c r="G934" s="2">
        <v>0</v>
      </c>
      <c r="H934" s="3">
        <v>9600000000</v>
      </c>
      <c r="I934" s="2"/>
      <c r="J934" s="7">
        <f t="shared" si="270"/>
        <v>0.69100000000000006</v>
      </c>
      <c r="K934" s="7">
        <f t="shared" si="271"/>
        <v>48.52</v>
      </c>
      <c r="L934" s="7">
        <f t="shared" si="272"/>
        <v>103</v>
      </c>
      <c r="M934" s="7">
        <f t="shared" si="273"/>
        <v>255</v>
      </c>
      <c r="O934">
        <f t="shared" si="274"/>
        <v>0.54829411764705882</v>
      </c>
      <c r="P934">
        <f t="shared" si="275"/>
        <v>548.29411764705878</v>
      </c>
      <c r="V934">
        <f t="shared" si="259"/>
        <v>1044.9061448470975</v>
      </c>
      <c r="W934">
        <f t="shared" si="260"/>
        <v>122.02052847402599</v>
      </c>
      <c r="AE934">
        <f t="shared" si="261"/>
        <v>0.92837819376563036</v>
      </c>
      <c r="AF934">
        <f t="shared" si="262"/>
        <v>0.90677610191781788</v>
      </c>
      <c r="AG934">
        <f t="shared" si="263"/>
        <v>0.91185327363937452</v>
      </c>
      <c r="AI934">
        <f t="shared" si="264"/>
        <v>0.31012864003067209</v>
      </c>
      <c r="AJ934">
        <f t="shared" si="265"/>
        <v>17.919315845484181</v>
      </c>
      <c r="AL934">
        <f t="shared" si="266"/>
        <v>0.3175168225736511</v>
      </c>
      <c r="AM934">
        <f t="shared" si="267"/>
        <v>18.7832679875747</v>
      </c>
      <c r="AO934">
        <f t="shared" si="268"/>
        <v>0.31574889841381848</v>
      </c>
      <c r="AP934">
        <f t="shared" si="269"/>
        <v>18.574680964551749</v>
      </c>
    </row>
    <row r="935" spans="1:42" x14ac:dyDescent="0.2">
      <c r="A935" s="3">
        <v>930</v>
      </c>
      <c r="B935" s="3">
        <v>6.92E-7</v>
      </c>
      <c r="C935" s="2">
        <v>4.8570000000000002E-2</v>
      </c>
      <c r="D935" s="3">
        <v>235000</v>
      </c>
      <c r="E935" s="3">
        <v>95400000000</v>
      </c>
      <c r="F935" s="3">
        <v>87600000000</v>
      </c>
      <c r="G935" s="3">
        <v>1740000000</v>
      </c>
      <c r="H935" s="3">
        <v>9810000000</v>
      </c>
      <c r="I935" s="2"/>
      <c r="J935" s="7">
        <f t="shared" si="270"/>
        <v>0.69199999999999995</v>
      </c>
      <c r="K935" s="7">
        <f t="shared" si="271"/>
        <v>48.57</v>
      </c>
      <c r="L935" s="7">
        <f t="shared" si="272"/>
        <v>95.4</v>
      </c>
      <c r="M935" s="7">
        <f t="shared" si="273"/>
        <v>235</v>
      </c>
      <c r="O935">
        <f t="shared" si="274"/>
        <v>0.53698936170212763</v>
      </c>
      <c r="P935">
        <f t="shared" si="275"/>
        <v>536.98936170212767</v>
      </c>
      <c r="V935">
        <f t="shared" si="259"/>
        <v>1035.306356486476</v>
      </c>
      <c r="W935">
        <f t="shared" si="260"/>
        <v>113.49297651253713</v>
      </c>
      <c r="AE935">
        <f t="shared" si="261"/>
        <v>0.85556421778401226</v>
      </c>
      <c r="AF935">
        <f t="shared" si="262"/>
        <v>0.83565640764975369</v>
      </c>
      <c r="AG935">
        <f t="shared" si="263"/>
        <v>0.84033536982452162</v>
      </c>
      <c r="AI935">
        <f t="shared" si="264"/>
        <v>0.33700957489800404</v>
      </c>
      <c r="AJ935">
        <f t="shared" si="265"/>
        <v>21.120946282203548</v>
      </c>
      <c r="AL935">
        <f t="shared" si="266"/>
        <v>0.34503814090800544</v>
      </c>
      <c r="AM935">
        <f t="shared" si="267"/>
        <v>22.139260091772741</v>
      </c>
      <c r="AO935">
        <f t="shared" si="268"/>
        <v>0.34311697887183179</v>
      </c>
      <c r="AP935">
        <f t="shared" si="269"/>
        <v>21.8934049851146</v>
      </c>
    </row>
    <row r="936" spans="1:42" x14ac:dyDescent="0.2">
      <c r="A936" s="3">
        <v>930</v>
      </c>
      <c r="B936" s="3">
        <v>6.9299999999999997E-7</v>
      </c>
      <c r="C936" s="2">
        <v>4.8619999999999997E-2</v>
      </c>
      <c r="D936" s="3">
        <v>226000</v>
      </c>
      <c r="E936" s="3">
        <v>92000000000</v>
      </c>
      <c r="F936" s="3">
        <v>84700000000</v>
      </c>
      <c r="G936" s="2">
        <v>0</v>
      </c>
      <c r="H936" s="3">
        <v>9930000000</v>
      </c>
      <c r="I936" s="2"/>
      <c r="J936" s="7">
        <f t="shared" si="270"/>
        <v>0.69299999999999995</v>
      </c>
      <c r="K936" s="7">
        <f t="shared" si="271"/>
        <v>48.62</v>
      </c>
      <c r="L936" s="7">
        <f t="shared" si="272"/>
        <v>92</v>
      </c>
      <c r="M936" s="7">
        <f t="shared" si="273"/>
        <v>226</v>
      </c>
      <c r="O936">
        <f t="shared" si="274"/>
        <v>0.53165044247787607</v>
      </c>
      <c r="P936">
        <f t="shared" si="275"/>
        <v>531.65044247787603</v>
      </c>
      <c r="V936">
        <f t="shared" si="259"/>
        <v>1030.7335066803123</v>
      </c>
      <c r="W936">
        <f t="shared" si="260"/>
        <v>109.63066521815088</v>
      </c>
      <c r="AE936">
        <f t="shared" si="261"/>
        <v>0.82279792859228407</v>
      </c>
      <c r="AF936">
        <f t="shared" si="262"/>
        <v>0.80365254522912477</v>
      </c>
      <c r="AG936">
        <f t="shared" si="263"/>
        <v>0.80815231310783775</v>
      </c>
      <c r="AI936">
        <f t="shared" si="264"/>
        <v>0.35093671236389617</v>
      </c>
      <c r="AJ936">
        <f t="shared" si="265"/>
        <v>22.860149659659591</v>
      </c>
      <c r="AL936">
        <f t="shared" si="266"/>
        <v>0.35929706402867939</v>
      </c>
      <c r="AM936">
        <f t="shared" si="267"/>
        <v>23.962316474356925</v>
      </c>
      <c r="AO936">
        <f t="shared" si="268"/>
        <v>0.35729650873556296</v>
      </c>
      <c r="AP936">
        <f t="shared" si="269"/>
        <v>23.696216439931277</v>
      </c>
    </row>
    <row r="937" spans="1:42" x14ac:dyDescent="0.2">
      <c r="A937" s="3">
        <v>940</v>
      </c>
      <c r="B937" s="3">
        <v>6.9299999999999997E-7</v>
      </c>
      <c r="C937" s="2">
        <v>4.8680000000000001E-2</v>
      </c>
      <c r="D937" s="3">
        <v>250000</v>
      </c>
      <c r="E937" s="3">
        <v>101000000000</v>
      </c>
      <c r="F937" s="3">
        <v>92400000000</v>
      </c>
      <c r="G937" s="3">
        <v>7410000000</v>
      </c>
      <c r="H937" s="3">
        <v>9650000000</v>
      </c>
      <c r="I937" s="2"/>
      <c r="J937" s="7">
        <f t="shared" si="270"/>
        <v>0.69299999999999995</v>
      </c>
      <c r="K937" s="7">
        <f t="shared" si="271"/>
        <v>48.68</v>
      </c>
      <c r="L937" s="7">
        <f t="shared" si="272"/>
        <v>101</v>
      </c>
      <c r="M937" s="7">
        <f t="shared" si="273"/>
        <v>250</v>
      </c>
      <c r="O937">
        <f t="shared" si="274"/>
        <v>0.54695999999999989</v>
      </c>
      <c r="P937">
        <f t="shared" si="275"/>
        <v>546.95999999999992</v>
      </c>
      <c r="V937">
        <f t="shared" si="259"/>
        <v>1043.7790104077499</v>
      </c>
      <c r="W937">
        <f t="shared" si="260"/>
        <v>119.75715046345782</v>
      </c>
      <c r="AE937">
        <f t="shared" si="261"/>
        <v>0.9101746997702258</v>
      </c>
      <c r="AF937">
        <f t="shared" si="262"/>
        <v>0.8889961783508018</v>
      </c>
      <c r="AG937">
        <f t="shared" si="263"/>
        <v>0.89397379768566121</v>
      </c>
      <c r="AI937">
        <f t="shared" si="264"/>
        <v>0.31724678797696215</v>
      </c>
      <c r="AJ937">
        <f t="shared" si="265"/>
        <v>18.70473437944435</v>
      </c>
      <c r="AL937">
        <f t="shared" si="266"/>
        <v>0.32480454588192614</v>
      </c>
      <c r="AM937">
        <f t="shared" si="267"/>
        <v>19.606554263289279</v>
      </c>
      <c r="AO937">
        <f t="shared" si="268"/>
        <v>0.32299604389694897</v>
      </c>
      <c r="AP937">
        <f t="shared" si="269"/>
        <v>19.388824697368019</v>
      </c>
    </row>
    <row r="938" spans="1:42" x14ac:dyDescent="0.2">
      <c r="A938" s="3">
        <v>940</v>
      </c>
      <c r="B938" s="3">
        <v>6.9400000000000005E-7</v>
      </c>
      <c r="C938" s="2">
        <v>4.8730000000000002E-2</v>
      </c>
      <c r="D938" s="3">
        <v>261000</v>
      </c>
      <c r="E938" s="3">
        <v>105000000000</v>
      </c>
      <c r="F938" s="3">
        <v>96000000000</v>
      </c>
      <c r="G938" s="3">
        <v>6150000000</v>
      </c>
      <c r="H938" s="3">
        <v>9540000000</v>
      </c>
      <c r="I938" s="2"/>
      <c r="J938" s="7">
        <f t="shared" si="270"/>
        <v>0.69400000000000006</v>
      </c>
      <c r="K938" s="7">
        <f t="shared" si="271"/>
        <v>48.730000000000004</v>
      </c>
      <c r="L938" s="7">
        <f t="shared" si="272"/>
        <v>105</v>
      </c>
      <c r="M938" s="7">
        <f t="shared" si="273"/>
        <v>261</v>
      </c>
      <c r="O938">
        <f t="shared" si="274"/>
        <v>0.55397126436781607</v>
      </c>
      <c r="P938">
        <f t="shared" si="275"/>
        <v>553.97126436781605</v>
      </c>
      <c r="V938">
        <f t="shared" si="259"/>
        <v>1049.6855047681238</v>
      </c>
      <c r="W938">
        <f t="shared" si="260"/>
        <v>124.32295140517115</v>
      </c>
      <c r="AE938">
        <f t="shared" si="261"/>
        <v>0.95022238656011571</v>
      </c>
      <c r="AF938">
        <f t="shared" si="262"/>
        <v>0.92811201019823708</v>
      </c>
      <c r="AG938">
        <f t="shared" si="263"/>
        <v>0.93330864478383035</v>
      </c>
      <c r="AI938">
        <f t="shared" si="264"/>
        <v>0.30431472753812311</v>
      </c>
      <c r="AJ938">
        <f t="shared" si="265"/>
        <v>17.178941065124626</v>
      </c>
      <c r="AL938">
        <f t="shared" si="266"/>
        <v>0.31156440546966208</v>
      </c>
      <c r="AM938">
        <f t="shared" si="267"/>
        <v>18.007197180483036</v>
      </c>
      <c r="AO938">
        <f t="shared" si="268"/>
        <v>0.30982962419001536</v>
      </c>
      <c r="AP938">
        <f t="shared" si="269"/>
        <v>17.80722837551529</v>
      </c>
    </row>
    <row r="939" spans="1:42" x14ac:dyDescent="0.2">
      <c r="A939" s="3">
        <v>940</v>
      </c>
      <c r="B939" s="3">
        <v>6.9500000000000002E-7</v>
      </c>
      <c r="C939" s="2">
        <v>4.879E-2</v>
      </c>
      <c r="D939" s="3">
        <v>243000</v>
      </c>
      <c r="E939" s="3">
        <v>98500000000</v>
      </c>
      <c r="F939" s="3">
        <v>90200000000</v>
      </c>
      <c r="G939" s="3">
        <v>6730000000</v>
      </c>
      <c r="H939" s="3">
        <v>9730000000</v>
      </c>
      <c r="I939" s="2"/>
      <c r="J939" s="7">
        <f t="shared" si="270"/>
        <v>0.69500000000000006</v>
      </c>
      <c r="K939" s="7">
        <f t="shared" si="271"/>
        <v>48.79</v>
      </c>
      <c r="L939" s="7">
        <f t="shared" si="272"/>
        <v>98.5</v>
      </c>
      <c r="M939" s="7">
        <f t="shared" si="273"/>
        <v>243</v>
      </c>
      <c r="O939">
        <f t="shared" si="274"/>
        <v>0.54441358024691366</v>
      </c>
      <c r="P939">
        <f t="shared" si="275"/>
        <v>544.41358024691363</v>
      </c>
      <c r="V939">
        <f t="shared" si="259"/>
        <v>1041.6233993859939</v>
      </c>
      <c r="W939">
        <f t="shared" si="260"/>
        <v>116.64484502903893</v>
      </c>
      <c r="AE939">
        <f t="shared" si="261"/>
        <v>0.88468980817665943</v>
      </c>
      <c r="AF939">
        <f t="shared" si="262"/>
        <v>0.86410428535697936</v>
      </c>
      <c r="AG939">
        <f t="shared" si="263"/>
        <v>0.86894253135046273</v>
      </c>
      <c r="AI939">
        <f t="shared" si="264"/>
        <v>0.32732753407678894</v>
      </c>
      <c r="AJ939">
        <f t="shared" si="265"/>
        <v>19.842631356938359</v>
      </c>
      <c r="AL939">
        <f t="shared" si="266"/>
        <v>0.33512544520445298</v>
      </c>
      <c r="AM939">
        <f t="shared" si="267"/>
        <v>20.799313186387753</v>
      </c>
      <c r="AO939">
        <f t="shared" si="268"/>
        <v>0.33325947676111434</v>
      </c>
      <c r="AP939">
        <f t="shared" si="269"/>
        <v>20.56833810679348</v>
      </c>
    </row>
    <row r="940" spans="1:42" x14ac:dyDescent="0.2">
      <c r="A940" s="3">
        <v>940</v>
      </c>
      <c r="B940" s="3">
        <v>6.9599999999999999E-7</v>
      </c>
      <c r="C940" s="2">
        <v>4.8840000000000001E-2</v>
      </c>
      <c r="D940" s="3">
        <v>237000</v>
      </c>
      <c r="E940" s="3">
        <v>96000000000</v>
      </c>
      <c r="F940" s="3">
        <v>88100000000</v>
      </c>
      <c r="G940" s="2">
        <v>0</v>
      </c>
      <c r="H940" s="3">
        <v>9800000000</v>
      </c>
      <c r="I940" s="2"/>
      <c r="J940" s="7">
        <f t="shared" si="270"/>
        <v>0.69599999999999995</v>
      </c>
      <c r="K940" s="7">
        <f t="shared" si="271"/>
        <v>48.84</v>
      </c>
      <c r="L940" s="7">
        <f t="shared" si="272"/>
        <v>96</v>
      </c>
      <c r="M940" s="7">
        <f t="shared" si="273"/>
        <v>237</v>
      </c>
      <c r="O940">
        <f t="shared" si="274"/>
        <v>0.54144303797468352</v>
      </c>
      <c r="P940">
        <f t="shared" si="275"/>
        <v>541.44303797468353</v>
      </c>
      <c r="V940">
        <f t="shared" si="259"/>
        <v>1039.1016486682508</v>
      </c>
      <c r="W940">
        <f t="shared" si="260"/>
        <v>114.0408160759573</v>
      </c>
      <c r="AE940">
        <f t="shared" si="261"/>
        <v>0.86284561538217408</v>
      </c>
      <c r="AF940">
        <f t="shared" si="262"/>
        <v>0.84276837707656005</v>
      </c>
      <c r="AG940">
        <f t="shared" si="263"/>
        <v>0.8474871602060069</v>
      </c>
      <c r="AI940">
        <f t="shared" si="264"/>
        <v>0.33609720537497589</v>
      </c>
      <c r="AJ940">
        <f t="shared" si="265"/>
        <v>20.881416521176007</v>
      </c>
      <c r="AL940">
        <f t="shared" si="266"/>
        <v>0.34410403604127565</v>
      </c>
      <c r="AM940">
        <f t="shared" si="267"/>
        <v>21.888181773204355</v>
      </c>
      <c r="AO940">
        <f t="shared" si="268"/>
        <v>0.34218807507302751</v>
      </c>
      <c r="AP940">
        <f t="shared" si="269"/>
        <v>21.645114875661385</v>
      </c>
    </row>
    <row r="941" spans="1:42" x14ac:dyDescent="0.2">
      <c r="A941" s="3">
        <v>940</v>
      </c>
      <c r="B941" s="3">
        <v>6.9599999999999999E-7</v>
      </c>
      <c r="C941" s="2">
        <v>4.8890000000000003E-2</v>
      </c>
      <c r="D941" s="3">
        <v>228000</v>
      </c>
      <c r="E941" s="3">
        <v>92700000000</v>
      </c>
      <c r="F941" s="3">
        <v>85300000000</v>
      </c>
      <c r="G941" s="2">
        <v>0</v>
      </c>
      <c r="H941" s="3">
        <v>9900000000</v>
      </c>
      <c r="I941" s="2"/>
      <c r="J941" s="7">
        <f t="shared" si="270"/>
        <v>0.69599999999999995</v>
      </c>
      <c r="K941" s="7">
        <f t="shared" si="271"/>
        <v>48.89</v>
      </c>
      <c r="L941" s="7">
        <f t="shared" si="272"/>
        <v>92.7</v>
      </c>
      <c r="M941" s="7">
        <f t="shared" si="273"/>
        <v>228</v>
      </c>
      <c r="O941">
        <f t="shared" si="274"/>
        <v>0.53517763157894738</v>
      </c>
      <c r="P941">
        <f t="shared" si="275"/>
        <v>535.1776315789474</v>
      </c>
      <c r="V941">
        <f t="shared" si="259"/>
        <v>1033.7574378036541</v>
      </c>
      <c r="W941">
        <f t="shared" si="260"/>
        <v>110.27732022147008</v>
      </c>
      <c r="AE941">
        <f t="shared" si="261"/>
        <v>0.83007932619044589</v>
      </c>
      <c r="AF941">
        <f t="shared" si="262"/>
        <v>0.81076451465593125</v>
      </c>
      <c r="AG941">
        <f t="shared" si="263"/>
        <v>0.81530410348932303</v>
      </c>
      <c r="AI941">
        <f t="shared" si="264"/>
        <v>0.34936420032398813</v>
      </c>
      <c r="AJ941">
        <f t="shared" si="265"/>
        <v>22.585584606032963</v>
      </c>
      <c r="AL941">
        <f t="shared" si="266"/>
        <v>0.35768709009553645</v>
      </c>
      <c r="AM941">
        <f t="shared" si="267"/>
        <v>23.674513690659047</v>
      </c>
      <c r="AO941">
        <f t="shared" si="268"/>
        <v>0.35569549908906811</v>
      </c>
      <c r="AP941">
        <f t="shared" si="269"/>
        <v>23.411609688250241</v>
      </c>
    </row>
    <row r="942" spans="1:42" x14ac:dyDescent="0.2">
      <c r="A942" s="3">
        <v>940</v>
      </c>
      <c r="B942" s="3">
        <v>6.9699999999999995E-7</v>
      </c>
      <c r="C942" s="2">
        <v>4.8939999999999997E-2</v>
      </c>
      <c r="D942" s="3">
        <v>251000</v>
      </c>
      <c r="E942" s="3">
        <v>101000000000</v>
      </c>
      <c r="F942" s="3">
        <v>92700000000</v>
      </c>
      <c r="G942" s="3">
        <v>5430000000</v>
      </c>
      <c r="H942" s="3">
        <v>9640000000</v>
      </c>
      <c r="I942" s="2"/>
      <c r="J942" s="7">
        <f t="shared" si="270"/>
        <v>0.69699999999999995</v>
      </c>
      <c r="K942" s="7">
        <f t="shared" si="271"/>
        <v>48.94</v>
      </c>
      <c r="L942" s="7">
        <f t="shared" si="272"/>
        <v>101</v>
      </c>
      <c r="M942" s="7">
        <f t="shared" si="273"/>
        <v>251</v>
      </c>
      <c r="O942">
        <f t="shared" si="274"/>
        <v>0.55076494023904377</v>
      </c>
      <c r="P942">
        <f t="shared" si="275"/>
        <v>550.76494023904377</v>
      </c>
      <c r="V942">
        <f t="shared" si="259"/>
        <v>1046.989601606743</v>
      </c>
      <c r="W942">
        <f t="shared" si="260"/>
        <v>119.86747509946973</v>
      </c>
      <c r="AE942">
        <f t="shared" si="261"/>
        <v>0.91381539856930671</v>
      </c>
      <c r="AF942">
        <f t="shared" si="262"/>
        <v>0.89255216306420504</v>
      </c>
      <c r="AG942">
        <f t="shared" si="263"/>
        <v>0.89754969287640385</v>
      </c>
      <c r="AI942">
        <f t="shared" si="264"/>
        <v>0.31780671142262495</v>
      </c>
      <c r="AJ942">
        <f t="shared" si="265"/>
        <v>18.655097153094388</v>
      </c>
      <c r="AL942">
        <f t="shared" si="266"/>
        <v>0.32537780836208197</v>
      </c>
      <c r="AM942">
        <f t="shared" si="267"/>
        <v>19.554523854721744</v>
      </c>
      <c r="AO942">
        <f t="shared" si="268"/>
        <v>0.32356611446878208</v>
      </c>
      <c r="AP942">
        <f t="shared" si="269"/>
        <v>19.337372083252276</v>
      </c>
    </row>
    <row r="943" spans="1:42" x14ac:dyDescent="0.2">
      <c r="A943" s="3">
        <v>940</v>
      </c>
      <c r="B943" s="3">
        <v>6.9699999999999995E-7</v>
      </c>
      <c r="C943" s="2">
        <v>4.8989999999999999E-2</v>
      </c>
      <c r="D943" s="3">
        <v>234000</v>
      </c>
      <c r="E943" s="3">
        <v>94700000000</v>
      </c>
      <c r="F943" s="3">
        <v>87100000000</v>
      </c>
      <c r="G943" s="3">
        <v>10200000000</v>
      </c>
      <c r="H943" s="3">
        <v>9840000000</v>
      </c>
      <c r="I943" s="2"/>
      <c r="J943" s="7">
        <f t="shared" si="270"/>
        <v>0.69699999999999995</v>
      </c>
      <c r="K943" s="7">
        <f t="shared" si="271"/>
        <v>48.99</v>
      </c>
      <c r="L943" s="7">
        <f t="shared" si="272"/>
        <v>94.7</v>
      </c>
      <c r="M943" s="7">
        <f t="shared" si="273"/>
        <v>234</v>
      </c>
      <c r="O943">
        <f t="shared" si="274"/>
        <v>0.53998076923076921</v>
      </c>
      <c r="P943">
        <f t="shared" si="275"/>
        <v>539.98076923076917</v>
      </c>
      <c r="V943">
        <f t="shared" si="259"/>
        <v>1037.8574699610274</v>
      </c>
      <c r="W943">
        <f t="shared" si="260"/>
        <v>112.7322425153364</v>
      </c>
      <c r="AE943">
        <f t="shared" si="261"/>
        <v>0.85192351898493135</v>
      </c>
      <c r="AF943">
        <f t="shared" si="262"/>
        <v>0.83210042293635045</v>
      </c>
      <c r="AG943">
        <f t="shared" si="263"/>
        <v>0.83675947463377898</v>
      </c>
      <c r="AI943">
        <f t="shared" si="264"/>
        <v>0.3408952331926447</v>
      </c>
      <c r="AJ943">
        <f t="shared" si="265"/>
        <v>21.48605671203488</v>
      </c>
      <c r="AL943">
        <f t="shared" si="266"/>
        <v>0.34901636708924177</v>
      </c>
      <c r="AM943">
        <f t="shared" si="267"/>
        <v>22.521973757166879</v>
      </c>
      <c r="AO943">
        <f t="shared" si="268"/>
        <v>0.34707305440882169</v>
      </c>
      <c r="AP943">
        <f t="shared" si="269"/>
        <v>22.271868639052393</v>
      </c>
    </row>
    <row r="944" spans="1:42" x14ac:dyDescent="0.2">
      <c r="A944" s="3">
        <v>940</v>
      </c>
      <c r="B944" s="3">
        <v>6.9800000000000003E-7</v>
      </c>
      <c r="C944" s="2">
        <v>4.904E-2</v>
      </c>
      <c r="D944" s="3">
        <v>262000</v>
      </c>
      <c r="E944" s="3">
        <v>105000000000</v>
      </c>
      <c r="F944" s="3">
        <v>96000000000</v>
      </c>
      <c r="G944" s="2">
        <v>0</v>
      </c>
      <c r="H944" s="3">
        <v>9550000000</v>
      </c>
      <c r="I944" s="2"/>
      <c r="J944" s="7">
        <f t="shared" si="270"/>
        <v>0.69800000000000006</v>
      </c>
      <c r="K944" s="7">
        <f t="shared" si="271"/>
        <v>49.04</v>
      </c>
      <c r="L944" s="7">
        <f t="shared" si="272"/>
        <v>105</v>
      </c>
      <c r="M944" s="7">
        <f t="shared" si="273"/>
        <v>262</v>
      </c>
      <c r="O944">
        <f t="shared" si="274"/>
        <v>0.55761832061068706</v>
      </c>
      <c r="P944">
        <f t="shared" si="275"/>
        <v>557.61832061068708</v>
      </c>
      <c r="V944">
        <f t="shared" si="259"/>
        <v>1052.7414353872955</v>
      </c>
      <c r="W944">
        <f t="shared" si="260"/>
        <v>124.4370133030872</v>
      </c>
      <c r="AE944">
        <f t="shared" si="261"/>
        <v>0.95386308535919662</v>
      </c>
      <c r="AF944">
        <f t="shared" si="262"/>
        <v>0.93166799491164032</v>
      </c>
      <c r="AG944">
        <f t="shared" si="263"/>
        <v>0.93688453997457299</v>
      </c>
      <c r="AI944">
        <f t="shared" si="264"/>
        <v>0.3049005017568262</v>
      </c>
      <c r="AJ944">
        <f t="shared" si="265"/>
        <v>17.156507005801878</v>
      </c>
      <c r="AL944">
        <f t="shared" si="266"/>
        <v>0.31216413456482006</v>
      </c>
      <c r="AM944">
        <f t="shared" si="267"/>
        <v>17.98368149763321</v>
      </c>
      <c r="AO944">
        <f t="shared" si="268"/>
        <v>0.3104260140115308</v>
      </c>
      <c r="AP944">
        <f t="shared" si="269"/>
        <v>17.783973832861268</v>
      </c>
    </row>
    <row r="945" spans="1:42" x14ac:dyDescent="0.2">
      <c r="A945" s="3">
        <v>940</v>
      </c>
      <c r="B945" s="3">
        <v>6.99E-7</v>
      </c>
      <c r="C945" s="2">
        <v>4.9090000000000002E-2</v>
      </c>
      <c r="D945" s="3">
        <v>239000</v>
      </c>
      <c r="E945" s="3">
        <v>96600000000</v>
      </c>
      <c r="F945" s="3">
        <v>88600000000</v>
      </c>
      <c r="G945" s="3">
        <v>1160000000</v>
      </c>
      <c r="H945" s="3">
        <v>9770000000</v>
      </c>
      <c r="I945" s="2"/>
      <c r="J945" s="7">
        <f t="shared" si="270"/>
        <v>0.69899999999999995</v>
      </c>
      <c r="K945" s="7">
        <f t="shared" si="271"/>
        <v>49.09</v>
      </c>
      <c r="L945" s="7">
        <f t="shared" si="272"/>
        <v>96.600000000000009</v>
      </c>
      <c r="M945" s="7">
        <f t="shared" si="273"/>
        <v>239</v>
      </c>
      <c r="O945">
        <f t="shared" si="274"/>
        <v>0.54495188284518825</v>
      </c>
      <c r="P945">
        <f t="shared" si="275"/>
        <v>544.95188284518827</v>
      </c>
      <c r="V945">
        <f t="shared" si="259"/>
        <v>1042.0795539684741</v>
      </c>
      <c r="W945">
        <f t="shared" si="260"/>
        <v>114.67454624257526</v>
      </c>
      <c r="AE945">
        <f t="shared" si="261"/>
        <v>0.8701270129803359</v>
      </c>
      <c r="AF945">
        <f t="shared" si="262"/>
        <v>0.84988034650336652</v>
      </c>
      <c r="AG945">
        <f t="shared" si="263"/>
        <v>0.85463895058749217</v>
      </c>
      <c r="AI945">
        <f t="shared" si="264"/>
        <v>0.33472124834099592</v>
      </c>
      <c r="AJ945">
        <f t="shared" si="265"/>
        <v>20.638504446496842</v>
      </c>
      <c r="AL945">
        <f t="shared" si="266"/>
        <v>0.342695299636331</v>
      </c>
      <c r="AM945">
        <f t="shared" si="267"/>
        <v>21.633558067954674</v>
      </c>
      <c r="AO945">
        <f t="shared" si="268"/>
        <v>0.34078718247020001</v>
      </c>
      <c r="AP945">
        <f t="shared" si="269"/>
        <v>21.393318750825525</v>
      </c>
    </row>
    <row r="946" spans="1:42" x14ac:dyDescent="0.2">
      <c r="A946" s="3">
        <v>940</v>
      </c>
      <c r="B946" s="3">
        <v>6.9999999999999997E-7</v>
      </c>
      <c r="C946" s="2">
        <v>4.9149999999999999E-2</v>
      </c>
      <c r="D946" s="3">
        <v>247000</v>
      </c>
      <c r="E946" s="3">
        <v>99700000000</v>
      </c>
      <c r="F946" s="3">
        <v>91200000000</v>
      </c>
      <c r="G946" s="3">
        <v>11600000000</v>
      </c>
      <c r="H946" s="3">
        <v>9680000000</v>
      </c>
      <c r="I946" s="2"/>
      <c r="J946" s="7">
        <f t="shared" si="270"/>
        <v>0.7</v>
      </c>
      <c r="K946" s="7">
        <f t="shared" si="271"/>
        <v>49.15</v>
      </c>
      <c r="L946" s="7">
        <f t="shared" si="272"/>
        <v>99.7</v>
      </c>
      <c r="M946" s="7">
        <f t="shared" si="273"/>
        <v>247</v>
      </c>
      <c r="O946">
        <f t="shared" si="274"/>
        <v>0.55075910931174088</v>
      </c>
      <c r="P946">
        <f t="shared" si="275"/>
        <v>550.75910931174087</v>
      </c>
      <c r="V946">
        <f t="shared" si="259"/>
        <v>1046.9846909642033</v>
      </c>
      <c r="W946">
        <f t="shared" si="260"/>
        <v>117.95778970393989</v>
      </c>
      <c r="AE946">
        <f t="shared" si="261"/>
        <v>0.89925260337298307</v>
      </c>
      <c r="AF946">
        <f t="shared" si="262"/>
        <v>0.8783282242105922</v>
      </c>
      <c r="AG946">
        <f t="shared" si="263"/>
        <v>0.88324611211343329</v>
      </c>
      <c r="AI946">
        <f t="shared" si="264"/>
        <v>0.32434342205144778</v>
      </c>
      <c r="AJ946">
        <f t="shared" si="265"/>
        <v>19.346865334407141</v>
      </c>
      <c r="AL946">
        <f t="shared" si="266"/>
        <v>0.33207024279426461</v>
      </c>
      <c r="AM946">
        <f t="shared" si="267"/>
        <v>20.27964457065293</v>
      </c>
      <c r="AO946">
        <f t="shared" si="268"/>
        <v>0.33022128562645581</v>
      </c>
      <c r="AP946">
        <f t="shared" si="269"/>
        <v>20.054440378722418</v>
      </c>
    </row>
    <row r="947" spans="1:42" x14ac:dyDescent="0.2">
      <c r="A947" s="3">
        <v>950</v>
      </c>
      <c r="B947" s="3">
        <v>7.0100000000000004E-7</v>
      </c>
      <c r="C947" s="2">
        <v>4.9200000000000001E-2</v>
      </c>
      <c r="D947" s="3">
        <v>250000</v>
      </c>
      <c r="E947" s="3">
        <v>101000000000</v>
      </c>
      <c r="F947" s="3">
        <v>92000000000</v>
      </c>
      <c r="G947" s="3">
        <v>7670000000</v>
      </c>
      <c r="H947" s="3">
        <v>9650000000</v>
      </c>
      <c r="I947" s="2"/>
      <c r="J947" s="7">
        <f t="shared" si="270"/>
        <v>0.70100000000000007</v>
      </c>
      <c r="K947" s="7">
        <f t="shared" si="271"/>
        <v>49.2</v>
      </c>
      <c r="L947" s="7">
        <f t="shared" si="272"/>
        <v>101</v>
      </c>
      <c r="M947" s="7">
        <f t="shared" si="273"/>
        <v>250</v>
      </c>
      <c r="O947">
        <f t="shared" si="274"/>
        <v>0.55340000000000011</v>
      </c>
      <c r="P947">
        <f t="shared" si="275"/>
        <v>553.40000000000009</v>
      </c>
      <c r="V947">
        <f t="shared" si="259"/>
        <v>1049.2058185925325</v>
      </c>
      <c r="W947">
        <f t="shared" si="260"/>
        <v>119.13773044804734</v>
      </c>
      <c r="AE947">
        <f t="shared" si="261"/>
        <v>0.9101746997702258</v>
      </c>
      <c r="AF947">
        <f t="shared" si="262"/>
        <v>0.8889961783508018</v>
      </c>
      <c r="AG947">
        <f t="shared" si="263"/>
        <v>0.89397379768566121</v>
      </c>
      <c r="AI947">
        <f t="shared" si="264"/>
        <v>0.32090908855966882</v>
      </c>
      <c r="AJ947">
        <f t="shared" si="265"/>
        <v>18.904538444302837</v>
      </c>
      <c r="AL947">
        <f t="shared" si="266"/>
        <v>0.32855409330913454</v>
      </c>
      <c r="AM947">
        <f t="shared" si="267"/>
        <v>19.815991572593109</v>
      </c>
      <c r="AO947">
        <f t="shared" si="268"/>
        <v>0.32672471395636543</v>
      </c>
      <c r="AP947">
        <f t="shared" si="269"/>
        <v>19.59593621837524</v>
      </c>
    </row>
    <row r="948" spans="1:42" x14ac:dyDescent="0.2">
      <c r="A948" s="3">
        <v>950</v>
      </c>
      <c r="B948" s="3">
        <v>7.0200000000000001E-7</v>
      </c>
      <c r="C948" s="2">
        <v>4.9250000000000002E-2</v>
      </c>
      <c r="D948" s="3">
        <v>265000</v>
      </c>
      <c r="E948" s="3">
        <v>106000000000</v>
      </c>
      <c r="F948" s="3">
        <v>96800000000</v>
      </c>
      <c r="G948" s="3">
        <v>1830000000</v>
      </c>
      <c r="H948" s="3">
        <v>9510000000</v>
      </c>
      <c r="I948" s="2"/>
      <c r="J948" s="7">
        <f t="shared" si="270"/>
        <v>0.70199999999999996</v>
      </c>
      <c r="K948" s="7">
        <f t="shared" si="271"/>
        <v>49.25</v>
      </c>
      <c r="L948" s="7">
        <f t="shared" si="272"/>
        <v>106</v>
      </c>
      <c r="M948" s="7">
        <f t="shared" si="273"/>
        <v>265</v>
      </c>
      <c r="O948">
        <f t="shared" si="274"/>
        <v>0.56261320754716981</v>
      </c>
      <c r="P948">
        <f t="shared" si="275"/>
        <v>562.61320754716985</v>
      </c>
      <c r="V948">
        <f t="shared" si="259"/>
        <v>1056.9087276538799</v>
      </c>
      <c r="W948">
        <f t="shared" si="260"/>
        <v>125.36560303946281</v>
      </c>
      <c r="AE948">
        <f t="shared" si="261"/>
        <v>0.96478518175643935</v>
      </c>
      <c r="AF948">
        <f t="shared" si="262"/>
        <v>0.94233594905184992</v>
      </c>
      <c r="AG948">
        <f t="shared" si="263"/>
        <v>0.94761222554680091</v>
      </c>
      <c r="AI948">
        <f t="shared" si="264"/>
        <v>0.30317629823821424</v>
      </c>
      <c r="AJ948">
        <f t="shared" si="265"/>
        <v>16.842070464236517</v>
      </c>
      <c r="AL948">
        <f t="shared" si="266"/>
        <v>0.31039885541276935</v>
      </c>
      <c r="AM948">
        <f t="shared" si="267"/>
        <v>17.654084883776065</v>
      </c>
      <c r="AO948">
        <f t="shared" si="268"/>
        <v>0.30867056388093622</v>
      </c>
      <c r="AP948">
        <f t="shared" si="269"/>
        <v>17.458037368906062</v>
      </c>
    </row>
    <row r="949" spans="1:42" x14ac:dyDescent="0.2">
      <c r="A949" s="3">
        <v>950</v>
      </c>
      <c r="B949" s="3">
        <v>7.0200000000000001E-7</v>
      </c>
      <c r="C949" s="2">
        <v>4.9299999999999997E-2</v>
      </c>
      <c r="D949" s="3">
        <v>249000</v>
      </c>
      <c r="E949" s="3">
        <v>100000000000</v>
      </c>
      <c r="F949" s="3">
        <v>91500000000</v>
      </c>
      <c r="G949" s="3">
        <v>1470000000</v>
      </c>
      <c r="H949" s="3">
        <v>9670000000</v>
      </c>
      <c r="I949" s="2"/>
      <c r="J949" s="7">
        <f t="shared" si="270"/>
        <v>0.70199999999999996</v>
      </c>
      <c r="K949" s="7">
        <f t="shared" si="271"/>
        <v>49.3</v>
      </c>
      <c r="L949" s="7">
        <f t="shared" si="272"/>
        <v>100</v>
      </c>
      <c r="M949" s="7">
        <f t="shared" si="273"/>
        <v>249</v>
      </c>
      <c r="O949">
        <f t="shared" si="274"/>
        <v>0.5535060240963855</v>
      </c>
      <c r="P949">
        <f t="shared" si="275"/>
        <v>553.50602409638554</v>
      </c>
      <c r="V949">
        <f t="shared" si="259"/>
        <v>1049.2948670248174</v>
      </c>
      <c r="W949">
        <f t="shared" si="260"/>
        <v>118.65110934260902</v>
      </c>
      <c r="AE949">
        <f t="shared" si="261"/>
        <v>0.90653400097114489</v>
      </c>
      <c r="AF949">
        <f t="shared" si="262"/>
        <v>0.88544019363739856</v>
      </c>
      <c r="AG949">
        <f t="shared" si="263"/>
        <v>0.89039790249491857</v>
      </c>
      <c r="AI949">
        <f t="shared" si="264"/>
        <v>0.32265750615713568</v>
      </c>
      <c r="AJ949">
        <f t="shared" si="265"/>
        <v>19.095420137305716</v>
      </c>
      <c r="AL949">
        <f t="shared" si="266"/>
        <v>0.33034416339110001</v>
      </c>
      <c r="AM949">
        <f t="shared" si="267"/>
        <v>20.01607633166044</v>
      </c>
      <c r="AO949">
        <f t="shared" si="268"/>
        <v>0.32850481698171929</v>
      </c>
      <c r="AP949">
        <f t="shared" si="269"/>
        <v>19.793799048634771</v>
      </c>
    </row>
    <row r="950" spans="1:42" x14ac:dyDescent="0.2">
      <c r="A950" s="3">
        <v>950</v>
      </c>
      <c r="B950" s="3">
        <v>7.0299999999999998E-7</v>
      </c>
      <c r="C950" s="2">
        <v>4.9349999999999998E-2</v>
      </c>
      <c r="D950" s="3">
        <v>265000</v>
      </c>
      <c r="E950" s="3">
        <v>106000000000</v>
      </c>
      <c r="F950" s="3">
        <v>96600000000</v>
      </c>
      <c r="G950" s="3">
        <v>13600000000</v>
      </c>
      <c r="H950" s="3">
        <v>9510000000</v>
      </c>
      <c r="I950" s="2"/>
      <c r="J950" s="7">
        <f t="shared" si="270"/>
        <v>0.70299999999999996</v>
      </c>
      <c r="K950" s="7">
        <f t="shared" si="271"/>
        <v>49.35</v>
      </c>
      <c r="L950" s="7">
        <f t="shared" si="272"/>
        <v>106</v>
      </c>
      <c r="M950" s="7">
        <f t="shared" si="273"/>
        <v>265</v>
      </c>
      <c r="O950">
        <f t="shared" si="274"/>
        <v>0.56333018867924523</v>
      </c>
      <c r="P950">
        <f t="shared" si="275"/>
        <v>563.33018867924523</v>
      </c>
      <c r="V950">
        <f t="shared" si="259"/>
        <v>1057.5052195719218</v>
      </c>
      <c r="W950">
        <f t="shared" si="260"/>
        <v>125.29488984804824</v>
      </c>
      <c r="AE950">
        <f t="shared" si="261"/>
        <v>0.96478518175643935</v>
      </c>
      <c r="AF950">
        <f t="shared" si="262"/>
        <v>0.94233594905184992</v>
      </c>
      <c r="AG950">
        <f t="shared" si="263"/>
        <v>0.94761222554680091</v>
      </c>
      <c r="AI950">
        <f t="shared" si="264"/>
        <v>0.30360817330692963</v>
      </c>
      <c r="AJ950">
        <f t="shared" si="265"/>
        <v>16.876267561625831</v>
      </c>
      <c r="AL950">
        <f t="shared" si="266"/>
        <v>0.31084101902446848</v>
      </c>
      <c r="AM950">
        <f t="shared" si="267"/>
        <v>17.689930741408098</v>
      </c>
      <c r="AO950">
        <f t="shared" si="268"/>
        <v>0.30911026553888626</v>
      </c>
      <c r="AP950">
        <f t="shared" si="269"/>
        <v>17.493485160518055</v>
      </c>
    </row>
    <row r="951" spans="1:42" x14ac:dyDescent="0.2">
      <c r="A951" s="3">
        <v>950</v>
      </c>
      <c r="B951" s="3">
        <v>7.0399999999999995E-7</v>
      </c>
      <c r="C951" s="2">
        <v>4.9410000000000003E-2</v>
      </c>
      <c r="D951" s="3">
        <v>245000</v>
      </c>
      <c r="E951" s="3">
        <v>98300000000</v>
      </c>
      <c r="F951" s="3">
        <v>90100000000</v>
      </c>
      <c r="G951" s="3">
        <v>481000000</v>
      </c>
      <c r="H951" s="3">
        <v>9710000000</v>
      </c>
      <c r="I951" s="2"/>
      <c r="J951" s="7">
        <f t="shared" si="270"/>
        <v>0.70399999999999996</v>
      </c>
      <c r="K951" s="7">
        <f t="shared" si="271"/>
        <v>49.410000000000004</v>
      </c>
      <c r="L951" s="7">
        <f t="shared" si="272"/>
        <v>98.300000000000011</v>
      </c>
      <c r="M951" s="7">
        <f t="shared" si="273"/>
        <v>245</v>
      </c>
      <c r="O951">
        <f t="shared" si="274"/>
        <v>0.55274489795918358</v>
      </c>
      <c r="P951">
        <f t="shared" si="275"/>
        <v>552.74489795918362</v>
      </c>
      <c r="V951">
        <f t="shared" si="259"/>
        <v>1048.6553949766712</v>
      </c>
      <c r="W951">
        <f t="shared" si="260"/>
        <v>116.81625878892768</v>
      </c>
      <c r="AE951">
        <f t="shared" si="261"/>
        <v>0.89197120577482125</v>
      </c>
      <c r="AF951">
        <f t="shared" si="262"/>
        <v>0.87121625478378573</v>
      </c>
      <c r="AG951">
        <f t="shared" si="263"/>
        <v>0.87609432173194801</v>
      </c>
      <c r="AI951">
        <f t="shared" si="264"/>
        <v>0.328859644161412</v>
      </c>
      <c r="AJ951">
        <f t="shared" si="265"/>
        <v>19.768043052289428</v>
      </c>
      <c r="AL951">
        <f t="shared" si="266"/>
        <v>0.33669405468809965</v>
      </c>
      <c r="AM951">
        <f t="shared" si="267"/>
        <v>20.721128721811066</v>
      </c>
      <c r="AO951">
        <f t="shared" si="268"/>
        <v>0.33481935227412912</v>
      </c>
      <c r="AP951">
        <f t="shared" si="269"/>
        <v>20.491021875834264</v>
      </c>
    </row>
    <row r="952" spans="1:42" x14ac:dyDescent="0.2">
      <c r="A952" s="3">
        <v>950</v>
      </c>
      <c r="B952" s="3">
        <v>7.0399999999999995E-7</v>
      </c>
      <c r="C952" s="2">
        <v>4.9459999999999997E-2</v>
      </c>
      <c r="D952" s="3">
        <v>248000</v>
      </c>
      <c r="E952" s="3">
        <v>99500000000</v>
      </c>
      <c r="F952" s="3">
        <v>91100000000</v>
      </c>
      <c r="G952" s="2">
        <v>0</v>
      </c>
      <c r="H952" s="3">
        <v>9680000000</v>
      </c>
      <c r="I952" s="2"/>
      <c r="J952" s="7">
        <f t="shared" si="270"/>
        <v>0.70399999999999996</v>
      </c>
      <c r="K952" s="7">
        <f t="shared" si="271"/>
        <v>49.459999999999994</v>
      </c>
      <c r="L952" s="7">
        <f t="shared" si="272"/>
        <v>99.5</v>
      </c>
      <c r="M952" s="7">
        <f t="shared" si="273"/>
        <v>248</v>
      </c>
      <c r="O952">
        <f t="shared" si="274"/>
        <v>0.55442338709677419</v>
      </c>
      <c r="P952">
        <f t="shared" si="275"/>
        <v>554.42338709677415</v>
      </c>
      <c r="V952">
        <f t="shared" si="259"/>
        <v>1050.0649533688622</v>
      </c>
      <c r="W952">
        <f t="shared" si="260"/>
        <v>118.08793313421045</v>
      </c>
      <c r="AE952">
        <f t="shared" si="261"/>
        <v>0.90289330217206398</v>
      </c>
      <c r="AF952">
        <f t="shared" si="262"/>
        <v>0.88188420892399533</v>
      </c>
      <c r="AG952">
        <f t="shared" si="263"/>
        <v>0.88682200730417593</v>
      </c>
      <c r="AI952">
        <f t="shared" si="264"/>
        <v>0.32488150330462068</v>
      </c>
      <c r="AJ952">
        <f t="shared" si="265"/>
        <v>19.312199691007979</v>
      </c>
      <c r="AL952">
        <f t="shared" si="266"/>
        <v>0.3326211427362275</v>
      </c>
      <c r="AM952">
        <f t="shared" si="267"/>
        <v>20.24330757678873</v>
      </c>
      <c r="AO952">
        <f t="shared" si="268"/>
        <v>0.33076911817403887</v>
      </c>
      <c r="AP952">
        <f t="shared" si="269"/>
        <v>20.018506904915579</v>
      </c>
    </row>
    <row r="953" spans="1:42" x14ac:dyDescent="0.2">
      <c r="A953" s="3">
        <v>950</v>
      </c>
      <c r="B953" s="3">
        <v>7.0500000000000003E-7</v>
      </c>
      <c r="C953" s="2">
        <v>4.9509999999999998E-2</v>
      </c>
      <c r="D953" s="3">
        <v>250000</v>
      </c>
      <c r="E953" s="3">
        <v>100000000000</v>
      </c>
      <c r="F953" s="3">
        <v>91600000000</v>
      </c>
      <c r="G953" s="3">
        <v>8610000000</v>
      </c>
      <c r="H953" s="3">
        <v>9660000000</v>
      </c>
      <c r="I953" s="2"/>
      <c r="J953" s="7">
        <f t="shared" si="270"/>
        <v>0.70500000000000007</v>
      </c>
      <c r="K953" s="7">
        <f t="shared" si="271"/>
        <v>49.51</v>
      </c>
      <c r="L953" s="7">
        <f t="shared" si="272"/>
        <v>100</v>
      </c>
      <c r="M953" s="7">
        <f t="shared" si="273"/>
        <v>250</v>
      </c>
      <c r="O953">
        <f t="shared" si="274"/>
        <v>0.55647000000000002</v>
      </c>
      <c r="P953">
        <f t="shared" si="275"/>
        <v>556.47</v>
      </c>
      <c r="V953">
        <f t="shared" si="259"/>
        <v>1051.7804419107324</v>
      </c>
      <c r="W953">
        <f t="shared" si="260"/>
        <v>118.84609659875107</v>
      </c>
      <c r="AE953">
        <f t="shared" si="261"/>
        <v>0.9101746997702258</v>
      </c>
      <c r="AF953">
        <f t="shared" si="262"/>
        <v>0.8889961783508018</v>
      </c>
      <c r="AG953">
        <f t="shared" si="263"/>
        <v>0.89397379768566121</v>
      </c>
      <c r="AI953">
        <f t="shared" si="264"/>
        <v>0.32274023885102215</v>
      </c>
      <c r="AJ953">
        <f t="shared" si="265"/>
        <v>19.023652406045393</v>
      </c>
      <c r="AL953">
        <f t="shared" si="266"/>
        <v>0.33042886702273877</v>
      </c>
      <c r="AM953">
        <f t="shared" si="267"/>
        <v>19.940848430062697</v>
      </c>
      <c r="AO953">
        <f t="shared" si="268"/>
        <v>0.32858904898607366</v>
      </c>
      <c r="AP953">
        <f t="shared" si="269"/>
        <v>19.719406548206461</v>
      </c>
    </row>
    <row r="954" spans="1:42" x14ac:dyDescent="0.2">
      <c r="A954" s="3">
        <v>950</v>
      </c>
      <c r="B954" s="3">
        <v>7.06E-7</v>
      </c>
      <c r="C954" s="2">
        <v>4.956E-2</v>
      </c>
      <c r="D954" s="3">
        <v>249000</v>
      </c>
      <c r="E954" s="3">
        <v>99900000000</v>
      </c>
      <c r="F954" s="3">
        <v>91400000000</v>
      </c>
      <c r="G954" s="3">
        <v>2260000000</v>
      </c>
      <c r="H954" s="3">
        <v>9670000000</v>
      </c>
      <c r="I954" s="2"/>
      <c r="J954" s="7">
        <f t="shared" si="270"/>
        <v>0.70599999999999996</v>
      </c>
      <c r="K954" s="7">
        <f t="shared" si="271"/>
        <v>49.56</v>
      </c>
      <c r="L954" s="7">
        <f t="shared" si="272"/>
        <v>99.9</v>
      </c>
      <c r="M954" s="7">
        <f t="shared" si="273"/>
        <v>249</v>
      </c>
      <c r="O954">
        <f t="shared" si="274"/>
        <v>0.55672289156626498</v>
      </c>
      <c r="P954">
        <f t="shared" si="275"/>
        <v>556.72289156626493</v>
      </c>
      <c r="V954">
        <f t="shared" si="259"/>
        <v>1051.9921736954309</v>
      </c>
      <c r="W954">
        <f t="shared" si="260"/>
        <v>118.34688804067548</v>
      </c>
      <c r="AE954">
        <f t="shared" si="261"/>
        <v>0.90653400097114489</v>
      </c>
      <c r="AF954">
        <f t="shared" si="262"/>
        <v>0.88544019363739856</v>
      </c>
      <c r="AG954">
        <f t="shared" si="263"/>
        <v>0.89039790249491857</v>
      </c>
      <c r="AI954">
        <f t="shared" si="264"/>
        <v>0.32449601046572335</v>
      </c>
      <c r="AJ954">
        <f t="shared" si="265"/>
        <v>19.196126206995363</v>
      </c>
      <c r="AL954">
        <f t="shared" si="266"/>
        <v>0.3322264663164054</v>
      </c>
      <c r="AM954">
        <f t="shared" si="267"/>
        <v>20.121637788987655</v>
      </c>
      <c r="AO954">
        <f t="shared" si="268"/>
        <v>0.33037663930070343</v>
      </c>
      <c r="AP954">
        <f t="shared" si="269"/>
        <v>19.898188252542379</v>
      </c>
    </row>
    <row r="955" spans="1:42" x14ac:dyDescent="0.2">
      <c r="A955" s="3">
        <v>950</v>
      </c>
      <c r="B955" s="3">
        <v>7.06E-7</v>
      </c>
      <c r="C955" s="2">
        <v>4.9619999999999997E-2</v>
      </c>
      <c r="D955" s="3">
        <v>253000</v>
      </c>
      <c r="E955" s="3">
        <v>101000000000</v>
      </c>
      <c r="F955" s="3">
        <v>92700000000</v>
      </c>
      <c r="G955" s="3">
        <v>3860000000</v>
      </c>
      <c r="H955" s="3">
        <v>9630000000</v>
      </c>
      <c r="I955" s="2"/>
      <c r="J955" s="7">
        <f t="shared" si="270"/>
        <v>0.70599999999999996</v>
      </c>
      <c r="K955" s="7">
        <f t="shared" si="271"/>
        <v>49.62</v>
      </c>
      <c r="L955" s="7">
        <f t="shared" si="272"/>
        <v>101</v>
      </c>
      <c r="M955" s="7">
        <f t="shared" si="273"/>
        <v>253</v>
      </c>
      <c r="O955">
        <f t="shared" si="274"/>
        <v>0.55890513833992095</v>
      </c>
      <c r="P955">
        <f t="shared" si="275"/>
        <v>558.905138339921</v>
      </c>
      <c r="V955">
        <f t="shared" si="259"/>
        <v>1053.8170239773922</v>
      </c>
      <c r="W955">
        <f t="shared" si="260"/>
        <v>120.03981442865157</v>
      </c>
      <c r="AE955">
        <f t="shared" si="261"/>
        <v>0.92109679616746853</v>
      </c>
      <c r="AF955">
        <f t="shared" si="262"/>
        <v>0.8996641324910114</v>
      </c>
      <c r="AG955">
        <f t="shared" si="263"/>
        <v>0.90470148325788913</v>
      </c>
      <c r="AI955">
        <f t="shared" si="264"/>
        <v>0.31936563875875534</v>
      </c>
      <c r="AJ955">
        <f t="shared" si="265"/>
        <v>18.616443244831476</v>
      </c>
      <c r="AL955">
        <f t="shared" si="266"/>
        <v>0.32697387396357686</v>
      </c>
      <c r="AM955">
        <f t="shared" si="267"/>
        <v>19.514006307962148</v>
      </c>
      <c r="AO955">
        <f t="shared" si="268"/>
        <v>0.32515329322480307</v>
      </c>
      <c r="AP955">
        <f t="shared" si="269"/>
        <v>19.297304481329988</v>
      </c>
    </row>
    <row r="956" spans="1:42" x14ac:dyDescent="0.2">
      <c r="A956" s="3">
        <v>950</v>
      </c>
      <c r="B956" s="3">
        <v>7.0699999999999996E-7</v>
      </c>
      <c r="C956" s="2">
        <v>4.9669999999999999E-2</v>
      </c>
      <c r="D956" s="3">
        <v>264000</v>
      </c>
      <c r="E956" s="3">
        <v>105000000000</v>
      </c>
      <c r="F956" s="3">
        <v>95900000000</v>
      </c>
      <c r="G956" s="3">
        <v>4360000000</v>
      </c>
      <c r="H956" s="3">
        <v>9530000000</v>
      </c>
      <c r="I956" s="2"/>
      <c r="J956" s="7">
        <f t="shared" si="270"/>
        <v>0.70699999999999996</v>
      </c>
      <c r="K956" s="7">
        <f t="shared" si="271"/>
        <v>49.67</v>
      </c>
      <c r="L956" s="7">
        <f t="shared" si="272"/>
        <v>105</v>
      </c>
      <c r="M956" s="7">
        <f t="shared" si="273"/>
        <v>264</v>
      </c>
      <c r="O956">
        <f t="shared" si="274"/>
        <v>0.56589204545454541</v>
      </c>
      <c r="P956">
        <f t="shared" si="275"/>
        <v>565.89204545454538</v>
      </c>
      <c r="V956">
        <f t="shared" si="259"/>
        <v>1059.6331067186136</v>
      </c>
      <c r="W956">
        <f t="shared" si="260"/>
        <v>124.57141926111291</v>
      </c>
      <c r="AE956">
        <f t="shared" si="261"/>
        <v>0.96114448295735844</v>
      </c>
      <c r="AF956">
        <f t="shared" si="262"/>
        <v>0.93877996433844668</v>
      </c>
      <c r="AG956">
        <f t="shared" si="263"/>
        <v>0.94403633035605827</v>
      </c>
      <c r="AI956">
        <f t="shared" si="264"/>
        <v>0.30649224810293441</v>
      </c>
      <c r="AJ956">
        <f t="shared" si="265"/>
        <v>17.114621516880458</v>
      </c>
      <c r="AL956">
        <f t="shared" si="266"/>
        <v>0.31379380102229243</v>
      </c>
      <c r="AM956">
        <f t="shared" si="267"/>
        <v>17.939776564543934</v>
      </c>
      <c r="AO956">
        <f t="shared" si="268"/>
        <v>0.31204660653496946</v>
      </c>
      <c r="AP956">
        <f t="shared" si="269"/>
        <v>17.740556461323852</v>
      </c>
    </row>
    <row r="957" spans="1:42" x14ac:dyDescent="0.2">
      <c r="A957" s="3">
        <v>960</v>
      </c>
      <c r="B957" s="3">
        <v>7.0800000000000004E-7</v>
      </c>
      <c r="C957" s="2">
        <v>4.972E-2</v>
      </c>
      <c r="D957" s="3">
        <v>274000</v>
      </c>
      <c r="E957" s="3">
        <v>109000000000</v>
      </c>
      <c r="F957" s="3">
        <v>99100000000</v>
      </c>
      <c r="G957" s="3">
        <v>2120000000</v>
      </c>
      <c r="H957" s="3">
        <v>9440000000</v>
      </c>
      <c r="I957" s="2"/>
      <c r="J957" s="7">
        <f t="shared" si="270"/>
        <v>0.70800000000000007</v>
      </c>
      <c r="K957" s="7">
        <f t="shared" si="271"/>
        <v>49.72</v>
      </c>
      <c r="L957" s="7">
        <f t="shared" si="272"/>
        <v>109</v>
      </c>
      <c r="M957" s="7">
        <f t="shared" si="273"/>
        <v>274</v>
      </c>
      <c r="O957">
        <f t="shared" si="274"/>
        <v>0.57190510948905116</v>
      </c>
      <c r="P957">
        <f t="shared" si="275"/>
        <v>571.90510948905114</v>
      </c>
      <c r="V957">
        <f t="shared" si="259"/>
        <v>1064.6065948877761</v>
      </c>
      <c r="W957">
        <f t="shared" si="260"/>
        <v>128.68603356194845</v>
      </c>
      <c r="AE957">
        <f t="shared" si="261"/>
        <v>0.99755147094816743</v>
      </c>
      <c r="AF957">
        <f t="shared" si="262"/>
        <v>0.97433981147247872</v>
      </c>
      <c r="AG957">
        <f t="shared" si="263"/>
        <v>0.97979528226348478</v>
      </c>
      <c r="AI957">
        <f t="shared" si="264"/>
        <v>0.29572408902330033</v>
      </c>
      <c r="AJ957">
        <f t="shared" si="265"/>
        <v>15.904169199512266</v>
      </c>
      <c r="AL957">
        <f t="shared" si="266"/>
        <v>0.30276911250724631</v>
      </c>
      <c r="AM957">
        <f t="shared" si="267"/>
        <v>16.67096415790078</v>
      </c>
      <c r="AO957">
        <f t="shared" si="268"/>
        <v>0.30108330315543319</v>
      </c>
      <c r="AP957">
        <f t="shared" si="269"/>
        <v>16.485834137559316</v>
      </c>
    </row>
    <row r="958" spans="1:42" x14ac:dyDescent="0.2">
      <c r="A958" s="3">
        <v>960</v>
      </c>
      <c r="B958" s="3">
        <v>7.0800000000000004E-7</v>
      </c>
      <c r="C958" s="2">
        <v>4.9770000000000002E-2</v>
      </c>
      <c r="D958" s="3">
        <v>234000</v>
      </c>
      <c r="E958" s="3">
        <v>93900000000</v>
      </c>
      <c r="F958" s="3">
        <v>86400000000</v>
      </c>
      <c r="G958" s="3">
        <v>2910000000</v>
      </c>
      <c r="H958" s="3">
        <v>9850000000</v>
      </c>
      <c r="I958" s="2"/>
      <c r="J958" s="7">
        <f t="shared" si="270"/>
        <v>0.70800000000000007</v>
      </c>
      <c r="K958" s="7">
        <f t="shared" si="271"/>
        <v>49.77</v>
      </c>
      <c r="L958" s="7">
        <f t="shared" si="272"/>
        <v>93.9</v>
      </c>
      <c r="M958" s="7">
        <f t="shared" si="273"/>
        <v>234</v>
      </c>
      <c r="O958">
        <f t="shared" si="274"/>
        <v>0.54848076923076927</v>
      </c>
      <c r="P958">
        <f t="shared" si="275"/>
        <v>548.48076923076928</v>
      </c>
      <c r="V958">
        <f t="shared" si="259"/>
        <v>1045.0637163005115</v>
      </c>
      <c r="W958">
        <f t="shared" si="260"/>
        <v>111.95489631405046</v>
      </c>
      <c r="AE958">
        <f t="shared" si="261"/>
        <v>0.85192351898493135</v>
      </c>
      <c r="AF958">
        <f t="shared" si="262"/>
        <v>0.83210042293635045</v>
      </c>
      <c r="AG958">
        <f t="shared" si="263"/>
        <v>0.83675947463377898</v>
      </c>
      <c r="AI958">
        <f t="shared" si="264"/>
        <v>0.34627521535206957</v>
      </c>
      <c r="AJ958">
        <f t="shared" si="265"/>
        <v>21.828149470462872</v>
      </c>
      <c r="AL958">
        <f t="shared" si="266"/>
        <v>0.35452451635463877</v>
      </c>
      <c r="AM958">
        <f t="shared" si="267"/>
        <v>22.880559989675355</v>
      </c>
      <c r="AO958">
        <f t="shared" si="268"/>
        <v>0.35255053446405427</v>
      </c>
      <c r="AP958">
        <f t="shared" si="269"/>
        <v>22.62647279374643</v>
      </c>
    </row>
    <row r="959" spans="1:42" x14ac:dyDescent="0.2">
      <c r="A959" s="3">
        <v>960</v>
      </c>
      <c r="B959" s="3">
        <v>7.0900000000000001E-7</v>
      </c>
      <c r="C959" s="2">
        <v>4.9820000000000003E-2</v>
      </c>
      <c r="D959" s="3">
        <v>241000</v>
      </c>
      <c r="E959" s="3">
        <v>96500000000</v>
      </c>
      <c r="F959" s="3">
        <v>88500000000</v>
      </c>
      <c r="G959" s="3">
        <v>931000000</v>
      </c>
      <c r="H959" s="3">
        <v>9770000000</v>
      </c>
      <c r="I959" s="2"/>
      <c r="J959" s="7">
        <f t="shared" si="270"/>
        <v>0.70899999999999996</v>
      </c>
      <c r="K959" s="7">
        <f t="shared" si="271"/>
        <v>49.82</v>
      </c>
      <c r="L959" s="7">
        <f t="shared" si="272"/>
        <v>96.5</v>
      </c>
      <c r="M959" s="7">
        <f t="shared" si="273"/>
        <v>241</v>
      </c>
      <c r="O959">
        <f t="shared" si="274"/>
        <v>0.55395850622406639</v>
      </c>
      <c r="P959">
        <f t="shared" si="275"/>
        <v>553.95850622406635</v>
      </c>
      <c r="V959">
        <f t="shared" si="259"/>
        <v>1049.6747948642751</v>
      </c>
      <c r="W959">
        <f t="shared" si="260"/>
        <v>114.79745973664241</v>
      </c>
      <c r="AE959">
        <f t="shared" si="261"/>
        <v>0.87740841057849761</v>
      </c>
      <c r="AF959">
        <f t="shared" si="262"/>
        <v>0.85699231593017289</v>
      </c>
      <c r="AG959">
        <f t="shared" si="263"/>
        <v>0.86179074096897745</v>
      </c>
      <c r="AI959">
        <f t="shared" si="264"/>
        <v>0.33669231238835623</v>
      </c>
      <c r="AJ959">
        <f t="shared" si="265"/>
        <v>20.599213133154517</v>
      </c>
      <c r="AL959">
        <f t="shared" si="266"/>
        <v>0.34471332026591589</v>
      </c>
      <c r="AM959">
        <f t="shared" si="267"/>
        <v>21.592372384614045</v>
      </c>
      <c r="AO959">
        <f t="shared" si="268"/>
        <v>0.34279396682135044</v>
      </c>
      <c r="AP959">
        <f t="shared" si="269"/>
        <v>21.35259043193739</v>
      </c>
    </row>
  </sheetData>
  <mergeCells count="1">
    <mergeCell ref="Y2:Z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green_010_hfsm3_50#1</vt:lpstr>
      <vt:lpstr>curves raw</vt:lpstr>
      <vt:lpstr>curves processed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2022-03-19T11:38:24Z</dcterms:created>
  <dcterms:modified xsi:type="dcterms:W3CDTF">2022-03-19T12:46:13Z</dcterms:modified>
</cp:coreProperties>
</file>